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sheets/sheet27.xml" ContentType="application/vnd.openxmlformats-officedocument.spreadsheetml.worksheet+xml"/>
  <Override PartName="/xl/comments/comment10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11.xml" ContentType="application/vnd.openxmlformats-officedocument.spreadsheetml.comments+xml"/>
  <Override PartName="/xl/worksheets/sheet30.xml" ContentType="application/vnd.openxmlformats-officedocument.spreadsheetml.worksheet+xml"/>
  <Override PartName="/xl/comments/comment12.xml" ContentType="application/vnd.openxmlformats-officedocument.spreadsheetml.comments+xml"/>
  <Override PartName="/xl/worksheets/sheet31.xml" ContentType="application/vnd.openxmlformats-officedocument.spreadsheetml.worksheet+xml"/>
  <Override PartName="/xl/tables/table1.xml" ContentType="application/vnd.openxmlformats-officedocument.spreadsheetml.table+xml"/>
  <Override PartName="/xl/worksheets/sheet3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02" firstSheet="5" activeTab="12" autoFilterDateGrouping="1"/>
  </bookViews>
  <sheets>
    <sheet name="Fr-01" sheetId="1" state="visible" r:id="rId1"/>
    <sheet name="Fr-02" sheetId="2" state="visible" r:id="rId2"/>
    <sheet name="Fr-03.1" sheetId="3" state="visible" r:id="rId3"/>
    <sheet name="Fr-03.2" sheetId="4" state="visible" r:id="rId4"/>
    <sheet name="Screen scope 3" sheetId="5" state="visible" r:id="rId5"/>
    <sheet name="Fr-04.1" sheetId="6" state="visible" r:id="rId6"/>
    <sheet name="Fr-04.2" sheetId="7" state="visible" r:id="rId7"/>
    <sheet name="Fr-05" sheetId="8" state="visible" r:id="rId8"/>
    <sheet name="EF TGO AR4" sheetId="9" state="hidden" r:id="rId9"/>
    <sheet name="EF TGO AR5" sheetId="10" state="visible" r:id="rId10"/>
    <sheet name="EF (1)" sheetId="11" state="visible" r:id="rId11"/>
    <sheet name="บันทึกการปรับปรุง" sheetId="12" state="visible" r:id="rId12"/>
    <sheet name="1.1 Stationary" sheetId="13" state="visible" r:id="rId13"/>
    <sheet name="1.2 Mobile" sheetId="14" state="visible" r:id="rId14"/>
    <sheet name="1.4 Fugitive Emission" sheetId="15" state="visible" r:id="rId15"/>
    <sheet name="1.4.1 สารทำความเย็น" sheetId="16" state="visible" r:id="rId16"/>
    <sheet name="1.4.2 สารดับเพลิง" sheetId="17" state="visible" r:id="rId17"/>
    <sheet name="1.4.3 Septic" sheetId="18" state="visible" r:id="rId18"/>
    <sheet name="1.4.4 ปุ๋ย" sheetId="19" state="visible" r:id="rId19"/>
    <sheet name="1.4.5 ระบบบำบัดน้ำเสีย WWTP" sheetId="20" state="visible" r:id="rId20"/>
    <sheet name="Scope 2.1 Purchased Electricity" sheetId="21" state="visible" r:id="rId21"/>
    <sheet name="Scope 3.1.1 วัตถุดิบผลิต" sheetId="22" state="visible" r:id="rId22"/>
    <sheet name="Scope 3.1.2 น้ำประปา" sheetId="23" state="visible" r:id="rId23"/>
    <sheet name="Scope 3.1.3 กระดาษ A4" sheetId="24" state="visible" r:id="rId24"/>
    <sheet name="Scope 3.1.4 จ้างเหมารถพนักงาน" sheetId="25" state="visible" r:id="rId25"/>
    <sheet name="Scope 3.4" sheetId="26" state="visible" r:id="rId26"/>
    <sheet name="Scope 3.5" sheetId="27" state="visible" r:id="rId27"/>
    <sheet name="Scope 3.7" sheetId="28" state="visible" r:id="rId28"/>
    <sheet name="Scope 3.9" sheetId="29" state="visible" r:id="rId29"/>
    <sheet name="Scope 3.12" sheetId="30" state="visible" r:id="rId30"/>
    <sheet name="_DATA_SCOPE11" sheetId="31" state="hidden" r:id="rId31"/>
    <sheet name="_REGISTRY" sheetId="32" state="hidden" r:id="rId32"/>
  </sheets>
  <externalReferences>
    <externalReference r:id="rId33"/>
    <externalReference r:id="rId34"/>
  </externalReferences>
  <definedNames/>
  <calcPr calcId="191029" fullCalcOnLoad="1"/>
</workbook>
</file>

<file path=xl/styles.xml><?xml version="1.0" encoding="utf-8"?>
<styleSheet xmlns="http://schemas.openxmlformats.org/spreadsheetml/2006/main">
  <numFmts count="24">
    <numFmt numFmtId="164" formatCode="_(* #,##0.0000_);_(* \(#,##0.0000\);_(* &quot;-&quot;??_);_(@_)"/>
    <numFmt numFmtId="165" formatCode="_(* #,##0_);_(* \(#,##0\);_(* &quot;-&quot;??_);_(@_)"/>
    <numFmt numFmtId="166" formatCode="_-* #,##0.0000_-;\-* #,##0.0000_-;_-* &quot;-&quot;??_-;_-@_-"/>
    <numFmt numFmtId="167" formatCode="0.000000"/>
    <numFmt numFmtId="168" formatCode="0.0000"/>
    <numFmt numFmtId="169" formatCode="_(* #,##0.000000_);_(* \(#,##0.000000\);_(* &quot;-&quot;??_);_(@_)"/>
    <numFmt numFmtId="170" formatCode="_-* #,##0.00_-;\-* #,##0.00_-;_-* &quot;-&quot;??_-;_-@_-"/>
    <numFmt numFmtId="171" formatCode="_-* #,##0.00_-;\-* #,##0.00_-;_-* &quot;-&quot;??_-;_-@"/>
    <numFmt numFmtId="172" formatCode="0.000"/>
    <numFmt numFmtId="173" formatCode="_-* #,##0.0_-;\-* #,##0.0_-;_-* &quot;-&quot;??_-;_-@"/>
    <numFmt numFmtId="174" formatCode="_-* #,##0_-;\-* #,##0_-;_-* &quot;-&quot;??_-;_-@_-"/>
    <numFmt numFmtId="175" formatCode="_-* #,##0.0_-;\-* #,##0.0_-;_-* &quot;-&quot;??_-;_-@_-"/>
    <numFmt numFmtId="176" formatCode="_-* #,##0_-;\-* #,##0_-;_-* &quot;-&quot;??_-;_-@"/>
    <numFmt numFmtId="177" formatCode="[$-1070000]d/mm/yyyy;@"/>
    <numFmt numFmtId="178" formatCode="&quot;True&quot;;&quot;True&quot;;&quot;False&quot;"/>
    <numFmt numFmtId="179" formatCode="\t&quot;฿&quot;#,##0_);[Red]\(\t&quot;฿&quot;#,##0\)"/>
    <numFmt numFmtId="180" formatCode="\t&quot;$&quot;#,##0.00_);[Red]\(\t&quot;$&quot;#,##0.00\)"/>
    <numFmt numFmtId="181" formatCode="_-* #,##0.00\ &quot;F&quot;_-;\-* #,##0.00\ &quot;F&quot;_-;_-* &quot;-&quot;??\ &quot;F&quot;_-;_-@_-"/>
    <numFmt numFmtId="182" formatCode="0.00_)"/>
    <numFmt numFmtId="183" formatCode="#,##0\ &quot;F&quot;;[Red]\-#,##0\ &quot;F&quot;"/>
    <numFmt numFmtId="184" formatCode="_(&quot;$&quot;* #,##0.00_);_(&quot;$&quot;* \(#,##0.00\);_(&quot;$&quot;* &quot;-&quot;??_);_(@_)"/>
    <numFmt numFmtId="185" formatCode="#,##0\ &quot;FB&quot;;\-#,##0\ &quot;FB&quot;"/>
    <numFmt numFmtId="186" formatCode="0.0000000000000000"/>
    <numFmt numFmtId="187" formatCode="&quot;$&quot;#,##0.00_);[Red]\(&quot;$&quot;#,##0.00\)"/>
  </numFmts>
  <fonts count="141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b val="1"/>
      <color theme="0"/>
      <sz val="11"/>
      <scheme val="minor"/>
    </font>
    <font>
      <name val="Tahoma"/>
      <family val="2"/>
      <b val="1"/>
      <color theme="0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Tahoma"/>
      <family val="2"/>
      <b val="1"/>
      <color theme="0"/>
      <sz val="8"/>
    </font>
    <font>
      <name val="Tahoma"/>
      <family val="2"/>
      <b val="1"/>
      <color theme="0"/>
      <sz val="11"/>
      <vertAlign val="subscript"/>
      <scheme val="minor"/>
    </font>
    <font>
      <name val="Tahoma"/>
      <family val="2"/>
      <b val="1"/>
      <color theme="0"/>
      <sz val="8"/>
      <vertAlign val="subscript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0"/>
      <sz val="8"/>
    </font>
    <font>
      <name val="Tahoma"/>
      <family val="2"/>
      <color theme="1"/>
      <sz val="8"/>
    </font>
    <font>
      <name val="Tahoma"/>
      <family val="2"/>
      <color theme="1"/>
      <sz val="8"/>
      <scheme val="minor"/>
    </font>
    <font>
      <name val="Tahoma"/>
      <family val="2"/>
      <sz val="9"/>
    </font>
    <font>
      <name val="Tahoma"/>
      <family val="2"/>
      <b val="1"/>
      <sz val="8"/>
      <u val="single"/>
    </font>
    <font>
      <name val="FreesiaUPC"/>
      <family val="2"/>
      <color theme="1"/>
      <sz val="14"/>
    </font>
    <font>
      <name val="Arial"/>
      <family val="2"/>
      <color indexed="8"/>
      <sz val="12"/>
    </font>
    <font>
      <name val="Arial"/>
      <family val="2"/>
      <color indexed="9"/>
      <sz val="12"/>
    </font>
    <font>
      <name val="Arial"/>
      <family val="2"/>
      <color indexed="20"/>
      <sz val="12"/>
    </font>
    <font>
      <name val="Arial"/>
      <family val="2"/>
      <b val="1"/>
      <color indexed="52"/>
      <sz val="12"/>
    </font>
    <font>
      <name val="Arial"/>
      <family val="2"/>
      <b val="1"/>
      <color indexed="9"/>
      <sz val="12"/>
    </font>
    <font>
      <name val="Cordia New"/>
      <family val="2"/>
      <sz val="14"/>
    </font>
    <font>
      <name val="Arial"/>
      <family val="2"/>
      <sz val="10"/>
    </font>
    <font>
      <name val="Calibri"/>
      <charset val="222"/>
      <family val="2"/>
      <color indexed="8"/>
      <sz val="11"/>
    </font>
    <font>
      <name val="Tahoma"/>
      <charset val="222"/>
      <family val="2"/>
      <color theme="1"/>
      <sz val="11"/>
      <scheme val="minor"/>
    </font>
    <font>
      <name val="Arial"/>
      <family val="2"/>
      <i val="1"/>
      <color indexed="23"/>
      <sz val="12"/>
    </font>
    <font>
      <name val="Arial"/>
      <family val="2"/>
      <color indexed="17"/>
      <sz val="12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12"/>
      <sz val="10"/>
      <u val="single"/>
    </font>
    <font>
      <name val="Tahoma"/>
      <charset val="222"/>
      <family val="2"/>
      <color theme="10"/>
      <sz val="11"/>
      <u val="single"/>
      <scheme val="minor"/>
    </font>
    <font>
      <name val="Calibri"/>
      <family val="2"/>
      <color indexed="62"/>
      <sz val="11"/>
    </font>
    <font>
      <name val="Arial"/>
      <family val="2"/>
      <color indexed="62"/>
      <sz val="12"/>
    </font>
    <font>
      <name val="Arial"/>
      <family val="2"/>
      <color indexed="52"/>
      <sz val="12"/>
    </font>
    <font>
      <name val="Arial"/>
      <family val="2"/>
      <color indexed="60"/>
      <sz val="12"/>
    </font>
    <font>
      <name val="新細明體"/>
      <charset val="136"/>
      <family val="1"/>
      <sz val="12"/>
    </font>
    <font>
      <name val="宋体"/>
      <charset val="134"/>
      <sz val="12"/>
    </font>
    <font>
      <name val="Tahoma"/>
      <charset val="222"/>
      <family val="2"/>
      <color indexed="8"/>
      <sz val="11"/>
    </font>
    <font>
      <name val="CordiaUPC"/>
      <family val="2"/>
      <sz val="14"/>
    </font>
    <font>
      <name val="Arial"/>
      <family val="2"/>
      <b val="1"/>
      <color indexed="63"/>
      <sz val="12"/>
    </font>
    <font>
      <name val="Arial"/>
      <family val="2"/>
      <sz val="8"/>
    </font>
    <font>
      <name val="MS Sans Serif"/>
      <charset val="222"/>
      <family val="2"/>
      <sz val="10"/>
    </font>
    <font>
      <name val="Cambria"/>
      <family val="2"/>
      <b val="1"/>
      <color indexed="56"/>
      <sz val="18"/>
    </font>
    <font>
      <name val="Arial"/>
      <family val="2"/>
      <b val="1"/>
      <color indexed="8"/>
      <sz val="12"/>
    </font>
    <font>
      <name val="Arial"/>
      <family val="2"/>
      <color indexed="10"/>
      <sz val="12"/>
    </font>
    <font>
      <name val="Arial"/>
      <family val="2"/>
      <b val="1"/>
      <color indexed="12"/>
      <sz val="12"/>
    </font>
    <font>
      <name val="Calibri"/>
      <charset val="222"/>
      <family val="2"/>
      <color theme="1"/>
      <sz val="11"/>
    </font>
    <font>
      <name val="Tahoma"/>
      <family val="2"/>
      <color indexed="62"/>
      <sz val="11"/>
    </font>
    <font>
      <name val="ＭＳ ゴシック"/>
      <charset val="128"/>
      <family val="3"/>
      <sz val="10"/>
    </font>
    <font>
      <name val="ＭＳ Ｐゴシック"/>
      <charset val="128"/>
      <family val="3"/>
      <sz val="11"/>
    </font>
    <font>
      <name val="Arial"/>
      <family val="2"/>
      <color theme="1"/>
      <sz val="10"/>
    </font>
    <font>
      <name val="Arial"/>
      <family val="2"/>
      <b val="1"/>
      <sz val="10"/>
    </font>
    <font>
      <name val="Tahoma"/>
      <family val="2"/>
      <b val="1"/>
      <i val="1"/>
      <color indexed="12"/>
      <sz val="10"/>
    </font>
    <font>
      <name val="Tahoma"/>
      <family val="2"/>
      <color theme="1"/>
      <sz val="10"/>
    </font>
    <font>
      <name val="Tahoma"/>
      <family val="2"/>
      <color theme="0"/>
      <sz val="10"/>
    </font>
    <font>
      <name val="Tahoma"/>
      <family val="2"/>
      <b val="1"/>
      <sz val="9"/>
    </font>
    <font>
      <name val="Tahoma"/>
      <family val="2"/>
      <i val="1"/>
      <color indexed="12"/>
      <sz val="9"/>
    </font>
    <font>
      <name val="Tahoma"/>
      <family val="2"/>
      <b val="1"/>
      <color theme="0"/>
      <sz val="9"/>
    </font>
    <font>
      <name val="Tahoma"/>
      <family val="2"/>
      <b val="1"/>
      <i val="1"/>
      <color theme="0"/>
      <sz val="9"/>
    </font>
    <font>
      <name val="Tahoma"/>
      <charset val="222"/>
      <family val="2"/>
      <color theme="0"/>
      <sz val="11"/>
      <scheme val="minor"/>
    </font>
    <font>
      <name val="Tahoma"/>
      <charset val="222"/>
      <family val="2"/>
      <sz val="11"/>
      <scheme val="minor"/>
    </font>
    <font>
      <name val="Arial"/>
      <family val="2"/>
      <b val="1"/>
      <color theme="0"/>
      <sz val="10"/>
      <vertAlign val="subscript"/>
    </font>
    <font>
      <name val="Tahoma"/>
      <family val="2"/>
      <b val="1"/>
      <sz val="11"/>
      <scheme val="minor"/>
    </font>
    <font>
      <name val="Letter Gothic"/>
      <family val="3"/>
      <sz val="10"/>
    </font>
    <font>
      <name val="AngsanaUPC"/>
      <family val="1"/>
      <sz val="14"/>
    </font>
    <font>
      <name val="Arial Narrow"/>
      <family val="2"/>
      <b val="1"/>
      <color indexed="16"/>
      <sz val="11"/>
    </font>
    <font>
      <name val="Arial"/>
      <charset val="222"/>
      <family val="2"/>
      <b val="1"/>
      <color indexed="18"/>
      <sz val="10"/>
    </font>
    <font>
      <name val="Small Fonts"/>
      <family val="2"/>
      <sz val="7"/>
    </font>
    <font>
      <name val="Arial"/>
      <family val="2"/>
      <sz val="10"/>
    </font>
    <font>
      <name val="Tahoma"/>
      <family val="2"/>
      <b val="1"/>
      <color rgb="FFFFFF00"/>
      <sz val="10"/>
    </font>
    <font>
      <name val="Arial"/>
      <family val="2"/>
      <b val="1"/>
      <color rgb="FFFFFF00"/>
      <sz val="10"/>
    </font>
    <font>
      <name val="Tahoma"/>
      <family val="2"/>
      <color theme="0" tint="-0.1499984740745262"/>
      <sz val="10"/>
    </font>
    <font>
      <name val="Tahoma"/>
      <family val="2"/>
      <b val="1"/>
      <color rgb="FF3333FF"/>
      <sz val="10"/>
    </font>
    <font>
      <name val="Tahoma"/>
      <family val="2"/>
      <sz val="11"/>
    </font>
    <font>
      <name val="Tahoma"/>
      <family val="2"/>
      <sz val="8"/>
      <scheme val="minor"/>
    </font>
    <font>
      <name val="Tahoma"/>
      <family val="2"/>
      <b val="1"/>
      <i val="1"/>
      <color rgb="FF3333FF"/>
      <sz val="8"/>
    </font>
    <font>
      <name val="Tahoma"/>
      <family val="2"/>
      <color theme="10"/>
      <sz val="11"/>
      <u val="single"/>
      <scheme val="minor"/>
    </font>
    <font>
      <name val="Tahoma"/>
      <family val="2"/>
      <sz val="11"/>
      <vertAlign val="superscript"/>
      <scheme val="minor"/>
    </font>
    <font>
      <name val="Tahoma"/>
      <family val="2"/>
      <b val="1"/>
      <sz val="18"/>
    </font>
    <font>
      <name val="Tahoma"/>
      <family val="2"/>
      <b val="1"/>
      <sz val="12"/>
    </font>
    <font>
      <name val="Tahoma"/>
      <family val="2"/>
      <b val="1"/>
      <color rgb="FF0070C0"/>
      <sz val="10"/>
    </font>
    <font>
      <name val="Tahoma"/>
      <family val="2"/>
      <color rgb="FF0070C0"/>
      <sz val="10"/>
    </font>
    <font>
      <name val="Tahoma"/>
      <family val="2"/>
      <sz val="18"/>
    </font>
    <font>
      <name val="Tahoma"/>
      <family val="2"/>
      <b val="1"/>
      <sz val="16"/>
    </font>
    <font>
      <name val="Tahoma"/>
      <family val="2"/>
      <b val="1"/>
      <sz val="14"/>
    </font>
    <font>
      <name val="Tahoma"/>
      <family val="2"/>
      <i val="1"/>
      <color rgb="FF0000FF"/>
      <sz val="10"/>
    </font>
    <font>
      <name val="Tahoma"/>
      <family val="2"/>
      <color theme="1"/>
      <sz val="11"/>
    </font>
    <font>
      <name val="Tahoma"/>
      <family val="2"/>
      <b val="1"/>
      <i val="1"/>
      <color theme="3" tint="0.3999755851924192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Tahoma"/>
      <family val="2"/>
      <b val="1"/>
      <color theme="1"/>
      <sz val="10"/>
      <u val="single"/>
    </font>
    <font>
      <name val="Tahoma"/>
      <family val="2"/>
      <b val="1"/>
      <color theme="1"/>
      <sz val="10"/>
      <u val="singleAccounting"/>
    </font>
    <font>
      <name val="Tahoma"/>
      <family val="2"/>
      <color rgb="FFFF000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color theme="1"/>
      <sz val="12"/>
    </font>
    <font>
      <name val="Tahoma"/>
      <family val="2"/>
      <b val="1"/>
      <color theme="1"/>
      <sz val="12"/>
      <u val="single"/>
    </font>
    <font>
      <name val="Tahoma"/>
      <family val="2"/>
      <b val="1"/>
      <color theme="1"/>
      <sz val="10"/>
      <vertAlign val="subscript"/>
    </font>
    <font>
      <name val="Tahoma"/>
      <family val="2"/>
      <b val="1"/>
      <color theme="1"/>
      <sz val="8"/>
    </font>
    <font>
      <name val="Tahoma"/>
      <family val="2"/>
      <color theme="1"/>
      <sz val="10"/>
      <vertAlign val="subscript"/>
    </font>
    <font>
      <name val="Tahoma"/>
      <family val="2"/>
      <b val="1"/>
      <sz val="10"/>
      <u val="singleAccounting"/>
    </font>
    <font>
      <name val="Tahoma"/>
      <family val="2"/>
      <b val="1"/>
      <color theme="1"/>
      <sz val="10"/>
      <vertAlign val="superscript"/>
    </font>
    <font>
      <name val="Tahoma"/>
      <family val="2"/>
      <b val="1"/>
      <color theme="1"/>
      <sz val="11"/>
      <u val="single"/>
    </font>
    <font>
      <name val="Tahoma"/>
      <family val="2"/>
      <b val="1"/>
      <color theme="1"/>
      <sz val="9"/>
    </font>
    <font>
      <name val="Tahoma"/>
      <family val="2"/>
      <b val="1"/>
      <color theme="1"/>
      <sz val="16"/>
      <u val="single"/>
    </font>
    <font>
      <name val="Tahoma"/>
      <family val="2"/>
      <b val="1"/>
      <color rgb="FFFF0000"/>
      <sz val="10"/>
    </font>
    <font>
      <name val="Tahoma"/>
      <family val="2"/>
      <color theme="10"/>
      <sz val="10"/>
      <u val="single"/>
    </font>
    <font>
      <name val="Tahoma"/>
      <family val="2"/>
      <color rgb="FF414042"/>
      <sz val="10"/>
    </font>
    <font>
      <name val="Tahoma"/>
      <family val="2"/>
      <color rgb="FF0000FF"/>
      <sz val="10"/>
    </font>
    <font>
      <name val="Tahoma"/>
      <family val="2"/>
      <sz val="10"/>
      <u val="single"/>
    </font>
    <font>
      <name val="Tahoma"/>
      <family val="2"/>
      <b val="1"/>
      <color theme="1"/>
      <sz val="11"/>
    </font>
    <font>
      <name val="Wingdings 3"/>
      <charset val="2"/>
      <family val="1"/>
      <color theme="1"/>
      <sz val="12"/>
    </font>
    <font>
      <name val="Tahoma"/>
      <family val="2"/>
      <color theme="1"/>
      <sz val="12"/>
      <vertAlign val="subscript"/>
    </font>
    <font>
      <name val="Tahoma"/>
      <family val="2"/>
      <b val="1"/>
      <color rgb="FF0000FF"/>
      <sz val="12"/>
    </font>
    <font>
      <name val="Tahoma"/>
      <family val="2"/>
      <color theme="1"/>
      <sz val="12"/>
      <u val="single"/>
    </font>
    <font>
      <name val="Tahoma"/>
      <family val="2"/>
      <color theme="0"/>
      <sz val="11"/>
      <scheme val="minor"/>
    </font>
    <font>
      <name val="Tahoma"/>
      <family val="2"/>
      <sz val="8"/>
      <vertAlign val="subscript"/>
    </font>
    <font>
      <name val="Tahoma"/>
      <family val="2"/>
      <color theme="1"/>
      <sz val="10"/>
      <u val="singleAccounting"/>
    </font>
    <font>
      <name val="Tahoma"/>
      <family val="2"/>
      <color theme="1"/>
      <sz val="10"/>
      <vertAlign val="superscript"/>
    </font>
    <font>
      <name val="Tahoma"/>
      <family val="2"/>
      <sz val="11"/>
      <scheme val="minor"/>
    </font>
    <font>
      <name val="Calibri"/>
      <family val="2"/>
      <color theme="1"/>
      <sz val="11"/>
    </font>
    <font>
      <name val="Tahoma"/>
      <family val="2"/>
      <color indexed="81"/>
      <sz val="10"/>
    </font>
    <font>
      <name val="Tahoma"/>
      <family val="2"/>
      <b val="1"/>
      <color indexed="81"/>
      <sz val="10"/>
    </font>
    <font>
      <name val="Segoe UI"/>
      <family val="2"/>
      <color rgb="FF212529"/>
      <sz val="15"/>
    </font>
    <font>
      <name val="Tahoma"/>
      <family val="2"/>
      <b val="1"/>
      <color rgb="FF0000FF"/>
      <sz val="8"/>
    </font>
    <font>
      <name val="Tahoma"/>
      <family val="2"/>
      <color theme="1"/>
      <sz val="14"/>
      <scheme val="minor"/>
    </font>
    <font>
      <name val="Tahoma"/>
      <family val="2"/>
      <b val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1"/>
      <u val="singleAccounting"/>
    </font>
    <font>
      <name val="MS Sans Serif"/>
      <sz val="10"/>
    </font>
    <font>
      <name val="Tahoma"/>
      <family val="2"/>
      <color indexed="81"/>
      <sz val="11"/>
    </font>
    <font>
      <name val="Tahoma"/>
      <family val="2"/>
      <b val="1"/>
      <color indexed="81"/>
      <sz val="11"/>
    </font>
    <font>
      <name val="Tahoma"/>
      <family val="2"/>
      <b val="1"/>
      <color theme="1"/>
      <sz val="9"/>
      <vertAlign val="subscript"/>
    </font>
  </fonts>
  <fills count="9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rgb="FFFEF2CB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8" tint="0.3999755851924192"/>
        <bgColor rgb="FF9CC2E5"/>
      </patternFill>
    </fill>
    <fill>
      <patternFill patternType="solid">
        <fgColor theme="2" tint="-0.1499984740745262"/>
        <bgColor rgb="FFD8D8D8"/>
      </patternFill>
    </fill>
    <fill>
      <patternFill patternType="solid">
        <fgColor theme="2" tint="-0.1499984740745262"/>
        <bgColor rgb="FFF2F2F2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8" tint="0.5999938962981048"/>
        <bgColor rgb="FFE2EFD9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5" tint="0.3999755851924192"/>
        <bgColor theme="0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theme="0"/>
      </patternFill>
    </fill>
    <fill>
      <patternFill patternType="solid">
        <fgColor theme="8" tint="0.5999938962981048"/>
        <bgColor rgb="FFD8D8D8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2EB"/>
      </patternFill>
    </fill>
    <fill>
      <patternFill patternType="solid">
        <fgColor theme="8" tint="0.5999938962981048"/>
        <bgColor rgb="FFCCA677"/>
      </patternFill>
    </fill>
    <fill>
      <patternFill patternType="solid">
        <fgColor theme="4" tint="0.3999755851924192"/>
        <bgColor rgb="FFCCA677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rgb="FFF8F2EB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96">
    <xf numFmtId="0" fontId="3" fillId="0" borderId="0"/>
    <xf numFmtId="43" fontId="3" fillId="0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19" borderId="0"/>
    <xf numFmtId="0" fontId="23" fillId="22" borderId="0"/>
    <xf numFmtId="0" fontId="23" fillId="25" borderId="0"/>
    <xf numFmtId="0" fontId="24" fillId="26" borderId="0"/>
    <xf numFmtId="0" fontId="24" fillId="23" borderId="0"/>
    <xf numFmtId="0" fontId="24" fillId="24" borderId="0"/>
    <xf numFmtId="0" fontId="24" fillId="27" borderId="0"/>
    <xf numFmtId="0" fontId="24" fillId="28" borderId="0"/>
    <xf numFmtId="0" fontId="24" fillId="29" borderId="0"/>
    <xf numFmtId="0" fontId="24" fillId="30" borderId="0"/>
    <xf numFmtId="0" fontId="24" fillId="31" borderId="0"/>
    <xf numFmtId="0" fontId="24" fillId="32" borderId="0"/>
    <xf numFmtId="0" fontId="24" fillId="27" borderId="0"/>
    <xf numFmtId="0" fontId="24" fillId="28" borderId="0"/>
    <xf numFmtId="0" fontId="24" fillId="33" borderId="0"/>
    <xf numFmtId="0" fontId="25" fillId="17" borderId="0"/>
    <xf numFmtId="0" fontId="26" fillId="34" borderId="39"/>
    <xf numFmtId="0" fontId="27" fillId="35" borderId="40"/>
    <xf numFmtId="43" fontId="28" fillId="0" borderId="0"/>
    <xf numFmtId="43" fontId="28" fillId="0" borderId="0"/>
    <xf numFmtId="43" fontId="76" fillId="0" borderId="0"/>
    <xf numFmtId="43" fontId="3" fillId="0" borderId="0"/>
    <xf numFmtId="43" fontId="3" fillId="0" borderId="0"/>
    <xf numFmtId="178" fontId="28" fillId="0" borderId="0"/>
    <xf numFmtId="43" fontId="30" fillId="0" borderId="0"/>
    <xf numFmtId="178" fontId="28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1" fillId="0" borderId="0"/>
    <xf numFmtId="43" fontId="76" fillId="0" borderId="0"/>
    <xf numFmtId="43" fontId="31" fillId="0" borderId="0"/>
    <xf numFmtId="43" fontId="76" fillId="0" borderId="0"/>
    <xf numFmtId="43" fontId="31" fillId="0" borderId="0"/>
    <xf numFmtId="43" fontId="31" fillId="0" borderId="0"/>
    <xf numFmtId="0" fontId="76" fillId="36" borderId="0"/>
    <xf numFmtId="0" fontId="28" fillId="0" borderId="0"/>
    <xf numFmtId="0" fontId="32" fillId="0" borderId="0"/>
    <xf numFmtId="0" fontId="33" fillId="18" borderId="0"/>
    <xf numFmtId="0" fontId="34" fillId="0" borderId="41"/>
    <xf numFmtId="0" fontId="35" fillId="0" borderId="42"/>
    <xf numFmtId="0" fontId="36" fillId="0" borderId="43"/>
    <xf numFmtId="0" fontId="36" fillId="0" borderId="0"/>
    <xf numFmtId="0" fontId="37" fillId="0" borderId="0" applyAlignment="1" applyProtection="1">
      <alignment vertical="top"/>
      <protection locked="0" hidden="0"/>
    </xf>
    <xf numFmtId="0" fontId="38" fillId="0" borderId="0"/>
    <xf numFmtId="0" fontId="39" fillId="21" borderId="39"/>
    <xf numFmtId="0" fontId="40" fillId="21" borderId="39"/>
    <xf numFmtId="0" fontId="41" fillId="0" borderId="44"/>
    <xf numFmtId="0" fontId="76" fillId="37" borderId="0"/>
    <xf numFmtId="0" fontId="42" fillId="38" borderId="0"/>
    <xf numFmtId="0" fontId="43" fillId="0" borderId="0"/>
    <xf numFmtId="0" fontId="76" fillId="0" borderId="0"/>
    <xf numFmtId="0" fontId="44" fillId="0" borderId="0"/>
    <xf numFmtId="0" fontId="76" fillId="0" borderId="0"/>
    <xf numFmtId="0" fontId="76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28" fillId="0" borderId="0"/>
    <xf numFmtId="0" fontId="76" fillId="0" borderId="0"/>
    <xf numFmtId="0" fontId="76" fillId="0" borderId="0"/>
    <xf numFmtId="0" fontId="31" fillId="0" borderId="0"/>
    <xf numFmtId="0" fontId="46" fillId="0" borderId="0"/>
    <xf numFmtId="0" fontId="31" fillId="0" borderId="0"/>
    <xf numFmtId="0" fontId="30" fillId="0" borderId="0"/>
    <xf numFmtId="0" fontId="31" fillId="0" borderId="0"/>
    <xf numFmtId="0" fontId="28" fillId="0" borderId="0"/>
    <xf numFmtId="0" fontId="3" fillId="0" borderId="0"/>
    <xf numFmtId="0" fontId="3" fillId="0" borderId="0"/>
    <xf numFmtId="0" fontId="76" fillId="0" borderId="0"/>
    <xf numFmtId="0" fontId="76" fillId="0" borderId="0"/>
    <xf numFmtId="0" fontId="76" fillId="0" borderId="0"/>
    <xf numFmtId="0" fontId="31" fillId="0" borderId="0"/>
    <xf numFmtId="0" fontId="31" fillId="0" borderId="0"/>
    <xf numFmtId="0" fontId="23" fillId="39" borderId="45"/>
    <xf numFmtId="0" fontId="47" fillId="34" borderId="46"/>
    <xf numFmtId="9" fontId="76" fillId="0" borderId="0"/>
    <xf numFmtId="4" fontId="48" fillId="38" borderId="47" applyAlignment="1">
      <alignment vertical="center"/>
    </xf>
    <xf numFmtId="4" fontId="48" fillId="36" borderId="47" applyAlignment="1">
      <alignment horizontal="left" vertical="center" indent="1"/>
    </xf>
    <xf numFmtId="4" fontId="48" fillId="28" borderId="47" applyAlignment="1">
      <alignment horizontal="left" vertical="center" indent="1"/>
    </xf>
    <xf numFmtId="4" fontId="48" fillId="40" borderId="47" applyAlignment="1">
      <alignment horizontal="right" vertical="center"/>
    </xf>
    <xf numFmtId="4" fontId="48" fillId="0" borderId="47" applyAlignment="1">
      <alignment horizontal="right" vertical="center"/>
    </xf>
    <xf numFmtId="4" fontId="48" fillId="28" borderId="47" applyAlignment="1">
      <alignment horizontal="left" vertical="center" indent="1"/>
    </xf>
    <xf numFmtId="0" fontId="49" fillId="0" borderId="0"/>
    <xf numFmtId="0" fontId="50" fillId="0" borderId="0"/>
    <xf numFmtId="0" fontId="51" fillId="0" borderId="48"/>
    <xf numFmtId="0" fontId="52" fillId="0" borderId="0"/>
    <xf numFmtId="0" fontId="53" fillId="36" borderId="0" applyAlignment="1">
      <alignment horizontal="left" vertical="center" indent="1"/>
    </xf>
    <xf numFmtId="43" fontId="76" fillId="0" borderId="0"/>
    <xf numFmtId="43" fontId="76" fillId="0" borderId="0"/>
    <xf numFmtId="43" fontId="28" fillId="0" borderId="0"/>
    <xf numFmtId="43" fontId="30" fillId="0" borderId="0"/>
    <xf numFmtId="0" fontId="76" fillId="0" borderId="0"/>
    <xf numFmtId="0" fontId="28" fillId="0" borderId="0"/>
    <xf numFmtId="0" fontId="76" fillId="0" borderId="0"/>
    <xf numFmtId="0" fontId="54" fillId="0" borderId="0"/>
    <xf numFmtId="0" fontId="3" fillId="0" borderId="0"/>
    <xf numFmtId="0" fontId="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55" fillId="21" borderId="39"/>
    <xf numFmtId="40" fontId="56" fillId="0" borderId="0"/>
    <xf numFmtId="38" fontId="56" fillId="0" borderId="0"/>
    <xf numFmtId="0" fontId="57" fillId="0" borderId="0"/>
    <xf numFmtId="179" fontId="28" fillId="0" borderId="0"/>
    <xf numFmtId="180" fontId="28" fillId="0" borderId="0"/>
    <xf numFmtId="181" fontId="71" fillId="0" borderId="0"/>
    <xf numFmtId="182" fontId="72" fillId="0" borderId="0"/>
    <xf numFmtId="183" fontId="72" fillId="0" borderId="0"/>
    <xf numFmtId="38" fontId="48" fillId="46" borderId="0"/>
    <xf numFmtId="0" fontId="73" fillId="0" borderId="0"/>
    <xf numFmtId="0" fontId="74" fillId="0" borderId="0"/>
    <xf numFmtId="10" fontId="48" fillId="47" borderId="2"/>
    <xf numFmtId="41" fontId="76" fillId="0" borderId="0"/>
    <xf numFmtId="43" fontId="76" fillId="0" borderId="0"/>
    <xf numFmtId="42" fontId="76" fillId="0" borderId="0"/>
    <xf numFmtId="184" fontId="76" fillId="0" borderId="0"/>
    <xf numFmtId="37" fontId="75" fillId="0" borderId="0"/>
    <xf numFmtId="185" fontId="72" fillId="0" borderId="0"/>
    <xf numFmtId="0" fontId="76" fillId="0" borderId="0"/>
    <xf numFmtId="10" fontId="76" fillId="0" borderId="0"/>
    <xf numFmtId="1" fontId="76" fillId="0" borderId="7" applyAlignment="1">
      <alignment horizontal="center" vertical="center"/>
    </xf>
    <xf numFmtId="186" fontId="72" fillId="0" borderId="4"/>
    <xf numFmtId="187" fontId="49" fillId="0" borderId="0"/>
    <xf numFmtId="43" fontId="76" fillId="0" borderId="0"/>
    <xf numFmtId="43" fontId="30" fillId="0" borderId="0"/>
    <xf numFmtId="43" fontId="30" fillId="0" borderId="0"/>
    <xf numFmtId="43" fontId="30" fillId="0" borderId="0"/>
    <xf numFmtId="9" fontId="76" fillId="0" borderId="0"/>
    <xf numFmtId="9" fontId="30" fillId="0" borderId="0"/>
    <xf numFmtId="9" fontId="30" fillId="0" borderId="0"/>
    <xf numFmtId="9" fontId="30" fillId="0" borderId="0"/>
    <xf numFmtId="9" fontId="30" fillId="0" borderId="0"/>
    <xf numFmtId="9" fontId="76" fillId="0" borderId="0"/>
    <xf numFmtId="0" fontId="31" fillId="0" borderId="0"/>
    <xf numFmtId="0" fontId="31" fillId="0" borderId="0"/>
    <xf numFmtId="0" fontId="3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4" fillId="0" borderId="0"/>
    <xf numFmtId="9" fontId="3" fillId="0" borderId="0"/>
    <xf numFmtId="43" fontId="76" fillId="0" borderId="0"/>
    <xf numFmtId="0" fontId="31" fillId="0" borderId="0"/>
    <xf numFmtId="43" fontId="31" fillId="0" borderId="0"/>
    <xf numFmtId="0" fontId="3" fillId="0" borderId="0"/>
    <xf numFmtId="9" fontId="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31" fillId="0" borderId="0"/>
    <xf numFmtId="43" fontId="76" fillId="0" borderId="0"/>
    <xf numFmtId="0" fontId="137" fillId="0" borderId="0"/>
  </cellStyleXfs>
  <cellXfs count="1813">
    <xf numFmtId="0" fontId="0" fillId="0" borderId="0" pivotButton="0" quotePrefix="0" xfId="0"/>
    <xf numFmtId="164" fontId="7" fillId="0" borderId="0" applyAlignment="1" pivotButton="0" quotePrefix="0" xfId="0">
      <alignment horizontal="center"/>
    </xf>
    <xf numFmtId="0" fontId="0" fillId="0" borderId="2" pivotButton="0" quotePrefix="0" xfId="0"/>
    <xf numFmtId="0" fontId="11" fillId="10" borderId="2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/>
    </xf>
    <xf numFmtId="43" fontId="11" fillId="8" borderId="4" applyAlignment="1" pivotButton="0" quotePrefix="0" xfId="1">
      <alignment horizontal="center" vertical="center"/>
    </xf>
    <xf numFmtId="0" fontId="11" fillId="9" borderId="30" applyAlignment="1" pivotButton="0" quotePrefix="0" xfId="0">
      <alignment horizontal="center" vertical="center" wrapText="1"/>
    </xf>
    <xf numFmtId="0" fontId="11" fillId="9" borderId="31" applyAlignment="1" pivotButton="0" quotePrefix="0" xfId="0">
      <alignment horizontal="center" vertical="center" wrapText="1"/>
    </xf>
    <xf numFmtId="0" fontId="11" fillId="9" borderId="12" applyAlignment="1" pivotButton="0" quotePrefix="0" xfId="0">
      <alignment horizontal="center" vertical="center" wrapText="1"/>
    </xf>
    <xf numFmtId="0" fontId="11" fillId="10" borderId="34" applyAlignment="1" pivotButton="0" quotePrefix="0" xfId="0">
      <alignment horizontal="center" vertical="center"/>
    </xf>
    <xf numFmtId="0" fontId="11" fillId="10" borderId="23" applyAlignment="1" pivotButton="0" quotePrefix="0" xfId="0">
      <alignment horizontal="center" vertical="center"/>
    </xf>
    <xf numFmtId="0" fontId="11" fillId="10" borderId="30" applyAlignment="1" pivotButton="0" quotePrefix="0" xfId="0">
      <alignment horizontal="center" vertical="center"/>
    </xf>
    <xf numFmtId="0" fontId="11" fillId="10" borderId="31" applyAlignment="1" pivotButton="0" quotePrefix="0" xfId="0">
      <alignment horizontal="center" vertical="center"/>
    </xf>
    <xf numFmtId="0" fontId="11" fillId="10" borderId="32" applyAlignment="1" pivotButton="0" quotePrefix="0" xfId="0">
      <alignment vertical="center" wrapText="1"/>
    </xf>
    <xf numFmtId="0" fontId="14" fillId="0" borderId="11" pivotButton="0" quotePrefix="0" xfId="0"/>
    <xf numFmtId="0" fontId="15" fillId="0" borderId="11" applyAlignment="1" pivotButton="0" quotePrefix="0" xfId="0">
      <alignment horizontal="center"/>
    </xf>
    <xf numFmtId="43" fontId="15" fillId="0" borderId="1" pivotButton="0" quotePrefix="0" xfId="1"/>
    <xf numFmtId="164" fontId="15" fillId="0" borderId="1" pivotButton="0" quotePrefix="0" xfId="1"/>
    <xf numFmtId="164" fontId="15" fillId="0" borderId="0" pivotButton="0" quotePrefix="0" xfId="1"/>
    <xf numFmtId="164" fontId="15" fillId="0" borderId="11" pivotButton="0" quotePrefix="0" xfId="1"/>
    <xf numFmtId="164" fontId="15" fillId="12" borderId="1" pivotButton="0" quotePrefix="0" xfId="1"/>
    <xf numFmtId="164" fontId="15" fillId="12" borderId="0" pivotButton="0" quotePrefix="0" xfId="1"/>
    <xf numFmtId="164" fontId="15" fillId="13" borderId="2" pivotButton="0" quotePrefix="0" xfId="1"/>
    <xf numFmtId="43" fontId="15" fillId="13" borderId="1" pivotButton="0" quotePrefix="0" xfId="1"/>
    <xf numFmtId="43" fontId="15" fillId="12" borderId="1" pivotButton="0" quotePrefix="0" xfId="1"/>
    <xf numFmtId="0" fontId="15" fillId="0" borderId="2" pivotButton="0" quotePrefix="0" xfId="0"/>
    <xf numFmtId="0" fontId="15" fillId="0" borderId="11" pivotButton="0" quotePrefix="0" xfId="0"/>
    <xf numFmtId="43" fontId="15" fillId="0" borderId="7" pivotButton="0" quotePrefix="0" xfId="1"/>
    <xf numFmtId="164" fontId="15" fillId="0" borderId="7" pivotButton="0" quotePrefix="0" xfId="1"/>
    <xf numFmtId="164" fontId="15" fillId="12" borderId="7" pivotButton="0" quotePrefix="0" xfId="1"/>
    <xf numFmtId="43" fontId="16" fillId="0" borderId="2" pivotButton="0" quotePrefix="0" xfId="0"/>
    <xf numFmtId="164" fontId="8" fillId="0" borderId="0" pivotButton="0" quotePrefix="0" xfId="0"/>
    <xf numFmtId="43" fontId="16" fillId="0" borderId="2" pivotButton="0" quotePrefix="0" xfId="1"/>
    <xf numFmtId="43" fontId="15" fillId="0" borderId="7" applyAlignment="1" pivotButton="0" quotePrefix="0" xfId="1">
      <alignment vertical="center" wrapText="1"/>
    </xf>
    <xf numFmtId="164" fontId="15" fillId="12" borderId="11" pivotButton="0" quotePrefix="0" xfId="1"/>
    <xf numFmtId="0" fontId="16" fillId="0" borderId="2" pivotButton="0" quotePrefix="0" xfId="0"/>
    <xf numFmtId="43" fontId="15" fillId="0" borderId="8" applyAlignment="1" pivotButton="0" quotePrefix="0" xfId="1">
      <alignment vertical="center" wrapText="1"/>
    </xf>
    <xf numFmtId="164" fontId="15" fillId="0" borderId="8" pivotButton="0" quotePrefix="0" xfId="1"/>
    <xf numFmtId="164" fontId="15" fillId="0" borderId="23" pivotButton="0" quotePrefix="0" xfId="1"/>
    <xf numFmtId="0" fontId="15" fillId="14" borderId="3" pivotButton="0" quotePrefix="0" xfId="0"/>
    <xf numFmtId="0" fontId="14" fillId="14" borderId="2" applyAlignment="1" pivotButton="0" quotePrefix="0" xfId="0">
      <alignment horizontal="center"/>
    </xf>
    <xf numFmtId="43" fontId="15" fillId="14" borderId="10" pivotButton="0" quotePrefix="0" xfId="1"/>
    <xf numFmtId="43" fontId="11" fillId="14" borderId="1" pivotButton="0" quotePrefix="0" xfId="1"/>
    <xf numFmtId="43" fontId="17" fillId="14" borderId="2" pivotButton="0" quotePrefix="0" xfId="0"/>
    <xf numFmtId="0" fontId="15" fillId="0" borderId="1" pivotButton="0" quotePrefix="0" xfId="0"/>
    <xf numFmtId="0" fontId="18" fillId="0" borderId="1" applyAlignment="1" pivotButton="0" quotePrefix="0" xfId="0">
      <alignment horizontal="center"/>
    </xf>
    <xf numFmtId="43" fontId="19" fillId="0" borderId="1" pivotButton="0" quotePrefix="0" xfId="1"/>
    <xf numFmtId="164" fontId="15" fillId="12" borderId="6" pivotButton="0" quotePrefix="0" xfId="1"/>
    <xf numFmtId="164" fontId="15" fillId="12" borderId="9" pivotButton="0" quotePrefix="0" xfId="1"/>
    <xf numFmtId="164" fontId="15" fillId="12" borderId="10" pivotButton="0" quotePrefix="0" xfId="1"/>
    <xf numFmtId="43" fontId="15" fillId="12" borderId="6" pivotButton="0" quotePrefix="0" xfId="1"/>
    <xf numFmtId="43" fontId="15" fillId="12" borderId="9" pivotButton="0" quotePrefix="0" xfId="1"/>
    <xf numFmtId="0" fontId="15" fillId="0" borderId="7" pivotButton="0" quotePrefix="0" xfId="0"/>
    <xf numFmtId="0" fontId="18" fillId="0" borderId="7" applyAlignment="1" pivotButton="0" quotePrefix="0" xfId="0">
      <alignment horizontal="center"/>
    </xf>
    <xf numFmtId="43" fontId="19" fillId="0" borderId="7" pivotButton="0" quotePrefix="0" xfId="1"/>
    <xf numFmtId="164" fontId="15" fillId="12" borderId="35" pivotButton="0" quotePrefix="0" xfId="1"/>
    <xf numFmtId="43" fontId="15" fillId="12" borderId="11" pivotButton="0" quotePrefix="0" xfId="1"/>
    <xf numFmtId="43" fontId="15" fillId="12" borderId="0" pivotButton="0" quotePrefix="0" xfId="1"/>
    <xf numFmtId="43" fontId="16" fillId="0" borderId="5" pivotButton="0" quotePrefix="0" xfId="0"/>
    <xf numFmtId="43" fontId="19" fillId="12" borderId="0" pivotButton="0" quotePrefix="0" xfId="1"/>
    <xf numFmtId="0" fontId="15" fillId="0" borderId="5" pivotButton="0" quotePrefix="0" xfId="0"/>
    <xf numFmtId="164" fontId="8" fillId="0" borderId="0" pivotButton="0" quotePrefix="0" xfId="1"/>
    <xf numFmtId="164" fontId="15" fillId="12" borderId="23" pivotButton="0" quotePrefix="0" xfId="1"/>
    <xf numFmtId="164" fontId="15" fillId="12" borderId="12" pivotButton="0" quotePrefix="0" xfId="1"/>
    <xf numFmtId="43" fontId="19" fillId="12" borderId="12" pivotButton="0" quotePrefix="0" xfId="1"/>
    <xf numFmtId="164" fontId="15" fillId="12" borderId="13" pivotButton="0" quotePrefix="0" xfId="1"/>
    <xf numFmtId="43" fontId="15" fillId="12" borderId="23" pivotButton="0" quotePrefix="0" xfId="1"/>
    <xf numFmtId="43" fontId="15" fillId="12" borderId="12" pivotButton="0" quotePrefix="0" xfId="1"/>
    <xf numFmtId="43" fontId="11" fillId="14" borderId="2" pivotButton="0" quotePrefix="0" xfId="1"/>
    <xf numFmtId="43" fontId="11" fillId="14" borderId="8" pivotButton="0" quotePrefix="0" xfId="1"/>
    <xf numFmtId="0" fontId="17" fillId="14" borderId="5" pivotButton="0" quotePrefix="0" xfId="0"/>
    <xf numFmtId="0" fontId="15" fillId="0" borderId="0" pivotButton="0" quotePrefix="0" xfId="0"/>
    <xf numFmtId="43" fontId="18" fillId="0" borderId="1" pivotButton="0" quotePrefix="0" xfId="1"/>
    <xf numFmtId="164" fontId="15" fillId="0" borderId="36" pivotButton="0" quotePrefix="0" xfId="0"/>
    <xf numFmtId="0" fontId="8" fillId="0" borderId="0" applyAlignment="1" pivotButton="0" quotePrefix="0" xfId="0">
      <alignment vertical="center" wrapText="1"/>
    </xf>
    <xf numFmtId="164" fontId="15" fillId="0" borderId="37" pivotButton="0" quotePrefix="0" xfId="1"/>
    <xf numFmtId="43" fontId="8" fillId="0" borderId="0" pivotButton="0" quotePrefix="0" xfId="0"/>
    <xf numFmtId="43" fontId="15" fillId="0" borderId="8" pivotButton="0" quotePrefix="0" xfId="1"/>
    <xf numFmtId="164" fontId="15" fillId="0" borderId="38" pivotButton="0" quotePrefix="0" xfId="0"/>
    <xf numFmtId="0" fontId="7" fillId="0" borderId="0" applyAlignment="1" pivotButton="0" quotePrefix="0" xfId="0">
      <alignment horizontal="center" vertical="center"/>
    </xf>
    <xf numFmtId="0" fontId="17" fillId="14" borderId="2" pivotButton="0" quotePrefix="0" xfId="0"/>
    <xf numFmtId="0" fontId="15" fillId="0" borderId="1" applyAlignment="1" pivotButton="0" quotePrefix="0" xfId="0">
      <alignment horizontal="center"/>
    </xf>
    <xf numFmtId="43" fontId="15" fillId="0" borderId="9" pivotButton="0" quotePrefix="0" xfId="1"/>
    <xf numFmtId="0" fontId="15" fillId="0" borderId="7" applyAlignment="1" pivotButton="0" quotePrefix="0" xfId="0">
      <alignment horizontal="center"/>
    </xf>
    <xf numFmtId="43" fontId="15" fillId="0" borderId="0" pivotButton="0" quotePrefix="0" xfId="1"/>
    <xf numFmtId="0" fontId="8" fillId="0" borderId="0" pivotButton="0" quotePrefix="0" xfId="0"/>
    <xf numFmtId="0" fontId="15" fillId="0" borderId="8" pivotButton="0" quotePrefix="0" xfId="0"/>
    <xf numFmtId="0" fontId="14" fillId="0" borderId="11" applyAlignment="1" pivotButton="0" quotePrefix="0" xfId="0">
      <alignment horizontal="center" vertical="center" textRotation="90"/>
    </xf>
    <xf numFmtId="0" fontId="15" fillId="0" borderId="0" applyAlignment="1" pivotButton="0" quotePrefix="0" xfId="0">
      <alignment horizontal="center"/>
    </xf>
    <xf numFmtId="43" fontId="21" fillId="3" borderId="5" applyAlignment="1" pivotButton="0" quotePrefix="0" xfId="1">
      <alignment horizontal="right" vertical="center"/>
    </xf>
    <xf numFmtId="0" fontId="14" fillId="0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43" fontId="8" fillId="0" borderId="0" pivotButton="0" quotePrefix="0" xfId="1"/>
    <xf numFmtId="164" fontId="8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7" fillId="0" borderId="0" pivotButton="0" quotePrefix="0" xfId="0"/>
    <xf numFmtId="0" fontId="63" fillId="43" borderId="3" applyAlignment="1" pivotButton="0" quotePrefix="0" xfId="0">
      <alignment horizontal="center" vertical="center" wrapText="1"/>
    </xf>
    <xf numFmtId="43" fontId="64" fillId="0" borderId="5" applyAlignment="1" pivotButton="0" quotePrefix="0" xfId="1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3" fillId="43" borderId="3" applyAlignment="1" pivotButton="0" quotePrefix="0" xfId="0">
      <alignment horizontal="center" vertical="center"/>
    </xf>
    <xf numFmtId="0" fontId="63" fillId="43" borderId="2" applyAlignment="1" pivotButton="0" quotePrefix="0" xfId="0">
      <alignment horizontal="center" vertical="center"/>
    </xf>
    <xf numFmtId="43" fontId="64" fillId="0" borderId="2" applyAlignment="1" pivotButton="0" quotePrefix="0" xfId="1">
      <alignment horizontal="center" vertical="center"/>
    </xf>
    <xf numFmtId="43" fontId="66" fillId="14" borderId="2" applyAlignment="1" pivotButton="0" quotePrefix="0" xfId="1">
      <alignment horizontal="center" vertical="center"/>
    </xf>
    <xf numFmtId="0" fontId="62" fillId="2" borderId="0" applyAlignment="1" pivotButton="0" quotePrefix="0" xfId="0">
      <alignment vertical="center"/>
    </xf>
    <xf numFmtId="0" fontId="15" fillId="14" borderId="10" pivotButton="0" quotePrefix="0" xfId="0"/>
    <xf numFmtId="0" fontId="15" fillId="14" borderId="13" pivotButton="0" quotePrefix="0" xfId="0"/>
    <xf numFmtId="0" fontId="6" fillId="15" borderId="4" applyAlignment="1" pivotButton="0" quotePrefix="0" xfId="0">
      <alignment horizontal="center" vertical="center"/>
    </xf>
    <xf numFmtId="0" fontId="15" fillId="14" borderId="5" pivotButton="0" quotePrefix="0" xfId="0"/>
    <xf numFmtId="164" fontId="15" fillId="0" borderId="49" pivotButton="0" quotePrefix="0" xfId="1"/>
    <xf numFmtId="164" fontId="15" fillId="0" borderId="50" pivotButton="0" quotePrefix="0" xfId="1"/>
    <xf numFmtId="0" fontId="29" fillId="0" borderId="0" pivotButton="0" quotePrefix="0" xfId="161"/>
    <xf numFmtId="0" fontId="8" fillId="0" borderId="0" pivotButton="0" quotePrefix="0" xfId="161"/>
    <xf numFmtId="0" fontId="8" fillId="0" borderId="0" applyAlignment="1" pivotButton="0" quotePrefix="0" xfId="161">
      <alignment vertical="center"/>
    </xf>
    <xf numFmtId="0" fontId="8" fillId="0" borderId="0" applyAlignment="1" pivotButton="0" quotePrefix="0" xfId="161">
      <alignment horizontal="left" vertical="center"/>
    </xf>
    <xf numFmtId="0" fontId="8" fillId="5" borderId="11" pivotButton="0" quotePrefix="0" xfId="161"/>
    <xf numFmtId="0" fontId="8" fillId="5" borderId="35" pivotButton="0" quotePrefix="0" xfId="161"/>
    <xf numFmtId="0" fontId="8" fillId="5" borderId="11" applyAlignment="1" pivotButton="0" quotePrefix="0" xfId="161">
      <alignment vertical="center"/>
    </xf>
    <xf numFmtId="0" fontId="8" fillId="5" borderId="35" applyAlignment="1" pivotButton="0" quotePrefix="0" xfId="161">
      <alignment vertical="center"/>
    </xf>
    <xf numFmtId="0" fontId="8" fillId="13" borderId="2" applyAlignment="1" pivotButton="0" quotePrefix="0" xfId="161">
      <alignment horizontal="center"/>
    </xf>
    <xf numFmtId="0" fontId="8" fillId="5" borderId="3" pivotButton="0" quotePrefix="0" xfId="169"/>
    <xf numFmtId="0" fontId="8" fillId="5" borderId="4" pivotButton="0" quotePrefix="0" xfId="169"/>
    <xf numFmtId="0" fontId="8" fillId="5" borderId="5" pivotButton="0" quotePrefix="0" xfId="169"/>
    <xf numFmtId="0" fontId="81" fillId="0" borderId="0" pivotButton="0" quotePrefix="0" xfId="175"/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62" fillId="2" borderId="23" applyAlignment="1" pivotButton="0" quotePrefix="0" xfId="0">
      <alignment horizontal="center" vertical="center"/>
    </xf>
    <xf numFmtId="165" fontId="66" fillId="1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8" fillId="45" borderId="0" pivotButton="0" quotePrefix="0" xfId="0"/>
    <xf numFmtId="0" fontId="68" fillId="45" borderId="2" pivotButton="0" quotePrefix="0" xfId="0"/>
    <xf numFmtId="0" fontId="68" fillId="45" borderId="2" applyAlignment="1" pivotButton="0" quotePrefix="0" xfId="0">
      <alignment horizontal="center" vertical="top"/>
    </xf>
    <xf numFmtId="0" fontId="68" fillId="45" borderId="2" applyAlignment="1" pivotButton="0" quotePrefix="0" xfId="0">
      <alignment vertical="top"/>
    </xf>
    <xf numFmtId="0" fontId="68" fillId="45" borderId="2" applyAlignment="1" pivotButton="0" quotePrefix="0" xfId="0">
      <alignment horizontal="center" vertical="center"/>
    </xf>
    <xf numFmtId="0" fontId="68" fillId="45" borderId="2" applyAlignment="1" pivotButton="0" quotePrefix="0" xfId="0">
      <alignment horizontal="center"/>
    </xf>
    <xf numFmtId="0" fontId="70" fillId="45" borderId="2" applyAlignment="1" pivotButton="0" quotePrefix="0" xfId="0">
      <alignment vertical="top"/>
    </xf>
    <xf numFmtId="49" fontId="68" fillId="45" borderId="2" applyAlignment="1" pivotButton="0" quotePrefix="0" xfId="0">
      <alignment vertical="top"/>
    </xf>
    <xf numFmtId="0" fontId="4" fillId="4" borderId="0" pivotButton="0" quotePrefix="0" xfId="0"/>
    <xf numFmtId="0" fontId="68" fillId="4" borderId="0" pivotButton="0" quotePrefix="0" xfId="0"/>
    <xf numFmtId="166" fontId="68" fillId="45" borderId="0" pivotButton="0" quotePrefix="0" xfId="1"/>
    <xf numFmtId="166" fontId="68" fillId="45" borderId="0" applyAlignment="1" pivotButton="0" quotePrefix="0" xfId="1">
      <alignment horizontal="center"/>
    </xf>
    <xf numFmtId="166" fontId="68" fillId="45" borderId="2" applyAlignment="1" pivotButton="0" quotePrefix="0" xfId="1">
      <alignment horizontal="center"/>
    </xf>
    <xf numFmtId="0" fontId="68" fillId="45" borderId="2" applyAlignment="1" pivotButton="0" quotePrefix="0" xfId="1">
      <alignment horizontal="center" vertical="top"/>
    </xf>
    <xf numFmtId="0" fontId="68" fillId="45" borderId="2" applyAlignment="1" pivotButton="0" quotePrefix="0" xfId="1">
      <alignment horizontal="center"/>
    </xf>
    <xf numFmtId="0" fontId="68" fillId="45" borderId="0" applyAlignment="1" pivotButton="0" quotePrefix="0" xfId="1">
      <alignment horizontal="center"/>
    </xf>
    <xf numFmtId="166" fontId="68" fillId="45" borderId="2" pivotButton="0" quotePrefix="0" xfId="1"/>
    <xf numFmtId="43" fontId="15" fillId="13" borderId="10" pivotButton="0" quotePrefix="0" xfId="1"/>
    <xf numFmtId="43" fontId="11" fillId="14" borderId="5" pivotButton="0" quotePrefix="0" xfId="1"/>
    <xf numFmtId="167" fontId="68" fillId="45" borderId="2" applyAlignment="1" pivotButton="0" quotePrefix="0" xfId="1">
      <alignment horizontal="center" vertical="top"/>
    </xf>
    <xf numFmtId="0" fontId="9" fillId="44" borderId="2" applyAlignment="1" pivotButton="0" quotePrefix="0" xfId="0">
      <alignment horizontal="center" vertical="center"/>
    </xf>
    <xf numFmtId="0" fontId="59" fillId="45" borderId="2" applyAlignment="1" pivotButton="0" quotePrefix="0" xfId="0">
      <alignment horizontal="left" vertical="center"/>
    </xf>
    <xf numFmtId="0" fontId="59" fillId="45" borderId="2" applyAlignment="1" pivotButton="0" quotePrefix="0" xfId="0">
      <alignment horizontal="center" vertical="center"/>
    </xf>
    <xf numFmtId="11" fontId="59" fillId="45" borderId="2" applyAlignment="1" pivotButton="0" quotePrefix="0" xfId="0">
      <alignment horizontal="center" vertical="center"/>
    </xf>
    <xf numFmtId="168" fontId="59" fillId="45" borderId="2" applyAlignment="1" pivotButton="0" quotePrefix="0" xfId="0">
      <alignment horizontal="center" vertical="center"/>
    </xf>
    <xf numFmtId="0" fontId="68" fillId="45" borderId="0" applyAlignment="1" pivotButton="0" quotePrefix="0" xfId="0">
      <alignment horizontal="left" vertical="top"/>
    </xf>
    <xf numFmtId="166" fontId="68" fillId="45" borderId="0" applyAlignment="1" pivotButton="0" quotePrefix="0" xfId="1">
      <alignment horizontal="left" vertical="top"/>
    </xf>
    <xf numFmtId="0" fontId="68" fillId="4" borderId="0" applyAlignment="1" pivotButton="0" quotePrefix="0" xfId="0">
      <alignment horizontal="left" vertical="top"/>
    </xf>
    <xf numFmtId="166" fontId="68" fillId="4" borderId="0" applyAlignment="1" pivotButton="0" quotePrefix="0" xfId="1">
      <alignment horizontal="left" vertical="top"/>
    </xf>
    <xf numFmtId="166" fontId="68" fillId="4" borderId="0" applyAlignment="1" pivotButton="0" quotePrefix="0" xfId="1">
      <alignment horizontal="left" vertical="top" wrapText="1"/>
    </xf>
    <xf numFmtId="166" fontId="68" fillId="4" borderId="0" pivotButton="0" quotePrefix="0" xfId="1"/>
    <xf numFmtId="164" fontId="68" fillId="45" borderId="0" pivotButton="0" quotePrefix="0" xfId="1"/>
    <xf numFmtId="43" fontId="68" fillId="45" borderId="0" pivotButton="0" quotePrefix="0" xfId="1"/>
    <xf numFmtId="168" fontId="68" fillId="45" borderId="0" pivotButton="0" quotePrefix="0" xfId="0"/>
    <xf numFmtId="0" fontId="68" fillId="45" borderId="0" applyAlignment="1" pivotButton="0" quotePrefix="0" xfId="0">
      <alignment horizontal="center"/>
    </xf>
    <xf numFmtId="2" fontId="68" fillId="45" borderId="2" applyAlignment="1" pivotButton="0" quotePrefix="0" xfId="1">
      <alignment horizontal="center"/>
    </xf>
    <xf numFmtId="165" fontId="0" fillId="0" borderId="2" pivotButton="0" quotePrefix="0" xfId="1"/>
    <xf numFmtId="43" fontId="64" fillId="0" borderId="2" applyAlignment="1" pivotButton="0" quotePrefix="0" xfId="0">
      <alignment horizontal="center" vertical="center"/>
    </xf>
    <xf numFmtId="0" fontId="10" fillId="8" borderId="4" applyAlignment="1" pivotButton="0" quotePrefix="0" xfId="161">
      <alignment horizontal="left" vertical="center"/>
    </xf>
    <xf numFmtId="0" fontId="68" fillId="45" borderId="2" applyAlignment="1" pivotButton="0" quotePrefix="0" xfId="0">
      <alignment horizontal="center" vertical="center" wrapText="1"/>
    </xf>
    <xf numFmtId="0" fontId="68" fillId="45" borderId="2" applyAlignment="1" pivotButton="0" quotePrefix="0" xfId="0">
      <alignment vertical="center"/>
    </xf>
    <xf numFmtId="0" fontId="68" fillId="45" borderId="2" applyAlignment="1" pivotButton="0" quotePrefix="0" xfId="0">
      <alignment vertical="center" wrapText="1"/>
    </xf>
    <xf numFmtId="164" fontId="9" fillId="44" borderId="2" applyAlignment="1" pivotButton="0" quotePrefix="0" xfId="1">
      <alignment horizontal="center" vertical="center"/>
    </xf>
    <xf numFmtId="164" fontId="59" fillId="45" borderId="2" applyAlignment="1" pivotButton="0" quotePrefix="0" xfId="1">
      <alignment horizontal="center" vertical="center"/>
    </xf>
    <xf numFmtId="164" fontId="59" fillId="45" borderId="0" applyAlignment="1" pivotButton="0" quotePrefix="0" xfId="1">
      <alignment horizontal="center" vertical="center"/>
    </xf>
    <xf numFmtId="164" fontId="68" fillId="4" borderId="0" pivotButton="0" quotePrefix="0" xfId="1"/>
    <xf numFmtId="164" fontId="68" fillId="45" borderId="0" applyAlignment="1" pivotButton="0" quotePrefix="0" xfId="1">
      <alignment horizontal="center"/>
    </xf>
    <xf numFmtId="164" fontId="68" fillId="45" borderId="2" applyAlignment="1" pivotButton="0" quotePrefix="0" xfId="1">
      <alignment horizontal="center"/>
    </xf>
    <xf numFmtId="164" fontId="68" fillId="45" borderId="2" pivotButton="0" quotePrefix="0" xfId="1"/>
    <xf numFmtId="0" fontId="70" fillId="45" borderId="2" applyAlignment="1" pivotButton="0" quotePrefix="0" xfId="0">
      <alignment vertical="center"/>
    </xf>
    <xf numFmtId="0" fontId="8" fillId="45" borderId="23" pivotButton="0" quotePrefix="0" xfId="0"/>
    <xf numFmtId="0" fontId="8" fillId="45" borderId="12" pivotButton="0" quotePrefix="0" xfId="0"/>
    <xf numFmtId="0" fontId="8" fillId="45" borderId="13" pivotButton="0" quotePrefix="0" xfId="0"/>
    <xf numFmtId="0" fontId="8" fillId="45" borderId="0" pivotButton="0" quotePrefix="0" xfId="0"/>
    <xf numFmtId="0" fontId="65" fillId="42" borderId="2" applyAlignment="1" pivotButton="0" quotePrefix="0" xfId="0">
      <alignment horizontal="center" vertical="center" wrapText="1"/>
    </xf>
    <xf numFmtId="0" fontId="8" fillId="45" borderId="11" pivotButton="0" quotePrefix="0" xfId="0"/>
    <xf numFmtId="0" fontId="8" fillId="45" borderId="35" pivotButton="0" quotePrefix="0" xfId="0"/>
    <xf numFmtId="0" fontId="8" fillId="5" borderId="0" pivotButton="0" quotePrefix="0" xfId="161"/>
    <xf numFmtId="0" fontId="83" fillId="13" borderId="2" applyAlignment="1" pivotButton="0" quotePrefix="0" xfId="161">
      <alignment horizontal="center" vertical="center"/>
    </xf>
    <xf numFmtId="0" fontId="8" fillId="13" borderId="3" pivotButton="0" quotePrefix="0" xfId="0"/>
    <xf numFmtId="0" fontId="8" fillId="13" borderId="2" pivotButton="0" quotePrefix="0" xfId="0"/>
    <xf numFmtId="0" fontId="8" fillId="13" borderId="3" applyAlignment="1" pivotButton="0" quotePrefix="0" xfId="0">
      <alignment horizontal="right"/>
    </xf>
    <xf numFmtId="0" fontId="8" fillId="13" borderId="5" pivotButton="0" quotePrefix="0" xfId="0"/>
    <xf numFmtId="0" fontId="61" fillId="13" borderId="3" applyAlignment="1" pivotButton="0" quotePrefix="0" xfId="161">
      <alignment horizontal="center"/>
    </xf>
    <xf numFmtId="0" fontId="61" fillId="13" borderId="4" applyAlignment="1" pivotButton="0" quotePrefix="0" xfId="161">
      <alignment horizontal="center"/>
    </xf>
    <xf numFmtId="0" fontId="61" fillId="13" borderId="5" applyAlignment="1" pivotButton="0" quotePrefix="0" xfId="161">
      <alignment horizontal="center"/>
    </xf>
    <xf numFmtId="0" fontId="68" fillId="45" borderId="0" applyAlignment="1" pivotButton="0" quotePrefix="0" xfId="0">
      <alignment vertical="center"/>
    </xf>
    <xf numFmtId="0" fontId="68" fillId="45" borderId="0" applyAlignment="1" pivotButton="0" quotePrefix="0" xfId="0">
      <alignment vertical="center" wrapText="1"/>
    </xf>
    <xf numFmtId="0" fontId="68" fillId="45" borderId="0" applyAlignment="1" pivotButton="0" quotePrefix="0" xfId="0">
      <alignment horizontal="center" vertical="center"/>
    </xf>
    <xf numFmtId="11" fontId="59" fillId="45" borderId="0" applyAlignment="1" pivotButton="0" quotePrefix="0" xfId="0">
      <alignment horizontal="center" vertical="center"/>
    </xf>
    <xf numFmtId="0" fontId="68" fillId="45" borderId="0" applyAlignment="1" pivotButton="0" quotePrefix="0" xfId="0">
      <alignment horizontal="center" vertical="center" wrapText="1"/>
    </xf>
    <xf numFmtId="49" fontId="68" fillId="45" borderId="0" applyAlignment="1" pivotButton="0" quotePrefix="0" xfId="0">
      <alignment vertical="top"/>
    </xf>
    <xf numFmtId="11" fontId="84" fillId="45" borderId="0" applyAlignment="1" pivotButton="0" quotePrefix="0" xfId="176">
      <alignment horizontal="left" vertical="center"/>
    </xf>
    <xf numFmtId="0" fontId="68" fillId="0" borderId="2" applyAlignment="1" pivotButton="0" quotePrefix="0" xfId="1">
      <alignment horizontal="center" vertical="top"/>
    </xf>
    <xf numFmtId="0" fontId="68" fillId="0" borderId="2" applyAlignment="1" pivotButton="0" quotePrefix="0" xfId="0">
      <alignment horizontal="center" vertical="top"/>
    </xf>
    <xf numFmtId="0" fontId="68" fillId="0" borderId="2" applyAlignment="1" pivotButton="0" quotePrefix="0" xfId="0">
      <alignment vertical="top"/>
    </xf>
    <xf numFmtId="164" fontId="68" fillId="45" borderId="0" pivotButton="0" quotePrefix="0" xfId="0"/>
    <xf numFmtId="0" fontId="0" fillId="0" borderId="2" applyAlignment="1" pivotButton="0" quotePrefix="0" xfId="0">
      <alignment horizontal="center" vertical="center"/>
    </xf>
    <xf numFmtId="0" fontId="8" fillId="45" borderId="0" applyAlignment="1" pivotButton="0" quotePrefix="0" xfId="0">
      <alignment horizontal="center"/>
    </xf>
    <xf numFmtId="0" fontId="8" fillId="45" borderId="35" applyAlignment="1" pivotButton="0" quotePrefix="0" xfId="0">
      <alignment horizontal="center"/>
    </xf>
    <xf numFmtId="0" fontId="8" fillId="45" borderId="11" applyAlignment="1" pivotButton="0" quotePrefix="0" xfId="0">
      <alignment horizontal="center"/>
    </xf>
    <xf numFmtId="0" fontId="8" fillId="45" borderId="11" applyAlignment="1" pivotButton="0" quotePrefix="0" xfId="0">
      <alignment horizontal="left"/>
    </xf>
    <xf numFmtId="169" fontId="15" fillId="0" borderId="1" pivotButton="0" quotePrefix="0" xfId="1"/>
    <xf numFmtId="164" fontId="15" fillId="12" borderId="0" pivotButton="0" quotePrefix="0" xfId="1"/>
    <xf numFmtId="43" fontId="15" fillId="12" borderId="0" pivotButton="0" quotePrefix="0" xfId="1"/>
    <xf numFmtId="0" fontId="7" fillId="0" borderId="2" applyAlignment="1" pivotButton="0" quotePrefix="0" xfId="161">
      <alignment horizontal="left" vertical="center"/>
    </xf>
    <xf numFmtId="0" fontId="7" fillId="0" borderId="2" applyAlignment="1" pivotButton="0" quotePrefix="0" xfId="161">
      <alignment horizontal="center" vertical="center"/>
    </xf>
    <xf numFmtId="0" fontId="89" fillId="0" borderId="2" applyAlignment="1" pivotButton="0" quotePrefix="0" xfId="161">
      <alignment horizontal="center" vertical="center"/>
    </xf>
    <xf numFmtId="0" fontId="7" fillId="0" borderId="2" applyAlignment="1" pivotButton="0" quotePrefix="0" xfId="175">
      <alignment horizontal="left" vertical="center"/>
    </xf>
    <xf numFmtId="0" fontId="7" fillId="0" borderId="2" applyAlignment="1" pivotButton="0" quotePrefix="0" xfId="175">
      <alignment horizontal="center" vertical="center"/>
    </xf>
    <xf numFmtId="0" fontId="89" fillId="0" borderId="2" applyAlignment="1" pivotButton="0" quotePrefix="0" xfId="175">
      <alignment horizontal="center" vertical="center"/>
    </xf>
    <xf numFmtId="0" fontId="6" fillId="15" borderId="2" applyAlignment="1" pivotButton="0" quotePrefix="0" xfId="0">
      <alignment horizontal="center"/>
    </xf>
    <xf numFmtId="0" fontId="93" fillId="15" borderId="4" pivotButton="0" quotePrefix="0" xfId="0"/>
    <xf numFmtId="0" fontId="94" fillId="0" borderId="0" pivotButton="0" quotePrefix="0" xfId="0"/>
    <xf numFmtId="0" fontId="61" fillId="15" borderId="4" pivotButton="0" quotePrefix="0" xfId="0"/>
    <xf numFmtId="0" fontId="61" fillId="15" borderId="5" pivotButton="0" quotePrefix="0" xfId="0"/>
    <xf numFmtId="0" fontId="61" fillId="0" borderId="0" pivotButton="0" quotePrefix="0" xfId="0"/>
    <xf numFmtId="0" fontId="8" fillId="0" borderId="0" pivotButton="0" quotePrefix="0" xfId="175"/>
    <xf numFmtId="0" fontId="94" fillId="45" borderId="11" pivotButton="0" quotePrefix="0" xfId="0"/>
    <xf numFmtId="0" fontId="94" fillId="45" borderId="0" pivotButton="0" quotePrefix="0" xfId="0"/>
    <xf numFmtId="0" fontId="94" fillId="45" borderId="35" pivotButton="0" quotePrefix="0" xfId="0"/>
    <xf numFmtId="0" fontId="94" fillId="45" borderId="23" pivotButton="0" quotePrefix="0" xfId="0"/>
    <xf numFmtId="0" fontId="94" fillId="45" borderId="12" pivotButton="0" quotePrefix="0" xfId="0"/>
    <xf numFmtId="0" fontId="94" fillId="45" borderId="13" pivotButton="0" quotePrefix="0" xfId="0"/>
    <xf numFmtId="0" fontId="8" fillId="0" borderId="0" pivotButton="0" quotePrefix="0" xfId="174"/>
    <xf numFmtId="0" fontId="7" fillId="0" borderId="2" applyAlignment="1" pivotButton="0" quotePrefix="0" xfId="174">
      <alignment horizontal="left" vertical="center"/>
    </xf>
    <xf numFmtId="0" fontId="7" fillId="0" borderId="2" applyAlignment="1" pivotButton="0" quotePrefix="0" xfId="174">
      <alignment horizontal="center" vertical="center"/>
    </xf>
    <xf numFmtId="0" fontId="88" fillId="45" borderId="3" applyAlignment="1" pivotButton="0" quotePrefix="0" xfId="174">
      <alignment vertical="center"/>
    </xf>
    <xf numFmtId="0" fontId="88" fillId="45" borderId="5" applyAlignment="1" pivotButton="0" quotePrefix="0" xfId="174">
      <alignment vertical="center"/>
    </xf>
    <xf numFmtId="0" fontId="88" fillId="45" borderId="4" applyAlignment="1" pivotButton="0" quotePrefix="0" xfId="174">
      <alignment vertical="center"/>
    </xf>
    <xf numFmtId="0" fontId="88" fillId="0" borderId="5" applyAlignment="1" pivotButton="0" quotePrefix="0" xfId="174">
      <alignment horizontal="left" vertical="center"/>
    </xf>
    <xf numFmtId="0" fontId="7" fillId="0" borderId="2" applyAlignment="1" pivotButton="0" quotePrefix="0" xfId="169">
      <alignment horizontal="left" vertical="center"/>
    </xf>
    <xf numFmtId="0" fontId="7" fillId="0" borderId="2" applyAlignment="1" pivotButton="0" quotePrefix="0" xfId="169">
      <alignment vertical="center"/>
    </xf>
    <xf numFmtId="0" fontId="7" fillId="0" borderId="2" applyAlignment="1" pivotButton="0" quotePrefix="0" xfId="169">
      <alignment horizontal="center" vertical="center"/>
    </xf>
    <xf numFmtId="0" fontId="89" fillId="0" borderId="2" applyAlignment="1" pivotButton="0" quotePrefix="0" xfId="169">
      <alignment horizontal="center" vertical="center"/>
    </xf>
    <xf numFmtId="0" fontId="7" fillId="0" borderId="2" applyAlignment="1" pivotButton="0" quotePrefix="0" xfId="173">
      <alignment horizontal="center" vertical="center"/>
    </xf>
    <xf numFmtId="0" fontId="7" fillId="0" borderId="2" applyAlignment="1" pivotButton="0" quotePrefix="0" xfId="173">
      <alignment vertical="center"/>
    </xf>
    <xf numFmtId="0" fontId="89" fillId="0" borderId="2" applyAlignment="1" pivotButton="0" quotePrefix="0" xfId="173">
      <alignment horizontal="center" vertical="center"/>
    </xf>
    <xf numFmtId="0" fontId="7" fillId="49" borderId="6" applyAlignment="1" pivotButton="0" quotePrefix="0" xfId="173">
      <alignment horizontal="center"/>
    </xf>
    <xf numFmtId="0" fontId="61" fillId="45" borderId="11" pivotButton="0" quotePrefix="0" xfId="0"/>
    <xf numFmtId="0" fontId="61" fillId="45" borderId="0" pivotButton="0" quotePrefix="0" xfId="0"/>
    <xf numFmtId="0" fontId="6" fillId="12" borderId="2" applyAlignment="1" pivotButton="0" quotePrefix="0" xfId="0">
      <alignment horizontal="center" vertical="center" wrapText="1"/>
    </xf>
    <xf numFmtId="0" fontId="6" fillId="51" borderId="2" applyAlignment="1" pivotButton="0" quotePrefix="0" xfId="0">
      <alignment horizontal="center" vertical="center" wrapText="1"/>
    </xf>
    <xf numFmtId="0" fontId="97" fillId="52" borderId="2" applyAlignment="1" pivotButton="0" quotePrefix="0" xfId="0">
      <alignment horizontal="center" vertical="center" wrapText="1"/>
    </xf>
    <xf numFmtId="0" fontId="97" fillId="53" borderId="2" applyAlignment="1" pivotButton="0" quotePrefix="0" xfId="0">
      <alignment horizontal="center" vertical="center" wrapText="1"/>
    </xf>
    <xf numFmtId="0" fontId="61" fillId="0" borderId="2" applyAlignment="1" pivotButton="0" quotePrefix="0" xfId="0">
      <alignment horizontal="center"/>
    </xf>
    <xf numFmtId="0" fontId="61" fillId="0" borderId="2" pivotButton="0" quotePrefix="0" xfId="0"/>
    <xf numFmtId="0" fontId="98" fillId="0" borderId="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6" fillId="56" borderId="56" applyAlignment="1" pivotButton="0" quotePrefix="0" xfId="0">
      <alignment horizontal="center" vertical="center"/>
    </xf>
    <xf numFmtId="0" fontId="6" fillId="57" borderId="56" applyAlignment="1" pivotButton="0" quotePrefix="0" xfId="0">
      <alignment vertical="center"/>
    </xf>
    <xf numFmtId="0" fontId="6" fillId="57" borderId="56" applyAlignment="1" pivotButton="0" quotePrefix="0" xfId="0">
      <alignment horizontal="center" vertical="center"/>
    </xf>
    <xf numFmtId="170" fontId="99" fillId="58" borderId="56" applyAlignment="1" pivotButton="0" quotePrefix="0" xfId="0">
      <alignment horizontal="center" vertical="center"/>
    </xf>
    <xf numFmtId="43" fontId="61" fillId="0" borderId="56" applyAlignment="1" pivotButton="0" quotePrefix="0" xfId="1">
      <alignment horizontal="center" vertical="center"/>
    </xf>
    <xf numFmtId="43" fontId="61" fillId="59" borderId="56" applyAlignment="1" pivotButton="0" quotePrefix="0" xfId="1">
      <alignment horizontal="center" vertical="center"/>
    </xf>
    <xf numFmtId="0" fontId="6" fillId="57" borderId="51" applyAlignment="1" pivotButton="0" quotePrefix="0" xfId="0">
      <alignment horizontal="center" vertical="center"/>
    </xf>
    <xf numFmtId="0" fontId="6" fillId="57" borderId="51" applyAlignment="1" pivotButton="0" quotePrefix="0" xfId="0">
      <alignment vertical="center"/>
    </xf>
    <xf numFmtId="0" fontId="61" fillId="0" borderId="6" applyAlignment="1" pivotButton="0" quotePrefix="0" xfId="0">
      <alignment vertical="center"/>
    </xf>
    <xf numFmtId="0" fontId="61" fillId="0" borderId="1" applyAlignment="1" pivotButton="0" quotePrefix="0" xfId="0">
      <alignment horizontal="center" vertical="center"/>
    </xf>
    <xf numFmtId="0" fontId="61" fillId="0" borderId="54" applyAlignment="1" pivotButton="0" quotePrefix="0" xfId="0">
      <alignment horizontal="center" vertical="center"/>
    </xf>
    <xf numFmtId="170" fontId="61" fillId="0" borderId="56" applyAlignment="1" pivotButton="0" quotePrefix="0" xfId="0">
      <alignment horizontal="center" vertical="center"/>
    </xf>
    <xf numFmtId="0" fontId="61" fillId="0" borderId="11" applyAlignment="1" pivotButton="0" quotePrefix="0" xfId="0">
      <alignment vertical="center"/>
    </xf>
    <xf numFmtId="0" fontId="61" fillId="0" borderId="7" applyAlignment="1" pivotButton="0" quotePrefix="0" xfId="0">
      <alignment horizontal="center" vertical="center"/>
    </xf>
    <xf numFmtId="0" fontId="61" fillId="59" borderId="54" applyAlignment="1" pivotButton="0" quotePrefix="0" xfId="0">
      <alignment horizontal="center" vertical="center"/>
    </xf>
    <xf numFmtId="0" fontId="61" fillId="0" borderId="23" applyAlignment="1" pivotButton="0" quotePrefix="0" xfId="0">
      <alignment horizontal="left" vertical="center" shrinkToFit="1"/>
    </xf>
    <xf numFmtId="0" fontId="61" fillId="0" borderId="8" applyAlignment="1" pivotButton="0" quotePrefix="0" xfId="0">
      <alignment horizontal="center" vertical="center"/>
    </xf>
    <xf numFmtId="171" fontId="61" fillId="0" borderId="56" applyAlignment="1" pivotButton="0" quotePrefix="0" xfId="0">
      <alignment horizontal="center" vertical="center"/>
    </xf>
    <xf numFmtId="0" fontId="6" fillId="60" borderId="51" applyAlignment="1" pivotButton="0" quotePrefix="0" xfId="0">
      <alignment horizontal="center" vertical="center"/>
    </xf>
    <xf numFmtId="0" fontId="6" fillId="60" borderId="59" applyAlignment="1" pivotButton="0" quotePrefix="0" xfId="0">
      <alignment horizontal="center" vertical="center"/>
    </xf>
    <xf numFmtId="0" fontId="6" fillId="60" borderId="2" applyAlignment="1" pivotButton="0" quotePrefix="0" xfId="0">
      <alignment horizontal="center" vertical="center"/>
    </xf>
    <xf numFmtId="0" fontId="6" fillId="57" borderId="2" applyAlignment="1" pivotButton="0" quotePrefix="0" xfId="0">
      <alignment vertical="center"/>
    </xf>
    <xf numFmtId="0" fontId="6" fillId="57" borderId="2" applyAlignment="1" pivotButton="0" quotePrefix="0" xfId="0">
      <alignment vertical="center" wrapText="1"/>
    </xf>
    <xf numFmtId="0" fontId="6" fillId="57" borderId="2" applyAlignment="1" pivotButton="0" quotePrefix="0" xfId="0">
      <alignment horizontal="center" vertical="center"/>
    </xf>
    <xf numFmtId="171" fontId="99" fillId="58" borderId="2" applyAlignment="1" pivotButton="0" quotePrefix="0" xfId="0">
      <alignment horizontal="center" vertical="center"/>
    </xf>
    <xf numFmtId="171" fontId="6" fillId="0" borderId="2" applyAlignment="1" pivotButton="0" quotePrefix="0" xfId="0">
      <alignment horizontal="right" vertical="center"/>
    </xf>
    <xf numFmtId="171" fontId="6" fillId="0" borderId="3" applyAlignment="1" pivotButton="0" quotePrefix="0" xfId="0">
      <alignment horizontal="right" vertical="center"/>
    </xf>
    <xf numFmtId="0" fontId="61" fillId="0" borderId="2" applyAlignment="1" pivotButton="0" quotePrefix="0" xfId="0">
      <alignment vertical="center"/>
    </xf>
    <xf numFmtId="0" fontId="61" fillId="0" borderId="2" applyAlignment="1" pivotButton="0" quotePrefix="0" xfId="0">
      <alignment vertical="center" wrapText="1"/>
    </xf>
    <xf numFmtId="0" fontId="61" fillId="0" borderId="2" applyAlignment="1" pivotButton="0" quotePrefix="0" xfId="0">
      <alignment horizontal="center" vertical="center" wrapText="1"/>
    </xf>
    <xf numFmtId="0" fontId="61" fillId="0" borderId="2" applyAlignment="1" pivotButton="0" quotePrefix="0" xfId="0">
      <alignment horizontal="center" vertical="center"/>
    </xf>
    <xf numFmtId="171" fontId="61" fillId="0" borderId="2" applyAlignment="1" pivotButton="0" quotePrefix="0" xfId="0">
      <alignment horizontal="center" vertical="center"/>
    </xf>
    <xf numFmtId="171" fontId="61" fillId="0" borderId="2" applyAlignment="1" pivotButton="0" quotePrefix="0" xfId="0">
      <alignment vertical="center"/>
    </xf>
    <xf numFmtId="171" fontId="61" fillId="0" borderId="3" applyAlignment="1" pivotButton="0" quotePrefix="0" xfId="0">
      <alignment vertical="center"/>
    </xf>
    <xf numFmtId="171" fontId="6" fillId="0" borderId="2" applyAlignment="1" pivotButton="0" quotePrefix="0" xfId="0">
      <alignment vertical="center"/>
    </xf>
    <xf numFmtId="0" fontId="61" fillId="57" borderId="2" applyAlignment="1" pivotButton="0" quotePrefix="0" xfId="0">
      <alignment horizontal="center" vertical="center"/>
    </xf>
    <xf numFmtId="0" fontId="61" fillId="0" borderId="3" applyAlignment="1" pivotButton="0" quotePrefix="0" xfId="0">
      <alignment vertical="center"/>
    </xf>
    <xf numFmtId="171" fontId="61" fillId="59" borderId="2" applyAlignment="1" pivotButton="0" quotePrefix="0" xfId="0">
      <alignment horizontal="left" vertical="center"/>
    </xf>
    <xf numFmtId="171" fontId="61" fillId="59" borderId="2" applyAlignment="1" pivotButton="0" quotePrefix="0" xfId="0">
      <alignment horizontal="center" vertical="center"/>
    </xf>
    <xf numFmtId="171" fontId="61" fillId="59" borderId="3" applyAlignment="1" pivotButton="0" quotePrefix="0" xfId="0">
      <alignment horizontal="left" vertical="center"/>
    </xf>
    <xf numFmtId="172" fontId="61" fillId="0" borderId="0" applyAlignment="1" pivotButton="0" quotePrefix="0" xfId="0">
      <alignment vertical="center"/>
    </xf>
    <xf numFmtId="0" fontId="100" fillId="0" borderId="0" applyAlignment="1" pivotButton="0" quotePrefix="0" xfId="0">
      <alignment vertical="center"/>
    </xf>
    <xf numFmtId="0" fontId="6" fillId="0" borderId="56" applyAlignment="1" pivotButton="0" quotePrefix="0" xfId="0">
      <alignment horizontal="center" vertical="center"/>
    </xf>
    <xf numFmtId="0" fontId="6" fillId="0" borderId="56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55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/>
    </xf>
    <xf numFmtId="0" fontId="61" fillId="0" borderId="56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1" fillId="0" borderId="56" applyAlignment="1" pivotButton="0" quotePrefix="0" xfId="0">
      <alignment horizontal="center" vertical="center" wrapText="1"/>
    </xf>
    <xf numFmtId="0" fontId="104" fillId="0" borderId="0" applyAlignment="1" pivotButton="0" quotePrefix="0" xfId="0">
      <alignment vertical="center"/>
    </xf>
    <xf numFmtId="0" fontId="61" fillId="65" borderId="56" pivotButton="0" quotePrefix="0" xfId="0"/>
    <xf numFmtId="0" fontId="61" fillId="65" borderId="56" applyAlignment="1" pivotButton="0" quotePrefix="0" xfId="0">
      <alignment horizontal="center" vertical="center"/>
    </xf>
    <xf numFmtId="0" fontId="106" fillId="65" borderId="54" applyAlignment="1" pivotButton="0" quotePrefix="0" xfId="0">
      <alignment horizontal="center" vertical="center" wrapText="1"/>
    </xf>
    <xf numFmtId="0" fontId="106" fillId="65" borderId="56" applyAlignment="1" pivotButton="0" quotePrefix="0" xfId="0">
      <alignment horizontal="center" vertical="center" wrapText="1"/>
    </xf>
    <xf numFmtId="0" fontId="106" fillId="65" borderId="52" applyAlignment="1" pivotButton="0" quotePrefix="0" xfId="0">
      <alignment horizontal="center" vertical="center" wrapText="1"/>
    </xf>
    <xf numFmtId="173" fontId="6" fillId="0" borderId="56" applyAlignment="1" pivotButton="0" quotePrefix="0" xfId="0">
      <alignment horizontal="center"/>
    </xf>
    <xf numFmtId="0" fontId="61" fillId="64" borderId="56" applyAlignment="1" pivotButton="0" quotePrefix="0" xfId="0">
      <alignment horizontal="center" vertical="center" wrapText="1"/>
    </xf>
    <xf numFmtId="165" fontId="61" fillId="64" borderId="52" applyAlignment="1" pivotButton="0" quotePrefix="0" xfId="0">
      <alignment horizontal="center" vertical="center" wrapText="1"/>
    </xf>
    <xf numFmtId="43" fontId="61" fillId="66" borderId="2" applyAlignment="1" pivotButton="0" quotePrefix="0" xfId="1">
      <alignment vertical="center"/>
    </xf>
    <xf numFmtId="0" fontId="61" fillId="59" borderId="56" applyAlignment="1" pivotButton="0" quotePrefix="0" xfId="0">
      <alignment horizontal="center" vertical="center" wrapText="1"/>
    </xf>
    <xf numFmtId="165" fontId="61" fillId="0" borderId="52" applyAlignment="1" pivotButton="0" quotePrefix="0" xfId="0">
      <alignment horizontal="center" vertical="center" wrapText="1"/>
    </xf>
    <xf numFmtId="43" fontId="61" fillId="0" borderId="2" applyAlignment="1" pivotButton="0" quotePrefix="0" xfId="1">
      <alignment vertical="center"/>
    </xf>
    <xf numFmtId="0" fontId="61" fillId="0" borderId="0" applyAlignment="1" pivotButton="0" quotePrefix="0" xfId="0">
      <alignment horizontal="center" vertical="center" wrapText="1"/>
    </xf>
    <xf numFmtId="0" fontId="98" fillId="67" borderId="56" applyAlignment="1" pivotButton="0" quotePrefix="0" xfId="0">
      <alignment horizontal="center" vertical="center" wrapText="1"/>
    </xf>
    <xf numFmtId="165" fontId="98" fillId="67" borderId="56" applyAlignment="1" pivotButton="0" quotePrefix="0" xfId="0">
      <alignment horizontal="center" vertical="center" wrapText="1"/>
    </xf>
    <xf numFmtId="170" fontId="99" fillId="58" borderId="2" applyAlignment="1" pivotButton="0" quotePrefix="0" xfId="0">
      <alignment vertical="center"/>
    </xf>
    <xf numFmtId="165" fontId="61" fillId="64" borderId="56" applyAlignment="1" pivotButton="0" quotePrefix="0" xfId="0">
      <alignment horizontal="center" vertical="center" wrapText="1"/>
    </xf>
    <xf numFmtId="165" fontId="61" fillId="0" borderId="56" applyAlignment="1" pivotButton="0" quotePrefix="0" xfId="0">
      <alignment horizontal="center" vertical="center" wrapText="1"/>
    </xf>
    <xf numFmtId="0" fontId="6" fillId="68" borderId="3" applyAlignment="1" pivotButton="0" quotePrefix="0" xfId="0">
      <alignment vertical="center"/>
    </xf>
    <xf numFmtId="0" fontId="61" fillId="68" borderId="4" applyAlignment="1" pivotButton="0" quotePrefix="0" xfId="0">
      <alignment horizontal="center" vertical="center" wrapText="1"/>
    </xf>
    <xf numFmtId="0" fontId="61" fillId="68" borderId="4" pivotButton="0" quotePrefix="0" xfId="0"/>
    <xf numFmtId="0" fontId="61" fillId="68" borderId="5" pivotButton="0" quotePrefix="0" xfId="0"/>
    <xf numFmtId="0" fontId="61" fillId="5" borderId="2" applyAlignment="1" pivotButton="0" quotePrefix="0" xfId="0">
      <alignment vertical="top" wrapText="1"/>
    </xf>
    <xf numFmtId="43" fontId="61" fillId="5" borderId="2" applyAlignment="1" pivotButton="0" quotePrefix="0" xfId="1">
      <alignment vertical="top" wrapText="1"/>
    </xf>
    <xf numFmtId="0" fontId="61" fillId="5" borderId="3" applyAlignment="1" pivotButton="0" quotePrefix="0" xfId="0">
      <alignment horizontal="left" vertical="top" wrapText="1"/>
    </xf>
    <xf numFmtId="0" fontId="61" fillId="5" borderId="4" applyAlignment="1" pivotButton="0" quotePrefix="0" xfId="0">
      <alignment horizontal="left" vertical="top" wrapText="1"/>
    </xf>
    <xf numFmtId="0" fontId="61" fillId="5" borderId="5" applyAlignment="1" pivotButton="0" quotePrefix="0" xfId="0">
      <alignment horizontal="left" vertical="top" wrapText="1"/>
    </xf>
    <xf numFmtId="174" fontId="61" fillId="5" borderId="2" applyAlignment="1" pivotButton="0" quotePrefix="0" xfId="1">
      <alignment vertical="top" wrapText="1"/>
    </xf>
    <xf numFmtId="0" fontId="61" fillId="5" borderId="8" applyAlignment="1" pivotButton="0" quotePrefix="0" xfId="0">
      <alignment vertical="top" wrapText="1"/>
    </xf>
    <xf numFmtId="1" fontId="61" fillId="5" borderId="2" applyAlignment="1" pivotButton="0" quotePrefix="0" xfId="0">
      <alignment vertical="top" wrapText="1"/>
    </xf>
    <xf numFmtId="0" fontId="61" fillId="57" borderId="56" applyAlignment="1" pivotButton="0" quotePrefix="0" xfId="0">
      <alignment vertical="center" wrapText="1"/>
    </xf>
    <xf numFmtId="0" fontId="61" fillId="57" borderId="56" applyAlignment="1" pivotButton="0" quotePrefix="0" xfId="0">
      <alignment horizontal="center" vertical="center"/>
    </xf>
    <xf numFmtId="171" fontId="99" fillId="58" borderId="56" applyAlignment="1" pivotButton="0" quotePrefix="0" xfId="0">
      <alignment horizontal="center" vertical="center"/>
    </xf>
    <xf numFmtId="0" fontId="7" fillId="57" borderId="55" applyAlignment="1" pivotButton="0" quotePrefix="0" xfId="0">
      <alignment vertical="center"/>
    </xf>
    <xf numFmtId="0" fontId="8" fillId="57" borderId="55" pivotButton="0" quotePrefix="0" xfId="0"/>
    <xf numFmtId="0" fontId="7" fillId="57" borderId="56" applyAlignment="1" pivotButton="0" quotePrefix="0" xfId="0">
      <alignment horizontal="center" vertical="center"/>
    </xf>
    <xf numFmtId="170" fontId="108" fillId="58" borderId="55" applyAlignment="1" pivotButton="0" quotePrefix="0" xfId="0">
      <alignment vertical="center"/>
    </xf>
    <xf numFmtId="0" fontId="61" fillId="0" borderId="56" applyAlignment="1" pivotButton="0" quotePrefix="0" xfId="0">
      <alignment vertical="center"/>
    </xf>
    <xf numFmtId="0" fontId="61" fillId="59" borderId="56" applyAlignment="1" pivotButton="0" quotePrefix="0" xfId="0">
      <alignment vertical="center"/>
    </xf>
    <xf numFmtId="0" fontId="8" fillId="0" borderId="56" applyAlignment="1" pivotButton="0" quotePrefix="0" xfId="0">
      <alignment horizontal="center" vertical="center"/>
    </xf>
    <xf numFmtId="170" fontId="8" fillId="0" borderId="56" applyAlignment="1" pivotButton="0" quotePrefix="0" xfId="0">
      <alignment horizontal="center"/>
    </xf>
    <xf numFmtId="43" fontId="61" fillId="0" borderId="56" applyAlignment="1" pivotButton="0" quotePrefix="0" xfId="1">
      <alignment vertical="center"/>
    </xf>
    <xf numFmtId="171" fontId="61" fillId="0" borderId="0" pivotButton="0" quotePrefix="0" xfId="0"/>
    <xf numFmtId="0" fontId="61" fillId="69" borderId="56" applyAlignment="1" pivotButton="0" quotePrefix="0" xfId="0">
      <alignment vertical="center"/>
    </xf>
    <xf numFmtId="170" fontId="108" fillId="58" borderId="56" applyAlignment="1" pivotButton="0" quotePrefix="0" xfId="0">
      <alignment horizontal="center" vertical="center"/>
    </xf>
    <xf numFmtId="0" fontId="61" fillId="59" borderId="56" applyAlignment="1" pivotButton="0" quotePrefix="0" xfId="0">
      <alignment horizontal="center" vertical="center"/>
    </xf>
    <xf numFmtId="0" fontId="61" fillId="0" borderId="56" applyAlignment="1" pivotButton="0" quotePrefix="0" xfId="0">
      <alignment horizontal="left" vertical="center"/>
    </xf>
    <xf numFmtId="43" fontId="61" fillId="0" borderId="56" applyAlignment="1" pivotButton="0" quotePrefix="0" xfId="1">
      <alignment vertical="center" wrapText="1"/>
    </xf>
    <xf numFmtId="43" fontId="61" fillId="0" borderId="56" applyAlignment="1" pivotButton="0" quotePrefix="0" xfId="1">
      <alignment vertical="center"/>
    </xf>
    <xf numFmtId="43" fontId="61" fillId="63" borderId="56" applyAlignment="1" pivotButton="0" quotePrefix="0" xfId="1">
      <alignment vertical="center"/>
    </xf>
    <xf numFmtId="0" fontId="61" fillId="69" borderId="56" applyAlignment="1" pivotButton="0" quotePrefix="0" xfId="0">
      <alignment horizontal="center" vertical="center"/>
    </xf>
    <xf numFmtId="43" fontId="61" fillId="59" borderId="56" applyAlignment="1" pivotButton="0" quotePrefix="0" xfId="1">
      <alignment vertical="center"/>
    </xf>
    <xf numFmtId="0" fontId="6" fillId="72" borderId="56" applyAlignment="1" pivotButton="0" quotePrefix="0" xfId="0">
      <alignment horizontal="center" vertical="center"/>
    </xf>
    <xf numFmtId="0" fontId="6" fillId="57" borderId="55" applyAlignment="1" pivotButton="0" quotePrefix="0" xfId="0">
      <alignment horizontal="center" vertical="center" wrapText="1"/>
    </xf>
    <xf numFmtId="0" fontId="6" fillId="57" borderId="56" applyAlignment="1" pivotButton="0" quotePrefix="0" xfId="0">
      <alignment horizontal="left" vertical="center"/>
    </xf>
    <xf numFmtId="0" fontId="61" fillId="0" borderId="56" applyAlignment="1" pivotButton="0" quotePrefix="0" xfId="0">
      <alignment horizontal="left"/>
    </xf>
    <xf numFmtId="171" fontId="61" fillId="0" borderId="56" pivotButton="0" quotePrefix="0" xfId="0"/>
    <xf numFmtId="0" fontId="61" fillId="0" borderId="56" pivotButton="0" quotePrefix="0" xfId="0"/>
    <xf numFmtId="0" fontId="6" fillId="61" borderId="2" applyAlignment="1" pivotButton="0" quotePrefix="0" xfId="0">
      <alignment horizontal="center" vertical="center"/>
    </xf>
    <xf numFmtId="0" fontId="61" fillId="0" borderId="55" applyAlignment="1" pivotButton="0" quotePrefix="0" xfId="0">
      <alignment horizontal="left" vertical="center"/>
    </xf>
    <xf numFmtId="0" fontId="61" fillId="62" borderId="61" applyAlignment="1" pivotButton="0" quotePrefix="0" xfId="0">
      <alignment horizontal="center" vertical="center"/>
    </xf>
    <xf numFmtId="171" fontId="61" fillId="62" borderId="2" pivotButton="0" quotePrefix="0" xfId="0"/>
    <xf numFmtId="2" fontId="6" fillId="0" borderId="0" applyAlignment="1" pivotButton="0" quotePrefix="0" xfId="0">
      <alignment vertical="center"/>
    </xf>
    <xf numFmtId="2" fontId="61" fillId="0" borderId="0" pivotButton="0" quotePrefix="0" xfId="0"/>
    <xf numFmtId="0" fontId="61" fillId="62" borderId="52" applyAlignment="1" pivotButton="0" quotePrefix="0" xfId="0">
      <alignment horizontal="center" vertical="center"/>
    </xf>
    <xf numFmtId="0" fontId="61" fillId="0" borderId="52" applyAlignment="1" pivotButton="0" quotePrefix="0" xfId="0">
      <alignment horizontal="center" vertical="center"/>
    </xf>
    <xf numFmtId="171" fontId="61" fillId="0" borderId="2" pivotButton="0" quotePrefix="0" xfId="0"/>
    <xf numFmtId="0" fontId="61" fillId="15" borderId="56" applyAlignment="1" pivotButton="0" quotePrefix="0" xfId="0">
      <alignment horizontal="left" vertical="center"/>
    </xf>
    <xf numFmtId="0" fontId="61" fillId="15" borderId="56" applyAlignment="1" pivotButton="0" quotePrefix="0" xfId="0">
      <alignment horizontal="center" vertical="center"/>
    </xf>
    <xf numFmtId="171" fontId="61" fillId="15" borderId="56" applyAlignment="1" pivotButton="0" quotePrefix="0" xfId="0">
      <alignment horizontal="center" vertical="center"/>
    </xf>
    <xf numFmtId="0" fontId="61" fillId="15" borderId="56" applyAlignment="1" pivotButton="0" quotePrefix="0" xfId="0">
      <alignment horizontal="left"/>
    </xf>
    <xf numFmtId="0" fontId="61" fillId="15" borderId="56" pivotButton="0" quotePrefix="0" xfId="0"/>
    <xf numFmtId="171" fontId="61" fillId="15" borderId="56" pivotButton="0" quotePrefix="0" xfId="0"/>
    <xf numFmtId="0" fontId="61" fillId="0" borderId="0" applyAlignment="1" pivotButton="0" quotePrefix="0" xfId="0">
      <alignment horizontal="center"/>
    </xf>
    <xf numFmtId="0" fontId="6" fillId="67" borderId="56" applyAlignment="1" pivotButton="0" quotePrefix="0" xfId="0">
      <alignment horizontal="center" vertical="center"/>
    </xf>
    <xf numFmtId="0" fontId="6" fillId="67" borderId="56" applyAlignment="1" pivotButton="0" quotePrefix="0" xfId="0">
      <alignment horizontal="center" vertical="center" wrapText="1"/>
    </xf>
    <xf numFmtId="0" fontId="6" fillId="74" borderId="56" applyAlignment="1" pivotButton="0" quotePrefix="0" xfId="0">
      <alignment horizontal="center" vertical="center"/>
    </xf>
    <xf numFmtId="17" fontId="6" fillId="67" borderId="56" applyAlignment="1" pivotButton="0" quotePrefix="0" xfId="0">
      <alignment horizontal="center" vertical="center"/>
    </xf>
    <xf numFmtId="0" fontId="6" fillId="57" borderId="55" applyAlignment="1" pivotButton="0" quotePrefix="0" xfId="0">
      <alignment horizontal="left" vertical="center"/>
    </xf>
    <xf numFmtId="0" fontId="61" fillId="57" borderId="56" applyAlignment="1" pivotButton="0" quotePrefix="0" xfId="0">
      <alignment horizontal="center" vertical="center" wrapText="1"/>
    </xf>
    <xf numFmtId="0" fontId="61" fillId="57" borderId="62" applyAlignment="1" pivotButton="0" quotePrefix="0" xfId="0">
      <alignment vertical="center"/>
    </xf>
    <xf numFmtId="0" fontId="61" fillId="57" borderId="61" applyAlignment="1" pivotButton="0" quotePrefix="0" xfId="0">
      <alignment horizontal="center" vertical="center"/>
    </xf>
    <xf numFmtId="17" fontId="61" fillId="0" borderId="56" applyAlignment="1" pivotButton="0" quotePrefix="0" xfId="0">
      <alignment horizontal="center" vertical="center"/>
    </xf>
    <xf numFmtId="0" fontId="61" fillId="0" borderId="55" applyAlignment="1" pivotButton="0" quotePrefix="0" xfId="0">
      <alignment horizontal="left"/>
    </xf>
    <xf numFmtId="0" fontId="61" fillId="0" borderId="56" applyAlignment="1" pivotButton="0" quotePrefix="0" xfId="0">
      <alignment horizontal="center"/>
    </xf>
    <xf numFmtId="0" fontId="61" fillId="0" borderId="62" applyAlignment="1" pivotButton="0" quotePrefix="0" xfId="0">
      <alignment vertical="center"/>
    </xf>
    <xf numFmtId="0" fontId="61" fillId="0" borderId="61" applyAlignment="1" pivotButton="0" quotePrefix="0" xfId="0">
      <alignment horizontal="center"/>
    </xf>
    <xf numFmtId="171" fontId="99" fillId="58" borderId="56" applyAlignment="1" pivotButton="0" quotePrefix="0" xfId="0">
      <alignment vertical="center"/>
    </xf>
    <xf numFmtId="171" fontId="61" fillId="0" borderId="56" applyAlignment="1" pivotButton="0" quotePrefix="0" xfId="0">
      <alignment horizontal="center"/>
    </xf>
    <xf numFmtId="0" fontId="61" fillId="0" borderId="0" applyAlignment="1" pivotButton="0" quotePrefix="0" xfId="0">
      <alignment horizontal="left"/>
    </xf>
    <xf numFmtId="0" fontId="6" fillId="75" borderId="2" applyAlignment="1" pivotButton="0" quotePrefix="0" xfId="0">
      <alignment horizontal="center" vertical="center"/>
    </xf>
    <xf numFmtId="170" fontId="99" fillId="58" borderId="0" applyAlignment="1" pivotButton="0" quotePrefix="0" xfId="0">
      <alignment vertical="center"/>
    </xf>
    <xf numFmtId="0" fontId="61" fillId="0" borderId="52" applyAlignment="1" pivotButton="0" quotePrefix="0" xfId="0">
      <alignment horizontal="left" vertical="center"/>
    </xf>
    <xf numFmtId="174" fontId="61" fillId="0" borderId="2" applyAlignment="1" pivotButton="0" quotePrefix="0" xfId="1">
      <alignment vertical="center"/>
    </xf>
    <xf numFmtId="43" fontId="61" fillId="0" borderId="2" pivotButton="0" quotePrefix="0" xfId="1"/>
    <xf numFmtId="170" fontId="61" fillId="0" borderId="2" pivotButton="0" quotePrefix="0" xfId="0"/>
    <xf numFmtId="0" fontId="61" fillId="0" borderId="52" applyAlignment="1" pivotButton="0" quotePrefix="0" xfId="0">
      <alignment horizontal="left"/>
    </xf>
    <xf numFmtId="49" fontId="61" fillId="0" borderId="2" applyAlignment="1" pivotButton="0" quotePrefix="0" xfId="1">
      <alignment horizontal="right" vertical="center"/>
    </xf>
    <xf numFmtId="0" fontId="61" fillId="0" borderId="52" pivotButton="0" quotePrefix="0" xfId="0"/>
    <xf numFmtId="174" fontId="61" fillId="0" borderId="2" pivotButton="0" quotePrefix="0" xfId="1"/>
    <xf numFmtId="175" fontId="61" fillId="0" borderId="2" applyAlignment="1" pivotButton="0" quotePrefix="0" xfId="1">
      <alignment horizontal="right" vertical="center"/>
    </xf>
    <xf numFmtId="43" fontId="61" fillId="0" borderId="2" applyAlignment="1" pivotButton="0" quotePrefix="0" xfId="1">
      <alignment horizontal="right" vertical="center"/>
    </xf>
    <xf numFmtId="174" fontId="61" fillId="0" borderId="2" applyAlignment="1" pivotButton="0" quotePrefix="0" xfId="1">
      <alignment horizontal="right" vertical="center"/>
    </xf>
    <xf numFmtId="0" fontId="110" fillId="0" borderId="0" applyAlignment="1" pivotButton="0" quotePrefix="0" xfId="0">
      <alignment vertical="center"/>
    </xf>
    <xf numFmtId="0" fontId="61" fillId="0" borderId="0" applyAlignment="1" pivotButton="0" quotePrefix="0" xfId="0">
      <alignment wrapText="1"/>
    </xf>
    <xf numFmtId="49" fontId="61" fillId="0" borderId="56" applyAlignment="1" pivotButton="0" quotePrefix="0" xfId="0">
      <alignment vertical="center"/>
    </xf>
    <xf numFmtId="49" fontId="61" fillId="0" borderId="56" applyAlignment="1" pivotButton="0" quotePrefix="0" xfId="0">
      <alignment horizontal="center" vertical="center"/>
    </xf>
    <xf numFmtId="9" fontId="61" fillId="0" borderId="56" applyAlignment="1" pivotButton="0" quotePrefix="0" xfId="0">
      <alignment horizontal="center" vertical="center"/>
    </xf>
    <xf numFmtId="0" fontId="61" fillId="0" borderId="51" applyAlignment="1" pivotButton="0" quotePrefix="0" xfId="0">
      <alignment vertical="center"/>
    </xf>
    <xf numFmtId="0" fontId="61" fillId="0" borderId="52" applyAlignment="1" pivotButton="0" quotePrefix="0" xfId="0">
      <alignment vertical="center"/>
    </xf>
    <xf numFmtId="43" fontId="61" fillId="0" borderId="0" pivotButton="0" quotePrefix="0" xfId="1"/>
    <xf numFmtId="43" fontId="61" fillId="0" borderId="2" applyAlignment="1" pivotButton="0" quotePrefix="0" xfId="1">
      <alignment horizontal="left" vertical="center"/>
    </xf>
    <xf numFmtId="43" fontId="61" fillId="0" borderId="0" applyAlignment="1" pivotButton="0" quotePrefix="0" xfId="1">
      <alignment horizontal="left" vertical="center"/>
    </xf>
    <xf numFmtId="43" fontId="61" fillId="0" borderId="0" applyAlignment="1" pivotButton="0" quotePrefix="0" xfId="1">
      <alignment vertical="center"/>
    </xf>
    <xf numFmtId="0" fontId="6" fillId="56" borderId="2" applyAlignment="1" pivotButton="0" quotePrefix="0" xfId="0">
      <alignment horizontal="center" vertical="center"/>
    </xf>
    <xf numFmtId="0" fontId="61" fillId="69" borderId="2" applyAlignment="1" pivotButton="0" quotePrefix="0" xfId="0">
      <alignment vertical="center"/>
    </xf>
    <xf numFmtId="1" fontId="61" fillId="69" borderId="2" applyAlignment="1" pivotButton="0" quotePrefix="0" xfId="0">
      <alignment horizontal="left" vertical="center"/>
    </xf>
    <xf numFmtId="0" fontId="6" fillId="69" borderId="2" applyAlignment="1" pivotButton="0" quotePrefix="0" xfId="0">
      <alignment horizontal="center" vertical="center"/>
    </xf>
    <xf numFmtId="176" fontId="99" fillId="77" borderId="2" applyAlignment="1" pivotButton="0" quotePrefix="0" xfId="0">
      <alignment horizontal="center" vertical="center"/>
    </xf>
    <xf numFmtId="0" fontId="61" fillId="57" borderId="2" applyAlignment="1" pivotButton="0" quotePrefix="0" xfId="0">
      <alignment vertical="center"/>
    </xf>
    <xf numFmtId="170" fontId="99" fillId="77" borderId="2" applyAlignment="1" pivotButton="0" quotePrefix="0" xfId="0">
      <alignment horizontal="center" vertical="center"/>
    </xf>
    <xf numFmtId="0" fontId="61" fillId="57" borderId="2" applyAlignment="1" pivotButton="0" quotePrefix="0" xfId="0">
      <alignment horizontal="left" vertical="center"/>
    </xf>
    <xf numFmtId="0" fontId="61" fillId="59" borderId="55" applyAlignment="1" pivotButton="0" quotePrefix="0" xfId="0">
      <alignment vertical="center" wrapText="1"/>
    </xf>
    <xf numFmtId="0" fontId="61" fillId="59" borderId="55" applyAlignment="1" pivotButton="0" quotePrefix="0" xfId="0">
      <alignment vertical="center"/>
    </xf>
    <xf numFmtId="1" fontId="61" fillId="59" borderId="55" applyAlignment="1" pivotButton="0" quotePrefix="1" xfId="0">
      <alignment horizontal="center" vertical="center"/>
    </xf>
    <xf numFmtId="0" fontId="61" fillId="59" borderId="55" applyAlignment="1" pivotButton="0" quotePrefix="0" xfId="0">
      <alignment horizontal="center" vertical="center"/>
    </xf>
    <xf numFmtId="43" fontId="61" fillId="59" borderId="55" applyAlignment="1" pivotButton="0" quotePrefix="0" xfId="1">
      <alignment horizontal="center" vertical="center"/>
    </xf>
    <xf numFmtId="171" fontId="61" fillId="59" borderId="55" applyAlignment="1" pivotButton="0" quotePrefix="0" xfId="0">
      <alignment horizontal="center" vertical="center"/>
    </xf>
    <xf numFmtId="0" fontId="61" fillId="59" borderId="0" applyAlignment="1" pivotButton="0" quotePrefix="0" xfId="0">
      <alignment vertical="center"/>
    </xf>
    <xf numFmtId="171" fontId="61" fillId="59" borderId="0" applyAlignment="1" pivotButton="0" quotePrefix="0" xfId="0">
      <alignment vertical="center"/>
    </xf>
    <xf numFmtId="0" fontId="61" fillId="59" borderId="56" applyAlignment="1" pivotButton="0" quotePrefix="0" xfId="0">
      <alignment vertical="center" wrapText="1"/>
    </xf>
    <xf numFmtId="1" fontId="61" fillId="59" borderId="56" applyAlignment="1" pivotButton="0" quotePrefix="1" xfId="0">
      <alignment horizontal="center" vertical="center"/>
    </xf>
    <xf numFmtId="171" fontId="61" fillId="59" borderId="56" applyAlignment="1" pivotButton="0" quotePrefix="0" xfId="0">
      <alignment horizontal="center" vertical="center"/>
    </xf>
    <xf numFmtId="0" fontId="61" fillId="59" borderId="56" applyAlignment="1" pivotButton="0" quotePrefix="0" xfId="0">
      <alignment horizontal="left" vertical="center"/>
    </xf>
    <xf numFmtId="171" fontId="61" fillId="59" borderId="56" applyAlignment="1" pivotButton="0" quotePrefix="0" xfId="0">
      <alignment vertical="center"/>
    </xf>
    <xf numFmtId="0" fontId="112" fillId="0" borderId="0" applyAlignment="1" pivotButton="0" quotePrefix="0" xfId="0">
      <alignment vertical="center"/>
    </xf>
    <xf numFmtId="0" fontId="113" fillId="0" borderId="0" pivotButton="0" quotePrefix="0" xfId="0"/>
    <xf numFmtId="0" fontId="6" fillId="43" borderId="2" applyAlignment="1" pivotButton="0" quotePrefix="0" xfId="0">
      <alignment horizontal="center" vertical="center"/>
    </xf>
    <xf numFmtId="43" fontId="99" fillId="68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1" fillId="0" borderId="2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43" fontId="99" fillId="68" borderId="2" applyAlignment="1" pivotButton="0" quotePrefix="0" xfId="0">
      <alignment horizontal="center" vertical="center"/>
    </xf>
    <xf numFmtId="43" fontId="61" fillId="0" borderId="2" applyAlignment="1" pivotButton="0" quotePrefix="0" xfId="1">
      <alignment horizontal="center" vertical="center"/>
    </xf>
    <xf numFmtId="17" fontId="61" fillId="76" borderId="57" applyAlignment="1" pivotButton="0" quotePrefix="0" xfId="0">
      <alignment horizontal="center" vertical="center"/>
    </xf>
    <xf numFmtId="17" fontId="61" fillId="76" borderId="51" applyAlignment="1" pivotButton="0" quotePrefix="0" xfId="0">
      <alignment horizontal="center" vertical="center"/>
    </xf>
    <xf numFmtId="0" fontId="61" fillId="12" borderId="2" applyAlignment="1" pivotButton="0" quotePrefix="0" xfId="0">
      <alignment horizontal="center"/>
    </xf>
    <xf numFmtId="43" fontId="99" fillId="80" borderId="8" applyAlignment="1" pivotButton="0" quotePrefix="0" xfId="0">
      <alignment horizontal="center" vertical="center"/>
    </xf>
    <xf numFmtId="0" fontId="100" fillId="0" borderId="0" pivotButton="0" quotePrefix="0" xfId="0"/>
    <xf numFmtId="0" fontId="61" fillId="45" borderId="2" applyAlignment="1" pivotButton="0" quotePrefix="0" xfId="0">
      <alignment horizontal="left" vertical="top"/>
    </xf>
    <xf numFmtId="0" fontId="61" fillId="45" borderId="2" applyAlignment="1" pivotButton="0" quotePrefix="0" xfId="0">
      <alignment horizontal="left" vertical="center"/>
    </xf>
    <xf numFmtId="49" fontId="61" fillId="45" borderId="2" applyAlignment="1" pivotButton="0" quotePrefix="0" xfId="0">
      <alignment horizontal="center" vertical="center"/>
    </xf>
    <xf numFmtId="0" fontId="18" fillId="45" borderId="2" applyAlignment="1" pivotButton="0" quotePrefix="0" xfId="0">
      <alignment horizontal="left" vertical="center"/>
    </xf>
    <xf numFmtId="0" fontId="61" fillId="45" borderId="2" applyAlignment="1" pivotButton="0" quotePrefix="0" xfId="0">
      <alignment horizontal="center" vertical="center"/>
    </xf>
    <xf numFmtId="43" fontId="61" fillId="45" borderId="2" applyAlignment="1" pivotButton="0" quotePrefix="0" xfId="1">
      <alignment horizontal="right" vertical="center"/>
    </xf>
    <xf numFmtId="43" fontId="94" fillId="0" borderId="2" applyAlignment="1" pivotButton="0" quotePrefix="0" xfId="1">
      <alignment horizontal="right" vertical="center"/>
    </xf>
    <xf numFmtId="0" fontId="61" fillId="0" borderId="7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center" vertical="center"/>
    </xf>
    <xf numFmtId="43" fontId="61" fillId="0" borderId="2" applyAlignment="1" pivotButton="0" quotePrefix="0" xfId="0">
      <alignment vertical="center"/>
    </xf>
    <xf numFmtId="43" fontId="6" fillId="45" borderId="2" applyAlignment="1" pivotButton="0" quotePrefix="0" xfId="1">
      <alignment horizontal="center" vertical="center"/>
    </xf>
    <xf numFmtId="0" fontId="8" fillId="0" borderId="2" pivotButton="0" quotePrefix="0" xfId="0"/>
    <xf numFmtId="43" fontId="99" fillId="0" borderId="8" applyAlignment="1" pivotButton="0" quotePrefix="0" xfId="0">
      <alignment horizontal="center" vertical="center"/>
    </xf>
    <xf numFmtId="0" fontId="6" fillId="56" borderId="52" applyAlignment="1" pivotButton="0" quotePrefix="0" xfId="0">
      <alignment horizontal="center" vertical="center"/>
    </xf>
    <xf numFmtId="0" fontId="61" fillId="61" borderId="2" applyAlignment="1" pivotButton="0" quotePrefix="0" xfId="0">
      <alignment horizontal="center" vertical="center" wrapText="1"/>
    </xf>
    <xf numFmtId="0" fontId="8" fillId="45" borderId="2" applyAlignment="1" pivotButton="0" quotePrefix="0" xfId="0">
      <alignment horizontal="center"/>
    </xf>
    <xf numFmtId="0" fontId="5" fillId="81" borderId="2" applyAlignment="1" pivotButton="0" quotePrefix="0" xfId="0">
      <alignment horizontal="center" vertical="center" wrapText="1"/>
    </xf>
    <xf numFmtId="9" fontId="5" fillId="4" borderId="2" applyAlignment="1" pivotButton="0" quotePrefix="0" xfId="177">
      <alignment horizontal="center" vertical="center"/>
    </xf>
    <xf numFmtId="0" fontId="7" fillId="82" borderId="2" applyAlignment="1" pivotButton="0" quotePrefix="0" xfId="0">
      <alignment horizontal="center" vertical="center" wrapText="1"/>
    </xf>
    <xf numFmtId="0" fontId="7" fillId="82" borderId="3" applyAlignment="1" pivotButton="0" quotePrefix="0" xfId="0">
      <alignment horizontal="center" vertical="center" wrapText="1"/>
    </xf>
    <xf numFmtId="0" fontId="97" fillId="58" borderId="2" applyAlignment="1" pivotButton="0" quotePrefix="0" xfId="0">
      <alignment horizontal="center" vertical="center" wrapText="1"/>
    </xf>
    <xf numFmtId="0" fontId="7" fillId="80" borderId="3" applyAlignment="1" pivotButton="0" quotePrefix="0" xfId="0">
      <alignment horizontal="center" vertical="center" wrapText="1"/>
    </xf>
    <xf numFmtId="0" fontId="7" fillId="83" borderId="2" applyAlignment="1" pivotButton="0" quotePrefix="0" xfId="0">
      <alignment horizontal="center" vertical="center" wrapText="1"/>
    </xf>
    <xf numFmtId="0" fontId="7" fillId="83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7" fillId="0" borderId="2" pivotButton="0" quotePrefix="0" xfId="0"/>
    <xf numFmtId="0" fontId="100" fillId="54" borderId="2" applyAlignment="1" pivotButton="0" quotePrefix="0" xfId="0">
      <alignment horizontal="center"/>
    </xf>
    <xf numFmtId="0" fontId="96" fillId="55" borderId="8" applyAlignment="1" pivotButton="0" quotePrefix="0" xfId="177">
      <alignment horizontal="center"/>
    </xf>
    <xf numFmtId="0" fontId="96" fillId="82" borderId="8" applyAlignment="1" pivotButton="0" quotePrefix="0" xfId="177">
      <alignment horizontal="center"/>
    </xf>
    <xf numFmtId="2" fontId="96" fillId="75" borderId="3" pivotButton="0" quotePrefix="0" xfId="177"/>
    <xf numFmtId="10" fontId="96" fillId="49" borderId="3" pivotButton="0" quotePrefix="0" xfId="177"/>
    <xf numFmtId="170" fontId="96" fillId="43" borderId="2" pivotButton="0" quotePrefix="0" xfId="32"/>
    <xf numFmtId="10" fontId="96" fillId="43" borderId="2" pivotButton="0" quotePrefix="0" xfId="177"/>
    <xf numFmtId="0" fontId="8" fillId="84" borderId="2" pivotButton="0" quotePrefix="0" xfId="0"/>
    <xf numFmtId="2" fontId="96" fillId="43" borderId="2" pivotButton="0" quotePrefix="0" xfId="177"/>
    <xf numFmtId="10" fontId="116" fillId="49" borderId="3" pivotButton="0" quotePrefix="0" xfId="177"/>
    <xf numFmtId="0" fontId="6" fillId="0" borderId="2" pivotButton="0" quotePrefix="0" xfId="0"/>
    <xf numFmtId="0" fontId="96" fillId="85" borderId="2" applyAlignment="1" pivotButton="0" quotePrefix="0" xfId="177">
      <alignment horizontal="center"/>
    </xf>
    <xf numFmtId="10" fontId="96" fillId="85" borderId="2" applyAlignment="1" pivotButton="0" quotePrefix="0" xfId="177">
      <alignment horizontal="center"/>
    </xf>
    <xf numFmtId="2" fontId="96" fillId="85" borderId="3" pivotButton="0" quotePrefix="0" xfId="177"/>
    <xf numFmtId="10" fontId="96" fillId="85" borderId="3" pivotButton="0" quotePrefix="0" xfId="177"/>
    <xf numFmtId="170" fontId="96" fillId="85" borderId="2" pivotButton="0" quotePrefix="0" xfId="32"/>
    <xf numFmtId="10" fontId="96" fillId="85" borderId="2" pivotButton="0" quotePrefix="0" xfId="177"/>
    <xf numFmtId="0" fontId="96" fillId="55" borderId="2" applyAlignment="1" pivotButton="0" quotePrefix="0" xfId="177">
      <alignment horizontal="center"/>
    </xf>
    <xf numFmtId="0" fontId="96" fillId="43" borderId="2" pivotButton="0" quotePrefix="0" xfId="177"/>
    <xf numFmtId="0" fontId="117" fillId="0" borderId="2" pivotButton="0" quotePrefix="0" xfId="0"/>
    <xf numFmtId="0" fontId="100" fillId="85" borderId="2" applyAlignment="1" pivotButton="0" quotePrefix="0" xfId="0">
      <alignment horizontal="center"/>
    </xf>
    <xf numFmtId="0" fontId="118" fillId="0" borderId="0" pivotButton="0" quotePrefix="0" xfId="0"/>
    <xf numFmtId="0" fontId="118" fillId="0" borderId="0" applyAlignment="1" pivotButton="0" quotePrefix="0" xfId="0">
      <alignment horizontal="center"/>
    </xf>
    <xf numFmtId="0" fontId="6" fillId="86" borderId="2" applyAlignment="1" pivotButton="0" quotePrefix="0" xfId="114">
      <alignment horizontal="center" vertical="center"/>
    </xf>
    <xf numFmtId="0" fontId="61" fillId="43" borderId="2" applyAlignment="1" pivotButton="0" quotePrefix="0" xfId="114">
      <alignment horizontal="center" vertical="center"/>
    </xf>
    <xf numFmtId="0" fontId="8" fillId="12" borderId="0" pivotButton="0" quotePrefix="0" xfId="0"/>
    <xf numFmtId="0" fontId="61" fillId="43" borderId="3" applyAlignment="1" pivotButton="0" quotePrefix="0" xfId="114">
      <alignment horizontal="center" vertical="center"/>
    </xf>
    <xf numFmtId="9" fontId="8" fillId="86" borderId="56" applyAlignment="1" pivotButton="0" quotePrefix="0" xfId="0">
      <alignment horizontal="center"/>
    </xf>
    <xf numFmtId="0" fontId="61" fillId="43" borderId="2" applyAlignment="1" pivotButton="0" quotePrefix="0" xfId="114">
      <alignment horizontal="center" vertical="center" wrapText="1"/>
    </xf>
    <xf numFmtId="0" fontId="61" fillId="43" borderId="3" applyAlignment="1" pivotButton="0" quotePrefix="0" xfId="114">
      <alignment horizontal="center" vertical="center" wrapText="1"/>
    </xf>
    <xf numFmtId="0" fontId="61" fillId="45" borderId="0" pivotButton="0" quotePrefix="0" xfId="114"/>
    <xf numFmtId="0" fontId="103" fillId="0" borderId="0" pivotButton="0" quotePrefix="0" xfId="0"/>
    <xf numFmtId="0" fontId="103" fillId="0" borderId="0" applyAlignment="1" pivotButton="0" quotePrefix="0" xfId="0">
      <alignment horizontal="center" vertical="center"/>
    </xf>
    <xf numFmtId="0" fontId="103" fillId="15" borderId="0" pivotButton="0" quotePrefix="0" xfId="0"/>
    <xf numFmtId="0" fontId="104" fillId="0" borderId="0" pivotButton="0" quotePrefix="0" xfId="0"/>
    <xf numFmtId="0" fontId="6" fillId="86" borderId="2" applyAlignment="1" pivotButton="0" quotePrefix="0" xfId="0">
      <alignment vertical="center"/>
    </xf>
    <xf numFmtId="0" fontId="6" fillId="86" borderId="2" applyAlignment="1" pivotButton="0" quotePrefix="0" xfId="0">
      <alignment vertical="center" wrapText="1"/>
    </xf>
    <xf numFmtId="0" fontId="6" fillId="86" borderId="2" applyAlignment="1" pivotButton="0" quotePrefix="0" xfId="0">
      <alignment horizontal="left" vertical="center"/>
    </xf>
    <xf numFmtId="0" fontId="6" fillId="86" borderId="2" applyAlignment="1" pivotButton="0" quotePrefix="0" xfId="0">
      <alignment horizontal="center" vertical="center"/>
    </xf>
    <xf numFmtId="171" fontId="99" fillId="80" borderId="2" applyAlignment="1" pivotButton="0" quotePrefix="0" xfId="0">
      <alignment horizontal="center" vertical="center"/>
    </xf>
    <xf numFmtId="0" fontId="6" fillId="86" borderId="8" applyAlignment="1" pivotButton="0" quotePrefix="0" xfId="0">
      <alignment horizontal="left" vertical="center"/>
    </xf>
    <xf numFmtId="0" fontId="61" fillId="86" borderId="8" applyAlignment="1" pivotButton="0" quotePrefix="0" xfId="0">
      <alignment horizontal="center" vertical="center" wrapText="1"/>
    </xf>
    <xf numFmtId="0" fontId="61" fillId="86" borderId="7" applyAlignment="1" pivotButton="0" quotePrefix="0" xfId="0">
      <alignment horizontal="center" vertical="center" wrapText="1"/>
    </xf>
    <xf numFmtId="0" fontId="61" fillId="86" borderId="2" applyAlignment="1" pivotButton="0" quotePrefix="0" xfId="0">
      <alignment horizontal="center" vertical="center" wrapText="1"/>
    </xf>
    <xf numFmtId="43" fontId="99" fillId="80" borderId="7" applyAlignment="1" pivotButton="0" quotePrefix="0" xfId="0">
      <alignment horizontal="center" vertical="center" wrapText="1"/>
    </xf>
    <xf numFmtId="0" fontId="103" fillId="61" borderId="2" applyAlignment="1" pivotButton="0" quotePrefix="0" xfId="0">
      <alignment horizontal="center" vertical="center" wrapText="1"/>
    </xf>
    <xf numFmtId="0" fontId="103" fillId="61" borderId="2" applyAlignment="1" pivotButton="0" quotePrefix="0" xfId="0">
      <alignment horizontal="center" vertical="center"/>
    </xf>
    <xf numFmtId="0" fontId="6" fillId="43" borderId="2" applyAlignment="1" pivotButton="0" quotePrefix="0" xfId="0">
      <alignment vertical="center"/>
    </xf>
    <xf numFmtId="0" fontId="6" fillId="43" borderId="2" applyAlignment="1" pivotButton="0" quotePrefix="0" xfId="0">
      <alignment vertical="center" wrapText="1"/>
    </xf>
    <xf numFmtId="0" fontId="6" fillId="43" borderId="2" applyAlignment="1" pivotButton="0" quotePrefix="0" xfId="0">
      <alignment horizontal="left" vertical="center"/>
    </xf>
    <xf numFmtId="171" fontId="99" fillId="68" borderId="2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123" fillId="2" borderId="4" pivotButton="0" quotePrefix="0" xfId="0"/>
    <xf numFmtId="0" fontId="4" fillId="2" borderId="4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165" fontId="0" fillId="0" borderId="2" applyAlignment="1" pivotButton="0" quotePrefix="0" xfId="32">
      <alignment horizontal="right" vertical="center"/>
    </xf>
    <xf numFmtId="164" fontId="81" fillId="0" borderId="2" applyAlignment="1" pivotButton="0" quotePrefix="0" xfId="178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84" fillId="0" borderId="0" pivotButton="0" quotePrefix="0" xfId="176"/>
    <xf numFmtId="43" fontId="15" fillId="0" borderId="11" applyAlignment="1" pivotButton="0" quotePrefix="0" xfId="1">
      <alignment horizontal="center"/>
    </xf>
    <xf numFmtId="171" fontId="61" fillId="0" borderId="52" applyAlignment="1" pivotButton="0" quotePrefix="0" xfId="0">
      <alignment horizontal="center" vertical="center"/>
    </xf>
    <xf numFmtId="0" fontId="98" fillId="49" borderId="2" pivotButton="0" quotePrefix="0" xfId="0"/>
    <xf numFmtId="0" fontId="7" fillId="43" borderId="55" applyAlignment="1" pivotButton="0" quotePrefix="0" xfId="0">
      <alignment vertical="center"/>
    </xf>
    <xf numFmtId="0" fontId="61" fillId="88" borderId="56" applyAlignment="1" pivotButton="0" quotePrefix="0" xfId="0">
      <alignment vertical="center"/>
    </xf>
    <xf numFmtId="0" fontId="6" fillId="43" borderId="56" applyAlignment="1" pivotButton="0" quotePrefix="0" xfId="0">
      <alignment horizontal="center" vertical="center"/>
    </xf>
    <xf numFmtId="0" fontId="7" fillId="43" borderId="56" applyAlignment="1" pivotButton="0" quotePrefix="0" xfId="0">
      <alignment horizontal="center" vertical="center"/>
    </xf>
    <xf numFmtId="170" fontId="108" fillId="68" borderId="56" applyAlignment="1" pivotButton="0" quotePrefix="0" xfId="0">
      <alignment horizontal="center"/>
    </xf>
    <xf numFmtId="164" fontId="15" fillId="0" borderId="7" pivotButton="0" quotePrefix="0" xfId="32"/>
    <xf numFmtId="0" fontId="0" fillId="0" borderId="0" applyAlignment="1" pivotButton="0" quotePrefix="0" xfId="0">
      <alignment horizontal="center"/>
    </xf>
    <xf numFmtId="0" fontId="122" fillId="0" borderId="0" pivotButton="0" quotePrefix="0" xfId="0"/>
    <xf numFmtId="0" fontId="61" fillId="43" borderId="2" applyAlignment="1" pivotButton="0" quotePrefix="0" xfId="0">
      <alignment horizontal="center" vertical="center"/>
    </xf>
    <xf numFmtId="0" fontId="104" fillId="0" borderId="2" applyAlignment="1" pivotButton="0" quotePrefix="0" xfId="0">
      <alignment vertical="center"/>
    </xf>
    <xf numFmtId="0" fontId="81" fillId="43" borderId="2" applyAlignment="1" pivotButton="0" quotePrefix="0" xfId="0">
      <alignment vertical="center"/>
    </xf>
    <xf numFmtId="174" fontId="61" fillId="43" borderId="2" applyAlignment="1" pivotButton="0" quotePrefix="0" xfId="1">
      <alignment horizontal="center" vertical="center"/>
    </xf>
    <xf numFmtId="0" fontId="81" fillId="0" borderId="2" applyAlignment="1" pivotButton="0" quotePrefix="0" xfId="0">
      <alignment vertical="center"/>
    </xf>
    <xf numFmtId="0" fontId="94" fillId="0" borderId="2" applyAlignment="1" pivotButton="0" quotePrefix="0" xfId="0">
      <alignment horizontal="center" vertical="center"/>
    </xf>
    <xf numFmtId="0" fontId="94" fillId="0" borderId="2" pivotButton="0" quotePrefix="0" xfId="0"/>
    <xf numFmtId="0" fontId="61" fillId="89" borderId="2" applyAlignment="1" pivotButton="0" quotePrefix="0" xfId="179">
      <alignment horizontal="center" vertical="center" wrapText="1"/>
    </xf>
    <xf numFmtId="0" fontId="61" fillId="89" borderId="2" applyAlignment="1" pivotButton="0" quotePrefix="0" xfId="179">
      <alignment horizontal="center" vertical="center"/>
    </xf>
    <xf numFmtId="17" fontId="61" fillId="89" borderId="2" applyAlignment="1" pivotButton="0" quotePrefix="0" xfId="179">
      <alignment horizontal="center" vertical="center"/>
    </xf>
    <xf numFmtId="0" fontId="61" fillId="0" borderId="2" applyAlignment="1" pivotButton="0" quotePrefix="0" xfId="179">
      <alignment horizontal="left" indent="4"/>
    </xf>
    <xf numFmtId="0" fontId="61" fillId="0" borderId="62" applyAlignment="1" pivotButton="0" quotePrefix="0" xfId="179">
      <alignment vertical="center"/>
    </xf>
    <xf numFmtId="0" fontId="61" fillId="0" borderId="61" applyAlignment="1" pivotButton="0" quotePrefix="0" xfId="179">
      <alignment horizontal="center"/>
    </xf>
    <xf numFmtId="170" fontId="125" fillId="49" borderId="2" pivotButton="0" quotePrefix="0" xfId="179"/>
    <xf numFmtId="170" fontId="81" fillId="0" borderId="2" applyAlignment="1" pivotButton="0" quotePrefix="0" xfId="180">
      <alignment horizontal="center" vertical="center"/>
    </xf>
    <xf numFmtId="0" fontId="61" fillId="0" borderId="2" applyAlignment="1" pivotButton="0" quotePrefix="0" xfId="0">
      <alignment horizontal="left" vertical="center" wrapText="1"/>
    </xf>
    <xf numFmtId="43" fontId="61" fillId="0" borderId="2" applyAlignment="1" pivotButton="0" quotePrefix="0" xfId="1">
      <alignment horizontal="center" vertical="center" wrapText="1"/>
    </xf>
    <xf numFmtId="43" fontId="61" fillId="79" borderId="2" applyAlignment="1" pivotButton="0" quotePrefix="0" xfId="1">
      <alignment horizontal="center" vertical="center"/>
    </xf>
    <xf numFmtId="43" fontId="99" fillId="80" borderId="2" applyAlignment="1" pivotButton="0" quotePrefix="0" xfId="1">
      <alignment vertical="center" wrapText="1"/>
    </xf>
    <xf numFmtId="43" fontId="99" fillId="80" borderId="2" applyAlignment="1" pivotButton="0" quotePrefix="0" xfId="1">
      <alignment horizontal="left" vertical="center" wrapText="1"/>
    </xf>
    <xf numFmtId="0" fontId="61" fillId="15" borderId="2" applyAlignment="1" pivotButton="0" quotePrefix="0" xfId="0">
      <alignment horizontal="center" vertical="center"/>
    </xf>
    <xf numFmtId="43" fontId="125" fillId="0" borderId="2" applyAlignment="1" pivotButton="0" quotePrefix="0" xfId="0">
      <alignment horizontal="left" vertical="center" wrapText="1"/>
    </xf>
    <xf numFmtId="0" fontId="61" fillId="0" borderId="51" applyAlignment="1" pivotButton="0" quotePrefix="0" xfId="0">
      <alignment horizontal="center"/>
    </xf>
    <xf numFmtId="0" fontId="61" fillId="0" borderId="55" applyAlignment="1" pivotButton="0" quotePrefix="0" xfId="0">
      <alignment horizontal="center"/>
    </xf>
    <xf numFmtId="0" fontId="61" fillId="0" borderId="55" pivotButton="0" quotePrefix="0" xfId="0"/>
    <xf numFmtId="0" fontId="61" fillId="0" borderId="55" pivotButton="0" quotePrefix="1" xfId="0"/>
    <xf numFmtId="0" fontId="114" fillId="0" borderId="55" pivotButton="0" quotePrefix="0" xfId="0"/>
    <xf numFmtId="0" fontId="61" fillId="0" borderId="61" pivotButton="0" quotePrefix="0" xfId="0"/>
    <xf numFmtId="43" fontId="61" fillId="0" borderId="2" pivotButton="0" quotePrefix="0" xfId="1"/>
    <xf numFmtId="0" fontId="61" fillId="0" borderId="56" pivotButton="0" quotePrefix="1" xfId="0"/>
    <xf numFmtId="0" fontId="61" fillId="0" borderId="52" applyAlignment="1" pivotButton="0" quotePrefix="0" xfId="0">
      <alignment horizontal="center"/>
    </xf>
    <xf numFmtId="0" fontId="61" fillId="0" borderId="0" pivotButton="0" quotePrefix="1" xfId="0"/>
    <xf numFmtId="0" fontId="61" fillId="0" borderId="56" applyAlignment="1" pivotButton="0" quotePrefix="1" xfId="0">
      <alignment wrapText="1"/>
    </xf>
    <xf numFmtId="172" fontId="61" fillId="0" borderId="2" applyAlignment="1" pivotButton="0" quotePrefix="0" xfId="0">
      <alignment horizontal="center"/>
    </xf>
    <xf numFmtId="0" fontId="61" fillId="0" borderId="56" applyAlignment="1" pivotButton="0" quotePrefix="0" xfId="0">
      <alignment wrapText="1"/>
    </xf>
    <xf numFmtId="0" fontId="61" fillId="0" borderId="59" pivotButton="0" quotePrefix="0" xfId="0"/>
    <xf numFmtId="0" fontId="61" fillId="0" borderId="59" applyAlignment="1" pivotButton="0" quotePrefix="0" xfId="0">
      <alignment horizontal="center"/>
    </xf>
    <xf numFmtId="0" fontId="61" fillId="0" borderId="8" applyAlignment="1" pivotButton="0" quotePrefix="0" xfId="0">
      <alignment horizontal="center"/>
    </xf>
    <xf numFmtId="172" fontId="61" fillId="0" borderId="2" applyAlignment="1" pivotButton="0" quotePrefix="0" xfId="0">
      <alignment horizontal="center" vertical="center"/>
    </xf>
    <xf numFmtId="0" fontId="115" fillId="0" borderId="2" applyAlignment="1" pivotButton="0" quotePrefix="0" xfId="0">
      <alignment horizontal="center" vertical="center" wrapText="1"/>
    </xf>
    <xf numFmtId="0" fontId="6" fillId="80" borderId="2" applyAlignment="1" pivotButton="0" quotePrefix="0" xfId="0">
      <alignment horizontal="center" vertical="center"/>
    </xf>
    <xf numFmtId="43" fontId="99" fillId="80" borderId="2" pivotButton="0" quotePrefix="0" xfId="1"/>
    <xf numFmtId="0" fontId="6" fillId="90" borderId="0" applyAlignment="1" pivotButton="0" quotePrefix="0" xfId="0">
      <alignment horizontal="center" vertical="center" wrapText="1"/>
    </xf>
    <xf numFmtId="0" fontId="6" fillId="90" borderId="0" applyAlignment="1" pivotButton="0" quotePrefix="0" xfId="0">
      <alignment horizontal="center" vertical="center"/>
    </xf>
    <xf numFmtId="3" fontId="6" fillId="90" borderId="0" applyAlignment="1" pivotButton="0" quotePrefix="0" xfId="0">
      <alignment horizontal="center" vertical="center" wrapText="1"/>
    </xf>
    <xf numFmtId="0" fontId="6" fillId="90" borderId="0" applyAlignment="1" pivotButton="0" quotePrefix="0" xfId="0">
      <alignment vertical="center" wrapText="1"/>
    </xf>
    <xf numFmtId="0" fontId="6" fillId="90" borderId="0" applyAlignment="1" pivotButton="0" quotePrefix="0" xfId="0">
      <alignment horizontal="right" vertical="center" wrapText="1"/>
    </xf>
    <xf numFmtId="0" fontId="6" fillId="90" borderId="0" applyAlignment="1" pivotButton="0" quotePrefix="0" xfId="0">
      <alignment horizontal="right" vertical="center"/>
    </xf>
    <xf numFmtId="0" fontId="96" fillId="91" borderId="0" applyAlignment="1" pivotButton="0" quotePrefix="0" xfId="0">
      <alignment horizontal="center"/>
    </xf>
    <xf numFmtId="14" fontId="96" fillId="91" borderId="0" applyAlignment="1" pivotButton="0" quotePrefix="0" xfId="0">
      <alignment horizontal="center"/>
    </xf>
    <xf numFmtId="0" fontId="96" fillId="91" borderId="0" applyAlignment="1" pivotButton="0" quotePrefix="0" xfId="0">
      <alignment horizontal="right"/>
    </xf>
    <xf numFmtId="0" fontId="96" fillId="91" borderId="0" applyAlignment="1" pivotButton="0" quotePrefix="0" xfId="0">
      <alignment horizontal="left"/>
    </xf>
    <xf numFmtId="3" fontId="96" fillId="91" borderId="0" applyAlignment="1" pivotButton="0" quotePrefix="0" xfId="0">
      <alignment horizontal="center"/>
    </xf>
    <xf numFmtId="0" fontId="96" fillId="91" borderId="0" pivotButton="0" quotePrefix="0" xfId="0"/>
    <xf numFmtId="3" fontId="96" fillId="91" borderId="0" applyAlignment="1" pivotButton="0" quotePrefix="0" xfId="0">
      <alignment horizontal="right"/>
    </xf>
    <xf numFmtId="43" fontId="96" fillId="91" borderId="0" pivotButton="0" quotePrefix="0" xfId="0"/>
    <xf numFmtId="0" fontId="61" fillId="91" borderId="0" applyAlignment="1" pivotButton="0" quotePrefix="0" xfId="0">
      <alignment horizontal="center" vertical="center"/>
    </xf>
    <xf numFmtId="43" fontId="61" fillId="91" borderId="0" applyAlignment="1" pivotButton="0" quotePrefix="0" xfId="0">
      <alignment vertical="center"/>
    </xf>
    <xf numFmtId="0" fontId="96" fillId="92" borderId="0" applyAlignment="1" pivotButton="0" quotePrefix="0" xfId="0">
      <alignment horizontal="center"/>
    </xf>
    <xf numFmtId="14" fontId="96" fillId="92" borderId="0" applyAlignment="1" pivotButton="0" quotePrefix="0" xfId="0">
      <alignment horizontal="center"/>
    </xf>
    <xf numFmtId="0" fontId="96" fillId="92" borderId="0" applyAlignment="1" pivotButton="0" quotePrefix="0" xfId="0">
      <alignment horizontal="right"/>
    </xf>
    <xf numFmtId="0" fontId="96" fillId="92" borderId="0" applyAlignment="1" pivotButton="0" quotePrefix="0" xfId="0">
      <alignment horizontal="left"/>
    </xf>
    <xf numFmtId="3" fontId="96" fillId="92" borderId="0" applyAlignment="1" pivotButton="0" quotePrefix="0" xfId="0">
      <alignment horizontal="center"/>
    </xf>
    <xf numFmtId="0" fontId="96" fillId="92" borderId="0" pivotButton="0" quotePrefix="0" xfId="0"/>
    <xf numFmtId="3" fontId="96" fillId="92" borderId="0" applyAlignment="1" pivotButton="0" quotePrefix="0" xfId="0">
      <alignment horizontal="right"/>
    </xf>
    <xf numFmtId="43" fontId="96" fillId="92" borderId="0" pivotButton="0" quotePrefix="0" xfId="0"/>
    <xf numFmtId="0" fontId="61" fillId="91" borderId="0" applyAlignment="1" pivotButton="0" quotePrefix="0" xfId="0">
      <alignment horizontal="center"/>
    </xf>
    <xf numFmtId="14" fontId="61" fillId="91" borderId="0" applyAlignment="1" pivotButton="0" quotePrefix="0" xfId="0">
      <alignment horizontal="center"/>
    </xf>
    <xf numFmtId="0" fontId="61" fillId="91" borderId="0" applyAlignment="1" pivotButton="0" quotePrefix="0" xfId="0">
      <alignment horizontal="right"/>
    </xf>
    <xf numFmtId="0" fontId="61" fillId="91" borderId="0" pivotButton="0" quotePrefix="0" xfId="0"/>
    <xf numFmtId="3" fontId="61" fillId="91" borderId="0" applyAlignment="1" pivotButton="0" quotePrefix="0" xfId="0">
      <alignment horizontal="center"/>
    </xf>
    <xf numFmtId="3" fontId="61" fillId="91" borderId="0" applyAlignment="1" pivotButton="0" quotePrefix="0" xfId="0">
      <alignment horizontal="right"/>
    </xf>
    <xf numFmtId="0" fontId="61" fillId="92" borderId="0" applyAlignment="1" pivotButton="0" quotePrefix="0" xfId="0">
      <alignment horizontal="center"/>
    </xf>
    <xf numFmtId="14" fontId="61" fillId="92" borderId="0" applyAlignment="1" pivotButton="0" quotePrefix="0" xfId="0">
      <alignment horizontal="center"/>
    </xf>
    <xf numFmtId="0" fontId="61" fillId="92" borderId="0" applyAlignment="1" pivotButton="0" quotePrefix="0" xfId="0">
      <alignment horizontal="center" vertical="center"/>
    </xf>
    <xf numFmtId="0" fontId="61" fillId="92" borderId="0" applyAlignment="1" pivotButton="0" quotePrefix="0" xfId="0">
      <alignment horizontal="right"/>
    </xf>
    <xf numFmtId="0" fontId="61" fillId="92" borderId="0" pivotButton="0" quotePrefix="0" xfId="0"/>
    <xf numFmtId="3" fontId="61" fillId="92" borderId="0" applyAlignment="1" pivotButton="0" quotePrefix="0" xfId="0">
      <alignment horizontal="center"/>
    </xf>
    <xf numFmtId="3" fontId="61" fillId="92" borderId="0" applyAlignment="1" pivotButton="0" quotePrefix="0" xfId="0">
      <alignment horizontal="right"/>
    </xf>
    <xf numFmtId="43" fontId="61" fillId="92" borderId="0" applyAlignment="1" pivotButton="0" quotePrefix="0" xfId="0">
      <alignment vertical="center"/>
    </xf>
    <xf numFmtId="0" fontId="61" fillId="92" borderId="0" applyAlignment="1" pivotButton="0" quotePrefix="0" xfId="0">
      <alignment vertical="center"/>
    </xf>
    <xf numFmtId="4" fontId="61" fillId="91" borderId="0" applyAlignment="1" pivotButton="0" quotePrefix="0" xfId="0">
      <alignment vertical="center"/>
    </xf>
    <xf numFmtId="2" fontId="61" fillId="91" borderId="0" applyAlignment="1" pivotButton="0" quotePrefix="0" xfId="0">
      <alignment vertical="center"/>
    </xf>
    <xf numFmtId="4" fontId="61" fillId="92" borderId="0" applyAlignment="1" pivotButton="0" quotePrefix="0" xfId="0">
      <alignment vertical="center"/>
    </xf>
    <xf numFmtId="2" fontId="61" fillId="92" borderId="0" applyAlignment="1" pivotButton="0" quotePrefix="0" xfId="0">
      <alignment vertical="center"/>
    </xf>
    <xf numFmtId="4" fontId="96" fillId="92" borderId="0" pivotButton="0" quotePrefix="0" xfId="0"/>
    <xf numFmtId="4" fontId="96" fillId="91" borderId="0" pivotButton="0" quotePrefix="0" xfId="0"/>
    <xf numFmtId="0" fontId="128" fillId="92" borderId="0" applyAlignment="1" pivotButton="0" quotePrefix="0" xfId="0">
      <alignment horizontal="center"/>
    </xf>
    <xf numFmtId="0" fontId="128" fillId="91" borderId="0" applyAlignment="1" pivotButton="0" quotePrefix="0" xfId="0">
      <alignment horizontal="center"/>
    </xf>
    <xf numFmtId="0" fontId="96" fillId="0" borderId="0" applyAlignment="1" pivotButton="0" quotePrefix="0" xfId="0">
      <alignment horizontal="center"/>
    </xf>
    <xf numFmtId="14" fontId="61" fillId="0" borderId="0" applyAlignment="1" pivotButton="0" quotePrefix="0" xfId="0">
      <alignment horizontal="center"/>
    </xf>
    <xf numFmtId="3" fontId="61" fillId="0" borderId="0" applyAlignment="1" pivotButton="0" quotePrefix="0" xfId="0">
      <alignment horizontal="center"/>
    </xf>
    <xf numFmtId="0" fontId="61" fillId="91" borderId="0" applyAlignment="1" pivotButton="0" quotePrefix="0" xfId="0">
      <alignment vertical="center"/>
    </xf>
    <xf numFmtId="0" fontId="61" fillId="0" borderId="0" applyAlignment="1" pivotButton="0" quotePrefix="0" xfId="0">
      <alignment horizontal="right"/>
    </xf>
    <xf numFmtId="3" fontId="61" fillId="0" borderId="0" applyAlignment="1" pivotButton="0" quotePrefix="0" xfId="0">
      <alignment horizontal="right"/>
    </xf>
    <xf numFmtId="4" fontId="61" fillId="0" borderId="0" applyAlignment="1" pivotButton="0" quotePrefix="0" xfId="0">
      <alignment vertical="center"/>
    </xf>
    <xf numFmtId="2" fontId="61" fillId="0" borderId="0" applyAlignment="1" pivotButton="0" quotePrefix="0" xfId="0">
      <alignment vertical="center"/>
    </xf>
    <xf numFmtId="4" fontId="96" fillId="92" borderId="68" pivotButton="0" quotePrefix="0" xfId="0"/>
    <xf numFmtId="0" fontId="61" fillId="91" borderId="0" applyAlignment="1" pivotButton="0" quotePrefix="1" xfId="0">
      <alignment horizontal="center"/>
    </xf>
    <xf numFmtId="0" fontId="61" fillId="92" borderId="0" applyAlignment="1" pivotButton="0" quotePrefix="1" xfId="0">
      <alignment horizontal="center"/>
    </xf>
    <xf numFmtId="0" fontId="61" fillId="59" borderId="0" applyAlignment="1" pivotButton="0" quotePrefix="0" xfId="0">
      <alignment horizontal="center"/>
    </xf>
    <xf numFmtId="14" fontId="61" fillId="59" borderId="0" applyAlignment="1" pivotButton="0" quotePrefix="0" xfId="0">
      <alignment horizontal="center"/>
    </xf>
    <xf numFmtId="0" fontId="61" fillId="59" borderId="0" applyAlignment="1" pivotButton="0" quotePrefix="0" xfId="0">
      <alignment horizontal="center" vertical="center"/>
    </xf>
    <xf numFmtId="0" fontId="61" fillId="59" borderId="0" applyAlignment="1" pivotButton="0" quotePrefix="0" xfId="0">
      <alignment horizontal="right"/>
    </xf>
    <xf numFmtId="3" fontId="61" fillId="59" borderId="0" applyAlignment="1" pivotButton="0" quotePrefix="0" xfId="0">
      <alignment horizontal="center"/>
    </xf>
    <xf numFmtId="0" fontId="61" fillId="59" borderId="0" pivotButton="0" quotePrefix="0" xfId="0"/>
    <xf numFmtId="3" fontId="61" fillId="59" borderId="0" applyAlignment="1" pivotButton="0" quotePrefix="0" xfId="0">
      <alignment horizontal="right"/>
    </xf>
    <xf numFmtId="4" fontId="61" fillId="59" borderId="0" applyAlignment="1" pivotButton="0" quotePrefix="0" xfId="0">
      <alignment vertical="center"/>
    </xf>
    <xf numFmtId="2" fontId="61" fillId="59" borderId="0" applyAlignment="1" pivotButton="0" quotePrefix="0" xfId="0">
      <alignment vertical="center"/>
    </xf>
    <xf numFmtId="0" fontId="61" fillId="0" borderId="0" applyAlignment="1" pivotButton="0" quotePrefix="1" xfId="0">
      <alignment horizontal="center"/>
    </xf>
    <xf numFmtId="0" fontId="61" fillId="91" borderId="0" applyAlignment="1" pivotButton="0" quotePrefix="0" xfId="0">
      <alignment horizontal="left"/>
    </xf>
    <xf numFmtId="0" fontId="61" fillId="93" borderId="0" applyAlignment="1" pivotButton="0" quotePrefix="0" xfId="0">
      <alignment horizontal="center" vertical="center"/>
    </xf>
    <xf numFmtId="14" fontId="61" fillId="93" borderId="0" applyAlignment="1" pivotButton="0" quotePrefix="0" xfId="0">
      <alignment horizontal="center"/>
    </xf>
    <xf numFmtId="0" fontId="61" fillId="93" borderId="0" applyAlignment="1" pivotButton="0" quotePrefix="0" xfId="0">
      <alignment horizontal="center"/>
    </xf>
    <xf numFmtId="0" fontId="61" fillId="93" borderId="0" applyAlignment="1" pivotButton="0" quotePrefix="0" xfId="0">
      <alignment horizontal="right"/>
    </xf>
    <xf numFmtId="0" fontId="61" fillId="93" borderId="0" applyAlignment="1" pivotButton="0" quotePrefix="0" xfId="0">
      <alignment horizontal="left"/>
    </xf>
    <xf numFmtId="3" fontId="61" fillId="93" borderId="0" applyAlignment="1" pivotButton="0" quotePrefix="0" xfId="0">
      <alignment horizontal="center"/>
    </xf>
    <xf numFmtId="0" fontId="61" fillId="93" borderId="0" applyAlignment="1" pivotButton="0" quotePrefix="0" xfId="0">
      <alignment vertical="center"/>
    </xf>
    <xf numFmtId="3" fontId="61" fillId="93" borderId="0" applyAlignment="1" pivotButton="0" quotePrefix="0" xfId="0">
      <alignment horizontal="right"/>
    </xf>
    <xf numFmtId="4" fontId="61" fillId="93" borderId="0" applyAlignment="1" pivotButton="0" quotePrefix="0" xfId="0">
      <alignment vertical="center"/>
    </xf>
    <xf numFmtId="2" fontId="61" fillId="93" borderId="0" applyAlignment="1" pivotButton="0" quotePrefix="0" xfId="0">
      <alignment vertical="center"/>
    </xf>
    <xf numFmtId="0" fontId="0" fillId="45" borderId="0" pivotButton="0" quotePrefix="0" xfId="0"/>
    <xf numFmtId="0" fontId="61" fillId="93" borderId="0" applyAlignment="1" pivotButton="0" quotePrefix="1" xfId="0">
      <alignment horizontal="center"/>
    </xf>
    <xf numFmtId="0" fontId="96" fillId="93" borderId="0" applyAlignment="1" pivotButton="0" quotePrefix="0" xfId="0">
      <alignment horizontal="center"/>
    </xf>
    <xf numFmtId="0" fontId="96" fillId="93" borderId="0" applyAlignment="1" pivotButton="0" quotePrefix="0" xfId="0">
      <alignment horizontal="right"/>
    </xf>
    <xf numFmtId="0" fontId="96" fillId="93" borderId="0" pivotButton="0" quotePrefix="0" xfId="0"/>
    <xf numFmtId="3" fontId="96" fillId="93" borderId="0" applyAlignment="1" pivotButton="0" quotePrefix="0" xfId="0">
      <alignment horizontal="right"/>
    </xf>
    <xf numFmtId="4" fontId="96" fillId="93" borderId="0" pivotButton="0" quotePrefix="0" xfId="0"/>
    <xf numFmtId="3" fontId="61" fillId="92" borderId="0" pivotButton="0" quotePrefix="0" xfId="0"/>
    <xf numFmtId="3" fontId="61" fillId="91" borderId="0" pivotButton="0" quotePrefix="0" xfId="0"/>
    <xf numFmtId="0" fontId="6" fillId="96" borderId="2" applyAlignment="1" pivotButton="0" quotePrefix="0" xfId="0">
      <alignment horizontal="center" vertical="center" wrapText="1"/>
    </xf>
    <xf numFmtId="0" fontId="118" fillId="97" borderId="2" applyAlignment="1" pivotButton="0" quotePrefix="0" xfId="0">
      <alignment horizontal="center" vertical="center"/>
    </xf>
    <xf numFmtId="43" fontId="99" fillId="95" borderId="2" applyAlignment="1" pivotButton="0" quotePrefix="0" xfId="1">
      <alignment horizontal="center" vertical="center" wrapText="1"/>
    </xf>
    <xf numFmtId="0" fontId="118" fillId="97" borderId="2" applyAlignment="1" pivotButton="0" quotePrefix="0" xfId="0">
      <alignment horizontal="center" vertical="center" wrapText="1"/>
    </xf>
    <xf numFmtId="170" fontId="99" fillId="95" borderId="2" applyAlignment="1" pivotButton="0" quotePrefix="0" xfId="32">
      <alignment horizontal="right" vertical="center" wrapText="1"/>
    </xf>
    <xf numFmtId="0" fontId="6" fillId="95" borderId="2" applyAlignment="1" pivotButton="0" quotePrefix="0" xfId="0">
      <alignment horizontal="center" vertical="center" wrapText="1"/>
    </xf>
    <xf numFmtId="0" fontId="6" fillId="95" borderId="2" applyAlignment="1" pivotButton="0" quotePrefix="0" xfId="0">
      <alignment vertical="center" wrapText="1"/>
    </xf>
    <xf numFmtId="43" fontId="0" fillId="0" borderId="0" pivotButton="0" quotePrefix="0" xfId="0"/>
    <xf numFmtId="43" fontId="61" fillId="92" borderId="0" pivotButton="0" quotePrefix="0" xfId="0"/>
    <xf numFmtId="0" fontId="96" fillId="91" borderId="2" applyAlignment="1" pivotButton="0" quotePrefix="0" xfId="0">
      <alignment horizontal="center"/>
    </xf>
    <xf numFmtId="14" fontId="96" fillId="91" borderId="2" applyAlignment="1" pivotButton="0" quotePrefix="0" xfId="0">
      <alignment horizontal="center"/>
    </xf>
    <xf numFmtId="0" fontId="96" fillId="91" borderId="2" applyAlignment="1" pivotButton="0" quotePrefix="0" xfId="0">
      <alignment horizontal="right"/>
    </xf>
    <xf numFmtId="0" fontId="96" fillId="91" borderId="2" applyAlignment="1" pivotButton="0" quotePrefix="0" xfId="0">
      <alignment horizontal="left"/>
    </xf>
    <xf numFmtId="2" fontId="96" fillId="91" borderId="2" applyAlignment="1" pivotButton="0" quotePrefix="0" xfId="0">
      <alignment horizontal="center"/>
    </xf>
    <xf numFmtId="0" fontId="96" fillId="91" borderId="2" pivotButton="0" quotePrefix="0" xfId="0"/>
    <xf numFmtId="3" fontId="96" fillId="91" borderId="2" applyAlignment="1" pivotButton="0" quotePrefix="0" xfId="0">
      <alignment horizontal="right"/>
    </xf>
    <xf numFmtId="43" fontId="96" fillId="91" borderId="2" pivotButton="0" quotePrefix="0" xfId="0"/>
    <xf numFmtId="43" fontId="96" fillId="91" borderId="2" applyAlignment="1" pivotButton="0" quotePrefix="0" xfId="0">
      <alignment horizontal="right"/>
    </xf>
    <xf numFmtId="43" fontId="61" fillId="98" borderId="2" applyAlignment="1" pivotButton="0" quotePrefix="0" xfId="1">
      <alignment horizontal="center" vertical="center"/>
    </xf>
    <xf numFmtId="43" fontId="61" fillId="98" borderId="2" applyAlignment="1" pivotButton="0" quotePrefix="0" xfId="0">
      <alignment vertical="center"/>
    </xf>
    <xf numFmtId="43" fontId="0" fillId="43" borderId="2" pivotButton="0" quotePrefix="0" xfId="1"/>
    <xf numFmtId="0" fontId="96" fillId="92" borderId="2" applyAlignment="1" pivotButton="0" quotePrefix="0" xfId="0">
      <alignment horizontal="center"/>
    </xf>
    <xf numFmtId="14" fontId="96" fillId="92" borderId="2" applyAlignment="1" pivotButton="0" quotePrefix="0" xfId="0">
      <alignment horizontal="center"/>
    </xf>
    <xf numFmtId="0" fontId="96" fillId="92" borderId="2" applyAlignment="1" pivotButton="0" quotePrefix="0" xfId="0">
      <alignment horizontal="right"/>
    </xf>
    <xf numFmtId="0" fontId="96" fillId="92" borderId="2" applyAlignment="1" pivotButton="0" quotePrefix="0" xfId="0">
      <alignment horizontal="left"/>
    </xf>
    <xf numFmtId="2" fontId="96" fillId="92" borderId="2" applyAlignment="1" pivotButton="0" quotePrefix="0" xfId="0">
      <alignment horizontal="center"/>
    </xf>
    <xf numFmtId="0" fontId="96" fillId="92" borderId="2" pivotButton="0" quotePrefix="0" xfId="0"/>
    <xf numFmtId="3" fontId="96" fillId="92" borderId="2" applyAlignment="1" pivotButton="0" quotePrefix="0" xfId="0">
      <alignment horizontal="right"/>
    </xf>
    <xf numFmtId="43" fontId="96" fillId="92" borderId="2" pivotButton="0" quotePrefix="0" xfId="0"/>
    <xf numFmtId="43" fontId="96" fillId="92" borderId="2" applyAlignment="1" pivotButton="0" quotePrefix="0" xfId="0">
      <alignment horizontal="right"/>
    </xf>
    <xf numFmtId="0" fontId="61" fillId="91" borderId="2" applyAlignment="1" pivotButton="0" quotePrefix="0" xfId="0">
      <alignment horizontal="center"/>
    </xf>
    <xf numFmtId="14" fontId="61" fillId="91" borderId="2" applyAlignment="1" pivotButton="0" quotePrefix="0" xfId="0">
      <alignment horizontal="center"/>
    </xf>
    <xf numFmtId="0" fontId="61" fillId="91" borderId="2" applyAlignment="1" pivotButton="0" quotePrefix="0" xfId="0">
      <alignment horizontal="center" vertical="center"/>
    </xf>
    <xf numFmtId="0" fontId="61" fillId="91" borderId="2" applyAlignment="1" pivotButton="0" quotePrefix="0" xfId="0">
      <alignment horizontal="right"/>
    </xf>
    <xf numFmtId="0" fontId="61" fillId="91" borderId="2" pivotButton="0" quotePrefix="0" xfId="0"/>
    <xf numFmtId="2" fontId="61" fillId="91" borderId="2" applyAlignment="1" pivotButton="0" quotePrefix="0" xfId="0">
      <alignment horizontal="center"/>
    </xf>
    <xf numFmtId="3" fontId="61" fillId="91" borderId="2" applyAlignment="1" pivotButton="0" quotePrefix="0" xfId="0">
      <alignment horizontal="right"/>
    </xf>
    <xf numFmtId="43" fontId="61" fillId="91" borderId="2" applyAlignment="1" pivotButton="0" quotePrefix="0" xfId="0">
      <alignment vertical="center"/>
    </xf>
    <xf numFmtId="43" fontId="61" fillId="91" borderId="2" applyAlignment="1" pivotButton="0" quotePrefix="0" xfId="0">
      <alignment horizontal="right"/>
    </xf>
    <xf numFmtId="0" fontId="61" fillId="92" borderId="2" applyAlignment="1" pivotButton="0" quotePrefix="0" xfId="0">
      <alignment horizontal="center"/>
    </xf>
    <xf numFmtId="14" fontId="61" fillId="92" borderId="2" applyAlignment="1" pivotButton="0" quotePrefix="0" xfId="0">
      <alignment horizontal="center"/>
    </xf>
    <xf numFmtId="0" fontId="61" fillId="92" borderId="2" applyAlignment="1" pivotButton="0" quotePrefix="0" xfId="0">
      <alignment horizontal="center" vertical="center"/>
    </xf>
    <xf numFmtId="0" fontId="61" fillId="92" borderId="2" applyAlignment="1" pivotButton="0" quotePrefix="0" xfId="0">
      <alignment horizontal="right"/>
    </xf>
    <xf numFmtId="0" fontId="61" fillId="92" borderId="2" pivotButton="0" quotePrefix="0" xfId="0"/>
    <xf numFmtId="2" fontId="61" fillId="92" borderId="2" applyAlignment="1" pivotButton="0" quotePrefix="0" xfId="0">
      <alignment horizontal="center"/>
    </xf>
    <xf numFmtId="3" fontId="61" fillId="92" borderId="2" applyAlignment="1" pivotButton="0" quotePrefix="0" xfId="0">
      <alignment horizontal="right"/>
    </xf>
    <xf numFmtId="43" fontId="61" fillId="92" borderId="2" applyAlignment="1" pivotButton="0" quotePrefix="0" xfId="0">
      <alignment vertical="center"/>
    </xf>
    <xf numFmtId="43" fontId="61" fillId="92" borderId="2" applyAlignment="1" pivotButton="0" quotePrefix="0" xfId="0">
      <alignment horizontal="right"/>
    </xf>
    <xf numFmtId="0" fontId="61" fillId="92" borderId="2" applyAlignment="1" pivotButton="0" quotePrefix="0" xfId="0">
      <alignment vertical="center"/>
    </xf>
    <xf numFmtId="4" fontId="61" fillId="91" borderId="2" applyAlignment="1" pivotButton="0" quotePrefix="0" xfId="0">
      <alignment horizontal="right"/>
    </xf>
    <xf numFmtId="4" fontId="61" fillId="92" borderId="2" applyAlignment="1" pivotButton="0" quotePrefix="0" xfId="0">
      <alignment horizontal="right"/>
    </xf>
    <xf numFmtId="4" fontId="61" fillId="91" borderId="2" applyAlignment="1" pivotButton="0" quotePrefix="0" xfId="0">
      <alignment vertical="center"/>
    </xf>
    <xf numFmtId="4" fontId="61" fillId="92" borderId="2" applyAlignment="1" pivotButton="0" quotePrefix="0" xfId="0">
      <alignment vertical="center"/>
    </xf>
    <xf numFmtId="4" fontId="96" fillId="92" borderId="2" pivotButton="0" quotePrefix="0" xfId="0"/>
    <xf numFmtId="4" fontId="96" fillId="92" borderId="2" applyAlignment="1" pivotButton="0" quotePrefix="0" xfId="0">
      <alignment horizontal="right"/>
    </xf>
    <xf numFmtId="4" fontId="96" fillId="91" borderId="2" pivotButton="0" quotePrefix="0" xfId="0"/>
    <xf numFmtId="0" fontId="128" fillId="92" borderId="2" applyAlignment="1" pivotButton="0" quotePrefix="0" xfId="0">
      <alignment horizontal="center"/>
    </xf>
    <xf numFmtId="0" fontId="128" fillId="91" borderId="2" applyAlignment="1" pivotButton="0" quotePrefix="0" xfId="0">
      <alignment horizontal="center"/>
    </xf>
    <xf numFmtId="0" fontId="96" fillId="0" borderId="2" applyAlignment="1" pivotButton="0" quotePrefix="0" xfId="0">
      <alignment horizontal="center"/>
    </xf>
    <xf numFmtId="14" fontId="61" fillId="0" borderId="2" applyAlignment="1" pivotButton="0" quotePrefix="0" xfId="0">
      <alignment horizontal="center"/>
    </xf>
    <xf numFmtId="2" fontId="61" fillId="0" borderId="2" applyAlignment="1" pivotButton="0" quotePrefix="0" xfId="0">
      <alignment horizontal="center"/>
    </xf>
    <xf numFmtId="0" fontId="61" fillId="91" borderId="2" applyAlignment="1" pivotButton="0" quotePrefix="0" xfId="0">
      <alignment vertical="center"/>
    </xf>
    <xf numFmtId="4" fontId="96" fillId="91" borderId="2" applyAlignment="1" pivotButton="0" quotePrefix="0" xfId="0">
      <alignment horizontal="right"/>
    </xf>
    <xf numFmtId="0" fontId="61" fillId="0" borderId="2" applyAlignment="1" pivotButton="0" quotePrefix="0" xfId="0">
      <alignment horizontal="right"/>
    </xf>
    <xf numFmtId="3" fontId="61" fillId="0" borderId="2" applyAlignment="1" pivotButton="0" quotePrefix="0" xfId="0">
      <alignment horizontal="right"/>
    </xf>
    <xf numFmtId="4" fontId="61" fillId="0" borderId="2" applyAlignment="1" pivotButton="0" quotePrefix="0" xfId="0">
      <alignment vertical="center"/>
    </xf>
    <xf numFmtId="4" fontId="61" fillId="0" borderId="2" applyAlignment="1" pivotButton="0" quotePrefix="0" xfId="0">
      <alignment horizontal="right"/>
    </xf>
    <xf numFmtId="0" fontId="61" fillId="91" borderId="2" applyAlignment="1" pivotButton="0" quotePrefix="1" xfId="0">
      <alignment horizontal="center"/>
    </xf>
    <xf numFmtId="0" fontId="61" fillId="92" borderId="2" applyAlignment="1" pivotButton="0" quotePrefix="1" xfId="0">
      <alignment horizontal="center"/>
    </xf>
    <xf numFmtId="43" fontId="61" fillId="0" borderId="2" applyAlignment="1" pivotButton="0" quotePrefix="0" xfId="0">
      <alignment horizontal="right"/>
    </xf>
    <xf numFmtId="0" fontId="61" fillId="59" borderId="2" applyAlignment="1" pivotButton="0" quotePrefix="0" xfId="0">
      <alignment horizontal="center"/>
    </xf>
    <xf numFmtId="14" fontId="61" fillId="59" borderId="2" applyAlignment="1" pivotButton="0" quotePrefix="0" xfId="0">
      <alignment horizontal="center"/>
    </xf>
    <xf numFmtId="0" fontId="61" fillId="59" borderId="2" applyAlignment="1" pivotButton="0" quotePrefix="0" xfId="0">
      <alignment horizontal="center" vertical="center"/>
    </xf>
    <xf numFmtId="0" fontId="61" fillId="59" borderId="2" applyAlignment="1" pivotButton="0" quotePrefix="0" xfId="0">
      <alignment horizontal="right"/>
    </xf>
    <xf numFmtId="2" fontId="61" fillId="59" borderId="2" applyAlignment="1" pivotButton="0" quotePrefix="0" xfId="0">
      <alignment horizontal="center"/>
    </xf>
    <xf numFmtId="0" fontId="61" fillId="59" borderId="2" pivotButton="0" quotePrefix="0" xfId="0"/>
    <xf numFmtId="3" fontId="61" fillId="59" borderId="2" applyAlignment="1" pivotButton="0" quotePrefix="0" xfId="0">
      <alignment horizontal="right"/>
    </xf>
    <xf numFmtId="4" fontId="61" fillId="59" borderId="2" applyAlignment="1" pivotButton="0" quotePrefix="0" xfId="0">
      <alignment vertical="center"/>
    </xf>
    <xf numFmtId="43" fontId="61" fillId="59" borderId="2" applyAlignment="1" pivotButton="0" quotePrefix="0" xfId="0">
      <alignment horizontal="right"/>
    </xf>
    <xf numFmtId="0" fontId="61" fillId="0" borderId="2" applyAlignment="1" pivotButton="0" quotePrefix="1" xfId="0">
      <alignment horizontal="center"/>
    </xf>
    <xf numFmtId="0" fontId="61" fillId="91" borderId="2" applyAlignment="1" pivotButton="0" quotePrefix="0" xfId="0">
      <alignment horizontal="left"/>
    </xf>
    <xf numFmtId="0" fontId="61" fillId="93" borderId="2" applyAlignment="1" pivotButton="0" quotePrefix="0" xfId="0">
      <alignment horizontal="center" vertical="center"/>
    </xf>
    <xf numFmtId="14" fontId="61" fillId="93" borderId="2" applyAlignment="1" pivotButton="0" quotePrefix="0" xfId="0">
      <alignment horizontal="center"/>
    </xf>
    <xf numFmtId="0" fontId="61" fillId="93" borderId="2" applyAlignment="1" pivotButton="0" quotePrefix="0" xfId="0">
      <alignment horizontal="center"/>
    </xf>
    <xf numFmtId="0" fontId="61" fillId="93" borderId="2" applyAlignment="1" pivotButton="0" quotePrefix="0" xfId="0">
      <alignment horizontal="right"/>
    </xf>
    <xf numFmtId="0" fontId="61" fillId="93" borderId="2" applyAlignment="1" pivotButton="0" quotePrefix="0" xfId="0">
      <alignment horizontal="left"/>
    </xf>
    <xf numFmtId="2" fontId="61" fillId="93" borderId="2" applyAlignment="1" pivotButton="0" quotePrefix="0" xfId="0">
      <alignment horizontal="center"/>
    </xf>
    <xf numFmtId="0" fontId="61" fillId="93" borderId="2" applyAlignment="1" pivotButton="0" quotePrefix="0" xfId="0">
      <alignment vertical="center"/>
    </xf>
    <xf numFmtId="3" fontId="61" fillId="93" borderId="2" applyAlignment="1" pivotButton="0" quotePrefix="0" xfId="0">
      <alignment horizontal="right"/>
    </xf>
    <xf numFmtId="4" fontId="61" fillId="93" borderId="2" applyAlignment="1" pivotButton="0" quotePrefix="0" xfId="0">
      <alignment vertical="center"/>
    </xf>
    <xf numFmtId="4" fontId="61" fillId="93" borderId="2" applyAlignment="1" pivotButton="0" quotePrefix="0" xfId="0">
      <alignment horizontal="right"/>
    </xf>
    <xf numFmtId="0" fontId="61" fillId="93" borderId="2" applyAlignment="1" pivotButton="0" quotePrefix="1" xfId="0">
      <alignment horizontal="center"/>
    </xf>
    <xf numFmtId="0" fontId="96" fillId="93" borderId="2" applyAlignment="1" pivotButton="0" quotePrefix="0" xfId="0">
      <alignment horizontal="center"/>
    </xf>
    <xf numFmtId="0" fontId="96" fillId="93" borderId="2" applyAlignment="1" pivotButton="0" quotePrefix="0" xfId="0">
      <alignment horizontal="right"/>
    </xf>
    <xf numFmtId="0" fontId="96" fillId="93" borderId="2" pivotButton="0" quotePrefix="0" xfId="0"/>
    <xf numFmtId="3" fontId="96" fillId="93" borderId="2" applyAlignment="1" pivotButton="0" quotePrefix="0" xfId="0">
      <alignment horizontal="right"/>
    </xf>
    <xf numFmtId="4" fontId="96" fillId="93" borderId="2" pivotButton="0" quotePrefix="0" xfId="0"/>
    <xf numFmtId="4" fontId="96" fillId="93" borderId="2" applyAlignment="1" pivotButton="0" quotePrefix="0" xfId="0">
      <alignment horizontal="right"/>
    </xf>
    <xf numFmtId="43" fontId="61" fillId="93" borderId="2" applyAlignment="1" pivotButton="0" quotePrefix="0" xfId="0">
      <alignment horizontal="right"/>
    </xf>
    <xf numFmtId="4" fontId="61" fillId="94" borderId="2" applyAlignment="1" pivotButton="0" quotePrefix="0" xfId="0">
      <alignment horizontal="right"/>
    </xf>
    <xf numFmtId="170" fontId="0" fillId="0" borderId="0" pivotButton="0" quotePrefix="0" xfId="0"/>
    <xf numFmtId="0" fontId="8" fillId="0" borderId="2" applyAlignment="1" pivotButton="0" quotePrefix="0" xfId="0">
      <alignment horizontal="left"/>
    </xf>
    <xf numFmtId="43" fontId="61" fillId="0" borderId="56" applyAlignment="1" pivotButton="0" quotePrefix="0" xfId="1">
      <alignment horizontal="left" vertical="center"/>
    </xf>
    <xf numFmtId="164" fontId="15" fillId="0" borderId="35" pivotButton="0" quotePrefix="0" xfId="1"/>
    <xf numFmtId="164" fontId="15" fillId="0" borderId="7" applyAlignment="1" pivotButton="0" quotePrefix="0" xfId="1">
      <alignment horizontal="center" vertical="center"/>
    </xf>
    <xf numFmtId="171" fontId="61" fillId="86" borderId="2" applyAlignment="1" pivotButton="0" quotePrefix="0" xfId="0">
      <alignment horizontal="center" vertical="center"/>
    </xf>
    <xf numFmtId="171" fontId="61" fillId="43" borderId="2" applyAlignment="1" pivotButton="0" quotePrefix="0" xfId="0">
      <alignment horizontal="center" vertical="center"/>
    </xf>
    <xf numFmtId="0" fontId="61" fillId="84" borderId="2" applyAlignment="1" pivotButton="0" quotePrefix="0" xfId="0">
      <alignment vertical="center" wrapText="1"/>
    </xf>
    <xf numFmtId="0" fontId="61" fillId="84" borderId="2" applyAlignment="1" pivotButton="0" quotePrefix="0" xfId="0">
      <alignment horizontal="center" vertical="center" wrapText="1"/>
    </xf>
    <xf numFmtId="0" fontId="61" fillId="84" borderId="2" applyAlignment="1" pivotButton="0" quotePrefix="0" xfId="0">
      <alignment horizontal="center" vertical="center"/>
    </xf>
    <xf numFmtId="171" fontId="61" fillId="84" borderId="2" applyAlignment="1" pivotButton="0" quotePrefix="0" xfId="0">
      <alignment vertical="center"/>
    </xf>
    <xf numFmtId="171" fontId="61" fillId="84" borderId="3" applyAlignment="1" pivotButton="0" quotePrefix="0" xfId="0">
      <alignment vertical="center"/>
    </xf>
    <xf numFmtId="165" fontId="0" fillId="0" borderId="0" pivotButton="0" quotePrefix="0" xfId="1"/>
    <xf numFmtId="0" fontId="104" fillId="0" borderId="0" applyAlignment="1" pivotButton="0" quotePrefix="0" xfId="0">
      <alignment horizontal="left" vertical="center"/>
    </xf>
    <xf numFmtId="168" fontId="122" fillId="87" borderId="0" pivotButton="0" quotePrefix="0" xfId="0"/>
    <xf numFmtId="164" fontId="19" fillId="0" borderId="11" pivotButton="0" quotePrefix="0" xfId="1"/>
    <xf numFmtId="165" fontId="61" fillId="0" borderId="2" applyAlignment="1" pivotButton="0" quotePrefix="0" xfId="1">
      <alignment vertical="center"/>
    </xf>
    <xf numFmtId="11" fontId="61" fillId="0" borderId="2" applyAlignment="1" pivotButton="0" quotePrefix="0" xfId="0">
      <alignment horizontal="center" vertical="center"/>
    </xf>
    <xf numFmtId="43" fontId="15" fillId="13" borderId="67" pivotButton="0" quotePrefix="0" xfId="1"/>
    <xf numFmtId="0" fontId="15" fillId="0" borderId="7" applyAlignment="1" pivotButton="0" quotePrefix="0" xfId="0">
      <alignment horizontal="center" vertical="center"/>
    </xf>
    <xf numFmtId="0" fontId="131" fillId="0" borderId="0" pivotButton="0" quotePrefix="0" xfId="0"/>
    <xf numFmtId="0" fontId="18" fillId="0" borderId="2" applyAlignment="1" pivotButton="0" quotePrefix="0" xfId="0">
      <alignment horizontal="center" vertical="center" wrapText="1"/>
    </xf>
    <xf numFmtId="0" fontId="132" fillId="0" borderId="9" pivotButton="0" quotePrefix="0" xfId="0"/>
    <xf numFmtId="14" fontId="89" fillId="0" borderId="2" applyAlignment="1" pivotButton="0" quotePrefix="0" xfId="161">
      <alignment horizontal="center" vertical="center"/>
    </xf>
    <xf numFmtId="14" fontId="89" fillId="0" borderId="2" applyAlignment="1" pivotButton="0" quotePrefix="0" xfId="169">
      <alignment horizontal="center" vertical="center"/>
    </xf>
    <xf numFmtId="14" fontId="89" fillId="0" borderId="2" applyAlignment="1" pivotButton="0" quotePrefix="0" xfId="173">
      <alignment horizontal="center" vertical="center"/>
    </xf>
    <xf numFmtId="14" fontId="89" fillId="0" borderId="2" applyAlignment="1" pivotButton="0" quotePrefix="0" xfId="175">
      <alignment horizontal="center" vertical="center"/>
    </xf>
    <xf numFmtId="14" fontId="0" fillId="15" borderId="5" applyAlignment="1" pivotButton="0" quotePrefix="0" xfId="0">
      <alignment horizontal="center" vertical="center"/>
    </xf>
    <xf numFmtId="0" fontId="61" fillId="61" borderId="2" applyAlignment="1" pivotButton="0" quotePrefix="0" xfId="0">
      <alignment horizontal="center" vertical="center"/>
    </xf>
    <xf numFmtId="0" fontId="18" fillId="0" borderId="2" applyAlignment="1" pivotButton="0" quotePrefix="0" xfId="0">
      <alignment vertical="center"/>
    </xf>
    <xf numFmtId="0" fontId="6" fillId="86" borderId="2" applyAlignment="1" pivotButton="0" quotePrefix="0" xfId="0">
      <alignment horizontal="center" vertical="center" wrapText="1"/>
    </xf>
    <xf numFmtId="170" fontId="61" fillId="0" borderId="2" applyAlignment="1" pivotButton="0" quotePrefix="0" xfId="0">
      <alignment vertical="center"/>
    </xf>
    <xf numFmtId="170" fontId="99" fillId="49" borderId="2" applyAlignment="1" pivotButton="0" quotePrefix="0" xfId="0">
      <alignment vertical="center"/>
    </xf>
    <xf numFmtId="170" fontId="99" fillId="78" borderId="2" applyAlignment="1" pivotButton="0" quotePrefix="0" xfId="0">
      <alignment vertical="center"/>
    </xf>
    <xf numFmtId="170" fontId="99" fillId="75" borderId="2" applyAlignment="1" pivotButton="0" quotePrefix="0" xfId="0">
      <alignment vertical="center"/>
    </xf>
    <xf numFmtId="164" fontId="15" fillId="0" borderId="0" pivotButton="0" quotePrefix="0" xfId="1"/>
    <xf numFmtId="164" fontId="19" fillId="0" borderId="0" pivotButton="0" quotePrefix="0" xfId="1"/>
    <xf numFmtId="43" fontId="15" fillId="0" borderId="7" applyAlignment="1" pivotButton="0" quotePrefix="0" xfId="1">
      <alignment horizontal="right" vertical="center"/>
    </xf>
    <xf numFmtId="164" fontId="15" fillId="13" borderId="5" pivotButton="0" quotePrefix="0" xfId="1"/>
    <xf numFmtId="43" fontId="19" fillId="0" borderId="35" pivotButton="0" quotePrefix="0" xfId="1"/>
    <xf numFmtId="43" fontId="19" fillId="0" borderId="13" pivotButton="0" quotePrefix="0" xfId="1"/>
    <xf numFmtId="0" fontId="0" fillId="0" borderId="13" pivotButton="0" quotePrefix="0" xfId="0"/>
    <xf numFmtId="43" fontId="19" fillId="12" borderId="0" pivotButton="0" quotePrefix="0" xfId="1"/>
    <xf numFmtId="43" fontId="15" fillId="12" borderId="35" pivotButton="0" quotePrefix="0" xfId="1"/>
    <xf numFmtId="43" fontId="15" fillId="12" borderId="13" pivotButton="0" quotePrefix="0" xfId="1"/>
    <xf numFmtId="43" fontId="15" fillId="13" borderId="66" pivotButton="0" quotePrefix="0" xfId="1"/>
    <xf numFmtId="0" fontId="6" fillId="0" borderId="8" applyAlignment="1" pivotButton="0" quotePrefix="0" xfId="0">
      <alignment horizontal="center" vertical="center" wrapText="1"/>
    </xf>
    <xf numFmtId="43" fontId="61" fillId="0" borderId="2" applyAlignment="1" pivotButton="0" quotePrefix="0" xfId="1">
      <alignment vertical="center"/>
    </xf>
    <xf numFmtId="0" fontId="133" fillId="0" borderId="0" pivotButton="0" quotePrefix="0" xfId="0"/>
    <xf numFmtId="43" fontId="61" fillId="91" borderId="2" applyAlignment="1" pivotButton="0" quotePrefix="0" xfId="1">
      <alignment horizontal="center"/>
    </xf>
    <xf numFmtId="43" fontId="61" fillId="91" borderId="2" applyAlignment="1" pivotButton="0" quotePrefix="0" xfId="1">
      <alignment horizontal="center" vertical="center"/>
    </xf>
    <xf numFmtId="43" fontId="61" fillId="92" borderId="2" applyAlignment="1" pivotButton="0" quotePrefix="0" xfId="1">
      <alignment horizontal="center" vertical="center"/>
    </xf>
    <xf numFmtId="43" fontId="96" fillId="91" borderId="2" applyAlignment="1" pivotButton="0" quotePrefix="0" xfId="1">
      <alignment horizontal="center"/>
    </xf>
    <xf numFmtId="43" fontId="96" fillId="92" borderId="2" applyAlignment="1" pivotButton="0" quotePrefix="0" xfId="1">
      <alignment horizontal="center"/>
    </xf>
    <xf numFmtId="0" fontId="8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43" fontId="18" fillId="0" borderId="7" applyAlignment="1" pivotButton="0" quotePrefix="0" xfId="1">
      <alignment horizontal="center"/>
    </xf>
    <xf numFmtId="0" fontId="6" fillId="0" borderId="2" applyAlignment="1" pivotButton="0" quotePrefix="0" xfId="0">
      <alignment horizontal="center" vertical="center" wrapText="1"/>
    </xf>
    <xf numFmtId="0" fontId="8" fillId="91" borderId="2" applyAlignment="1" pivotButton="0" quotePrefix="0" xfId="0">
      <alignment horizontal="center"/>
    </xf>
    <xf numFmtId="14" fontId="8" fillId="91" borderId="2" applyAlignment="1" pivotButton="0" quotePrefix="0" xfId="0">
      <alignment horizontal="center"/>
    </xf>
    <xf numFmtId="0" fontId="8" fillId="91" borderId="2" applyAlignment="1" pivotButton="0" quotePrefix="0" xfId="0">
      <alignment horizontal="center" vertical="center"/>
    </xf>
    <xf numFmtId="0" fontId="8" fillId="91" borderId="2" applyAlignment="1" pivotButton="0" quotePrefix="0" xfId="0">
      <alignment horizontal="right"/>
    </xf>
    <xf numFmtId="0" fontId="8" fillId="91" borderId="2" pivotButton="0" quotePrefix="0" xfId="0"/>
    <xf numFmtId="2" fontId="8" fillId="91" borderId="2" applyAlignment="1" pivotButton="0" quotePrefix="0" xfId="0">
      <alignment horizontal="center"/>
    </xf>
    <xf numFmtId="3" fontId="8" fillId="91" borderId="2" applyAlignment="1" pivotButton="0" quotePrefix="0" xfId="0">
      <alignment horizontal="right"/>
    </xf>
    <xf numFmtId="4" fontId="8" fillId="91" borderId="2" applyAlignment="1" pivotButton="0" quotePrefix="0" xfId="0">
      <alignment vertical="center"/>
    </xf>
    <xf numFmtId="43" fontId="8" fillId="91" borderId="2" applyAlignment="1" pivotButton="0" quotePrefix="0" xfId="0">
      <alignment horizontal="right"/>
    </xf>
    <xf numFmtId="43" fontId="8" fillId="98" borderId="2" applyAlignment="1" pivotButton="0" quotePrefix="0" xfId="1">
      <alignment horizontal="center" vertical="center"/>
    </xf>
    <xf numFmtId="43" fontId="8" fillId="98" borderId="2" applyAlignment="1" pivotButton="0" quotePrefix="0" xfId="0">
      <alignment vertical="center"/>
    </xf>
    <xf numFmtId="43" fontId="127" fillId="43" borderId="2" pivotButton="0" quotePrefix="0" xfId="1"/>
    <xf numFmtId="0" fontId="127" fillId="0" borderId="0" pivotButton="0" quotePrefix="0" xfId="0"/>
    <xf numFmtId="0" fontId="98" fillId="0" borderId="2" pivotButton="0" quotePrefix="0" xfId="0"/>
    <xf numFmtId="0" fontId="118" fillId="0" borderId="2" pivotButton="0" quotePrefix="0" xfId="0"/>
    <xf numFmtId="0" fontId="94" fillId="84" borderId="2" pivotButton="0" quotePrefix="0" xfId="0"/>
    <xf numFmtId="0" fontId="94" fillId="84" borderId="2" applyAlignment="1" pivotButton="0" quotePrefix="0" xfId="0">
      <alignment horizontal="center"/>
    </xf>
    <xf numFmtId="43" fontId="94" fillId="84" borderId="2" pivotButton="0" quotePrefix="0" xfId="1"/>
    <xf numFmtId="0" fontId="94" fillId="84" borderId="2" applyAlignment="1" pivotButton="0" quotePrefix="0" xfId="0">
      <alignment horizontal="left" vertical="center"/>
    </xf>
    <xf numFmtId="170" fontId="94" fillId="84" borderId="2" pivotButton="0" quotePrefix="0" xfId="0"/>
    <xf numFmtId="2" fontId="94" fillId="84" borderId="2" pivotButton="0" quotePrefix="0" xfId="0"/>
    <xf numFmtId="0" fontId="81" fillId="0" borderId="2" pivotButton="0" quotePrefix="0" xfId="0"/>
    <xf numFmtId="0" fontId="81" fillId="84" borderId="2" pivotButton="0" quotePrefix="0" xfId="0"/>
    <xf numFmtId="0" fontId="94" fillId="0" borderId="2" applyAlignment="1" pivotButton="0" quotePrefix="0" xfId="0">
      <alignment horizontal="center"/>
    </xf>
    <xf numFmtId="43" fontId="94" fillId="0" borderId="2" pivotButton="0" quotePrefix="0" xfId="1"/>
    <xf numFmtId="0" fontId="94" fillId="0" borderId="2" applyAlignment="1" pivotButton="0" quotePrefix="0" xfId="0">
      <alignment horizontal="left" vertical="center"/>
    </xf>
    <xf numFmtId="168" fontId="94" fillId="0" borderId="2" pivotButton="0" quotePrefix="0" xfId="0"/>
    <xf numFmtId="170" fontId="94" fillId="0" borderId="2" pivotButton="0" quotePrefix="0" xfId="0"/>
    <xf numFmtId="2" fontId="94" fillId="0" borderId="2" pivotButton="0" quotePrefix="0" xfId="0"/>
    <xf numFmtId="43" fontId="94" fillId="0" borderId="2" pivotButton="0" quotePrefix="0" xfId="1"/>
    <xf numFmtId="0" fontId="110" fillId="0" borderId="2" pivotButton="0" quotePrefix="0" xfId="0"/>
    <xf numFmtId="0" fontId="94" fillId="3" borderId="2" pivotButton="0" quotePrefix="0" xfId="0"/>
    <xf numFmtId="43" fontId="94" fillId="3" borderId="2" pivotButton="0" quotePrefix="0" xfId="1"/>
    <xf numFmtId="2" fontId="94" fillId="3" borderId="2" pivotButton="0" quotePrefix="0" xfId="0"/>
    <xf numFmtId="0" fontId="118" fillId="70" borderId="51" applyAlignment="1" pivotButton="0" quotePrefix="0" xfId="0">
      <alignment horizontal="center" vertical="center"/>
    </xf>
    <xf numFmtId="0" fontId="118" fillId="70" borderId="51" applyAlignment="1" pivotButton="0" quotePrefix="0" xfId="0">
      <alignment horizontal="center" vertical="center" wrapText="1"/>
    </xf>
    <xf numFmtId="0" fontId="134" fillId="68" borderId="1" applyAlignment="1" pivotButton="0" quotePrefix="0" xfId="0">
      <alignment horizontal="center" vertical="center" wrapText="1"/>
    </xf>
    <xf numFmtId="0" fontId="81" fillId="84" borderId="2" applyAlignment="1" pivotButton="0" quotePrefix="0" xfId="0">
      <alignment vertical="center" wrapText="1"/>
    </xf>
    <xf numFmtId="0" fontId="135" fillId="0" borderId="2" applyAlignment="1" pivotButton="0" quotePrefix="0" xfId="0">
      <alignment vertical="center" wrapText="1"/>
    </xf>
    <xf numFmtId="168" fontId="135" fillId="0" borderId="2" applyAlignment="1" pivotButton="0" quotePrefix="0" xfId="0">
      <alignment vertical="center" wrapText="1"/>
    </xf>
    <xf numFmtId="43" fontId="94" fillId="0" borderId="2" applyAlignment="1" pivotButton="0" quotePrefix="0" xfId="1">
      <alignment horizontal="center"/>
    </xf>
    <xf numFmtId="0" fontId="118" fillId="15" borderId="2" pivotButton="0" quotePrefix="0" xfId="0"/>
    <xf numFmtId="43" fontId="136" fillId="15" borderId="2" pivotButton="0" quotePrefix="0" xfId="1"/>
    <xf numFmtId="43" fontId="61" fillId="59" borderId="2" applyAlignment="1" pivotButton="0" quotePrefix="0" xfId="1">
      <alignment horizontal="center" vertical="center"/>
    </xf>
    <xf numFmtId="165" fontId="61" fillId="59" borderId="2" applyAlignment="1" pivotButton="0" quotePrefix="0" xfId="1">
      <alignment horizontal="center" vertical="center"/>
    </xf>
    <xf numFmtId="43" fontId="61" fillId="92" borderId="2" applyAlignment="1" pivotButton="0" quotePrefix="0" xfId="1">
      <alignment horizontal="center"/>
    </xf>
    <xf numFmtId="43" fontId="8" fillId="91" borderId="2" applyAlignment="1" pivotButton="0" quotePrefix="0" xfId="1">
      <alignment horizontal="center" vertical="center"/>
    </xf>
    <xf numFmtId="43" fontId="61" fillId="93" borderId="2" applyAlignment="1" pivotButton="0" quotePrefix="0" xfId="1">
      <alignment horizontal="center" vertical="center"/>
    </xf>
    <xf numFmtId="43" fontId="61" fillId="93" borderId="2" applyAlignment="1" pivotButton="0" quotePrefix="0" xfId="1">
      <alignment horizontal="center"/>
    </xf>
    <xf numFmtId="43" fontId="96" fillId="91" borderId="0" applyAlignment="1" pivotButton="0" quotePrefix="0" xfId="1">
      <alignment horizontal="right"/>
    </xf>
    <xf numFmtId="43" fontId="96" fillId="92" borderId="0" applyAlignment="1" pivotButton="0" quotePrefix="0" xfId="1">
      <alignment horizontal="right"/>
    </xf>
    <xf numFmtId="43" fontId="61" fillId="91" borderId="0" applyAlignment="1" pivotButton="0" quotePrefix="0" xfId="1">
      <alignment horizontal="right"/>
    </xf>
    <xf numFmtId="43" fontId="61" fillId="92" borderId="0" applyAlignment="1" pivotButton="0" quotePrefix="0" xfId="1">
      <alignment horizontal="right"/>
    </xf>
    <xf numFmtId="43" fontId="61" fillId="0" borderId="0" applyAlignment="1" pivotButton="0" quotePrefix="0" xfId="1">
      <alignment horizontal="right"/>
    </xf>
    <xf numFmtId="43" fontId="61" fillId="59" borderId="0" applyAlignment="1" pivotButton="0" quotePrefix="0" xfId="1">
      <alignment horizontal="right"/>
    </xf>
    <xf numFmtId="43" fontId="61" fillId="93" borderId="0" applyAlignment="1" pivotButton="0" quotePrefix="0" xfId="1">
      <alignment horizontal="right"/>
    </xf>
    <xf numFmtId="43" fontId="96" fillId="93" borderId="0" applyAlignment="1" pivotButton="0" quotePrefix="0" xfId="1">
      <alignment horizontal="right"/>
    </xf>
    <xf numFmtId="43" fontId="61" fillId="94" borderId="0" applyAlignment="1" pivotButton="0" quotePrefix="0" xfId="1">
      <alignment horizontal="right"/>
    </xf>
    <xf numFmtId="43" fontId="98" fillId="95" borderId="2" applyAlignment="1" pivotButton="0" quotePrefix="0" xfId="1">
      <alignment horizontal="center" vertical="center" wrapText="1"/>
    </xf>
    <xf numFmtId="43" fontId="96" fillId="91" borderId="0" applyAlignment="1" pivotButton="0" quotePrefix="0" xfId="1">
      <alignment horizontal="center"/>
    </xf>
    <xf numFmtId="43" fontId="96" fillId="92" borderId="0" applyAlignment="1" pivotButton="0" quotePrefix="0" xfId="1">
      <alignment horizontal="center"/>
    </xf>
    <xf numFmtId="43" fontId="61" fillId="92" borderId="0" applyAlignment="1" pivotButton="0" quotePrefix="0" xfId="1">
      <alignment horizontal="center" vertical="center"/>
    </xf>
    <xf numFmtId="43" fontId="61" fillId="91" borderId="0" applyAlignment="1" pivotButton="0" quotePrefix="0" xfId="1">
      <alignment horizontal="center" vertical="center"/>
    </xf>
    <xf numFmtId="43" fontId="61" fillId="91" borderId="0" applyAlignment="1" pivotButton="0" quotePrefix="0" xfId="1">
      <alignment horizontal="center"/>
    </xf>
    <xf numFmtId="43" fontId="61" fillId="92" borderId="0" applyAlignment="1" pivotButton="0" quotePrefix="0" xfId="1">
      <alignment horizontal="center"/>
    </xf>
    <xf numFmtId="43" fontId="61" fillId="0" borderId="0" applyAlignment="1" pivotButton="0" quotePrefix="0" xfId="1">
      <alignment horizontal="center" vertical="center"/>
    </xf>
    <xf numFmtId="43" fontId="61" fillId="59" borderId="0" applyAlignment="1" pivotButton="0" quotePrefix="0" xfId="1">
      <alignment horizontal="center" vertical="center"/>
    </xf>
    <xf numFmtId="43" fontId="61" fillId="93" borderId="0" applyAlignment="1" pivotButton="0" quotePrefix="0" xfId="1">
      <alignment horizontal="center" vertical="center"/>
    </xf>
    <xf numFmtId="43" fontId="61" fillId="93" borderId="0" applyAlignment="1" pivotButton="0" quotePrefix="0" xfId="1">
      <alignment horizontal="center"/>
    </xf>
    <xf numFmtId="11" fontId="61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5" fontId="111" fillId="0" borderId="2" applyAlignment="1" pivotButton="0" quotePrefix="0" xfId="1">
      <alignment horizontal="center" vertical="center" wrapText="1"/>
    </xf>
    <xf numFmtId="164" fontId="61" fillId="0" borderId="2" applyAlignment="1" pivotButton="0" quotePrefix="0" xfId="1">
      <alignment vertical="center"/>
    </xf>
    <xf numFmtId="0" fontId="118" fillId="3" borderId="2" pivotButton="0" quotePrefix="0" xfId="0"/>
    <xf numFmtId="170" fontId="118" fillId="3" borderId="2" pivotButton="0" quotePrefix="0" xfId="0"/>
    <xf numFmtId="0" fontId="61" fillId="13" borderId="3" applyAlignment="1" pivotButton="0" quotePrefix="0" xfId="161">
      <alignment horizontal="left" vertical="center"/>
    </xf>
    <xf numFmtId="0" fontId="61" fillId="13" borderId="4" applyAlignment="1" pivotButton="0" quotePrefix="0" xfId="161">
      <alignment horizontal="left" vertical="center"/>
    </xf>
    <xf numFmtId="0" fontId="61" fillId="13" borderId="5" applyAlignment="1" pivotButton="0" quotePrefix="0" xfId="161">
      <alignment horizontal="left" vertical="center"/>
    </xf>
    <xf numFmtId="0" fontId="5" fillId="8" borderId="6" applyAlignment="1" pivotButton="0" quotePrefix="0" xfId="161">
      <alignment horizontal="left" vertical="center"/>
    </xf>
    <xf numFmtId="0" fontId="5" fillId="8" borderId="10" applyAlignment="1" pivotButton="0" quotePrefix="0" xfId="161">
      <alignment horizontal="left" vertical="center"/>
    </xf>
    <xf numFmtId="0" fontId="5" fillId="8" borderId="11" applyAlignment="1" pivotButton="0" quotePrefix="0" xfId="161">
      <alignment horizontal="left" vertical="center"/>
    </xf>
    <xf numFmtId="0" fontId="5" fillId="8" borderId="35" applyAlignment="1" pivotButton="0" quotePrefix="0" xfId="161">
      <alignment horizontal="left" vertical="center"/>
    </xf>
    <xf numFmtId="0" fontId="5" fillId="8" borderId="23" applyAlignment="1" pivotButton="0" quotePrefix="0" xfId="161">
      <alignment horizontal="left" vertical="center"/>
    </xf>
    <xf numFmtId="0" fontId="5" fillId="8" borderId="13" applyAlignment="1" pivotButton="0" quotePrefix="0" xfId="161">
      <alignment horizontal="left" vertical="center"/>
    </xf>
    <xf numFmtId="0" fontId="61" fillId="13" borderId="3" applyAlignment="1" pivotButton="0" quotePrefix="0" xfId="161">
      <alignment horizontal="left"/>
    </xf>
    <xf numFmtId="0" fontId="61" fillId="13" borderId="4" applyAlignment="1" pivotButton="0" quotePrefix="0" xfId="161">
      <alignment horizontal="left"/>
    </xf>
    <xf numFmtId="0" fontId="61" fillId="13" borderId="5" applyAlignment="1" pivotButton="0" quotePrefix="0" xfId="161">
      <alignment horizontal="left"/>
    </xf>
    <xf numFmtId="0" fontId="6" fillId="13" borderId="3" applyAlignment="1" pivotButton="0" quotePrefix="0" xfId="161">
      <alignment horizontal="left" vertical="center"/>
    </xf>
    <xf numFmtId="0" fontId="6" fillId="13" borderId="4" applyAlignment="1" pivotButton="0" quotePrefix="0" xfId="161">
      <alignment horizontal="left" vertical="center"/>
    </xf>
    <xf numFmtId="0" fontId="6" fillId="13" borderId="5" applyAlignment="1" pivotButton="0" quotePrefix="0" xfId="161">
      <alignment horizontal="left" vertical="center"/>
    </xf>
    <xf numFmtId="0" fontId="83" fillId="13" borderId="3" applyAlignment="1" pivotButton="0" quotePrefix="0" xfId="161">
      <alignment horizontal="center" vertical="center"/>
    </xf>
    <xf numFmtId="0" fontId="83" fillId="13" borderId="4" applyAlignment="1" pivotButton="0" quotePrefix="0" xfId="161">
      <alignment horizontal="center" vertical="center"/>
    </xf>
    <xf numFmtId="0" fontId="83" fillId="13" borderId="5" applyAlignment="1" pivotButton="0" quotePrefix="0" xfId="161">
      <alignment horizontal="center" vertical="center"/>
    </xf>
    <xf numFmtId="0" fontId="5" fillId="8" borderId="3" applyAlignment="1" pivotButton="0" quotePrefix="0" xfId="161">
      <alignment horizontal="left" vertical="center"/>
    </xf>
    <xf numFmtId="0" fontId="5" fillId="8" borderId="5" applyAlignment="1" pivotButton="0" quotePrefix="0" xfId="161">
      <alignment horizontal="left" vertical="center"/>
    </xf>
    <xf numFmtId="0" fontId="8" fillId="0" borderId="1" applyAlignment="1" pivotButton="0" quotePrefix="0" xfId="161">
      <alignment horizontal="center" vertical="center"/>
    </xf>
    <xf numFmtId="0" fontId="8" fillId="0" borderId="7" applyAlignment="1" pivotButton="0" quotePrefix="0" xfId="161">
      <alignment horizontal="center" vertical="center"/>
    </xf>
    <xf numFmtId="0" fontId="8" fillId="0" borderId="8" applyAlignment="1" pivotButton="0" quotePrefix="0" xfId="161">
      <alignment horizontal="center" vertical="center"/>
    </xf>
    <xf numFmtId="0" fontId="92" fillId="0" borderId="6" applyAlignment="1" pivotButton="0" quotePrefix="0" xfId="161">
      <alignment horizontal="center" vertical="center"/>
    </xf>
    <xf numFmtId="0" fontId="92" fillId="0" borderId="9" applyAlignment="1" pivotButton="0" quotePrefix="0" xfId="161">
      <alignment horizontal="center" vertical="center"/>
    </xf>
    <xf numFmtId="0" fontId="92" fillId="0" borderId="10" applyAlignment="1" pivotButton="0" quotePrefix="0" xfId="161">
      <alignment horizontal="center" vertical="center"/>
    </xf>
    <xf numFmtId="0" fontId="92" fillId="0" borderId="23" applyAlignment="1" pivotButton="0" quotePrefix="0" xfId="161">
      <alignment horizontal="center" vertical="center"/>
    </xf>
    <xf numFmtId="0" fontId="92" fillId="0" borderId="12" applyAlignment="1" pivotButton="0" quotePrefix="0" xfId="161">
      <alignment horizontal="center" vertical="center"/>
    </xf>
    <xf numFmtId="0" fontId="92" fillId="0" borderId="13" applyAlignment="1" pivotButton="0" quotePrefix="0" xfId="161">
      <alignment horizontal="center" vertical="center"/>
    </xf>
    <xf numFmtId="0" fontId="88" fillId="0" borderId="3" applyAlignment="1" pivotButton="0" quotePrefix="0" xfId="173">
      <alignment horizontal="left" vertical="center"/>
    </xf>
    <xf numFmtId="0" fontId="88" fillId="0" borderId="4" applyAlignment="1" pivotButton="0" quotePrefix="0" xfId="173">
      <alignment horizontal="left" vertical="center"/>
    </xf>
    <xf numFmtId="0" fontId="7" fillId="0" borderId="3" applyAlignment="1" pivotButton="0" quotePrefix="0" xfId="161">
      <alignment horizontal="center" vertical="center"/>
    </xf>
    <xf numFmtId="0" fontId="7" fillId="0" borderId="5" applyAlignment="1" pivotButton="0" quotePrefix="0" xfId="161">
      <alignment horizontal="center" vertical="center"/>
    </xf>
    <xf numFmtId="15" fontId="61" fillId="13" borderId="4" applyAlignment="1" pivotButton="0" quotePrefix="0" xfId="161">
      <alignment horizontal="left" vertical="center"/>
    </xf>
    <xf numFmtId="0" fontId="58" fillId="13" borderId="5" applyAlignment="1" pivotButton="0" quotePrefix="0" xfId="161">
      <alignment horizontal="left" vertical="center"/>
    </xf>
    <xf numFmtId="0" fontId="10" fillId="8" borderId="4" applyAlignment="1" pivotButton="0" quotePrefix="0" xfId="161">
      <alignment horizontal="left" vertical="center"/>
    </xf>
    <xf numFmtId="0" fontId="8" fillId="0" borderId="6" applyAlignment="1" pivotButton="0" quotePrefix="0" xfId="161">
      <alignment horizontal="center" vertical="center" wrapText="1"/>
    </xf>
    <xf numFmtId="0" fontId="8" fillId="0" borderId="10" applyAlignment="1" pivotButton="0" quotePrefix="0" xfId="161">
      <alignment horizontal="center" vertical="center" wrapText="1"/>
    </xf>
    <xf numFmtId="0" fontId="8" fillId="0" borderId="23" applyAlignment="1" pivotButton="0" quotePrefix="0" xfId="161">
      <alignment horizontal="center" vertical="center" wrapText="1"/>
    </xf>
    <xf numFmtId="0" fontId="8" fillId="0" borderId="13" applyAlignment="1" pivotButton="0" quotePrefix="0" xfId="161">
      <alignment horizontal="center" vertical="center" wrapText="1"/>
    </xf>
    <xf numFmtId="0" fontId="5" fillId="8" borderId="2" applyAlignment="1" pivotButton="0" quotePrefix="0" xfId="161">
      <alignment horizontal="left" vertical="center"/>
    </xf>
    <xf numFmtId="0" fontId="60" fillId="0" borderId="3" applyAlignment="1" pivotButton="0" quotePrefix="0" xfId="161">
      <alignment horizontal="center" vertical="center"/>
    </xf>
    <xf numFmtId="0" fontId="60" fillId="0" borderId="4" applyAlignment="1" pivotButton="0" quotePrefix="0" xfId="161">
      <alignment horizontal="center" vertical="center"/>
    </xf>
    <xf numFmtId="0" fontId="60" fillId="0" borderId="5" applyAlignment="1" pivotButton="0" quotePrefix="0" xfId="161">
      <alignment horizontal="center" vertical="center"/>
    </xf>
    <xf numFmtId="43" fontId="80" fillId="13" borderId="3" applyAlignment="1" pivotButton="0" quotePrefix="0" xfId="1">
      <alignment horizontal="center" vertical="center"/>
    </xf>
    <xf numFmtId="43" fontId="80" fillId="13" borderId="5" applyAlignment="1" pivotButton="0" quotePrefix="0" xfId="1">
      <alignment horizontal="center" vertical="center"/>
    </xf>
    <xf numFmtId="0" fontId="6" fillId="13" borderId="3" applyAlignment="1" pivotButton="0" quotePrefix="0" xfId="161">
      <alignment horizontal="left"/>
    </xf>
    <xf numFmtId="0" fontId="6" fillId="13" borderId="4" applyAlignment="1" pivotButton="0" quotePrefix="0" xfId="161">
      <alignment horizontal="left"/>
    </xf>
    <xf numFmtId="0" fontId="6" fillId="13" borderId="5" applyAlignment="1" pivotButton="0" quotePrefix="0" xfId="161">
      <alignment horizontal="left"/>
    </xf>
    <xf numFmtId="0" fontId="5" fillId="8" borderId="23" applyAlignment="1" pivotButton="0" quotePrefix="0" xfId="161">
      <alignment vertical="center"/>
    </xf>
    <xf numFmtId="0" fontId="5" fillId="8" borderId="12" applyAlignment="1" pivotButton="0" quotePrefix="0" xfId="161">
      <alignment vertical="center"/>
    </xf>
    <xf numFmtId="0" fontId="5" fillId="8" borderId="13" applyAlignment="1" pivotButton="0" quotePrefix="0" xfId="161">
      <alignment vertical="center"/>
    </xf>
    <xf numFmtId="0" fontId="61" fillId="13" borderId="3" pivotButton="0" quotePrefix="0" xfId="161"/>
    <xf numFmtId="0" fontId="61" fillId="13" borderId="4" pivotButton="0" quotePrefix="0" xfId="161"/>
    <xf numFmtId="0" fontId="61" fillId="13" borderId="5" pivotButton="0" quotePrefix="0" xfId="161"/>
    <xf numFmtId="0" fontId="61" fillId="13" borderId="2" pivotButton="0" quotePrefix="0" xfId="161"/>
    <xf numFmtId="0" fontId="58" fillId="13" borderId="2" pivotButton="0" quotePrefix="0" xfId="161"/>
    <xf numFmtId="0" fontId="8" fillId="5" borderId="7" pivotButton="0" quotePrefix="0" xfId="161"/>
    <xf numFmtId="0" fontId="8" fillId="5" borderId="8" pivotButton="0" quotePrefix="0" xfId="161"/>
    <xf numFmtId="0" fontId="79" fillId="5" borderId="11" pivotButton="0" quotePrefix="0" xfId="161"/>
    <xf numFmtId="0" fontId="79" fillId="5" borderId="0" pivotButton="0" quotePrefix="0" xfId="161"/>
    <xf numFmtId="0" fontId="79" fillId="5" borderId="35" pivotButton="0" quotePrefix="0" xfId="161"/>
    <xf numFmtId="0" fontId="8" fillId="5" borderId="7" applyAlignment="1" pivotButton="0" quotePrefix="0" xfId="161">
      <alignment horizontal="left" vertical="center"/>
    </xf>
    <xf numFmtId="0" fontId="29" fillId="5" borderId="11" pivotButton="0" quotePrefix="0" xfId="161"/>
    <xf numFmtId="0" fontId="29" fillId="5" borderId="7" pivotButton="0" quotePrefix="0" xfId="161"/>
    <xf numFmtId="0" fontId="5" fillId="8" borderId="4" applyAlignment="1" pivotButton="0" quotePrefix="0" xfId="161">
      <alignment horizontal="left" vertical="center"/>
    </xf>
    <xf numFmtId="0" fontId="8" fillId="0" borderId="11" applyAlignment="1" pivotButton="0" quotePrefix="0" xfId="161">
      <alignment horizontal="left" vertical="center"/>
    </xf>
    <xf numFmtId="0" fontId="29" fillId="0" borderId="0" pivotButton="0" quotePrefix="0" xfId="161"/>
    <xf numFmtId="0" fontId="29" fillId="0" borderId="35" pivotButton="0" quotePrefix="0" xfId="161"/>
    <xf numFmtId="0" fontId="29" fillId="0" borderId="11" pivotButton="0" quotePrefix="0" xfId="161"/>
    <xf numFmtId="0" fontId="29" fillId="0" borderId="23" pivotButton="0" quotePrefix="0" xfId="161"/>
    <xf numFmtId="0" fontId="29" fillId="0" borderId="12" pivotButton="0" quotePrefix="0" xfId="161"/>
    <xf numFmtId="0" fontId="29" fillId="0" borderId="13" pivotButton="0" quotePrefix="0" xfId="161"/>
    <xf numFmtId="0" fontId="8" fillId="0" borderId="0" applyAlignment="1" pivotButton="0" quotePrefix="0" xfId="161">
      <alignment horizontal="left" vertical="center"/>
    </xf>
    <xf numFmtId="0" fontId="8" fillId="0" borderId="35" applyAlignment="1" pivotButton="0" quotePrefix="0" xfId="161">
      <alignment horizontal="left" vertical="center"/>
    </xf>
    <xf numFmtId="0" fontId="8" fillId="0" borderId="23" applyAlignment="1" pivotButton="0" quotePrefix="0" xfId="161">
      <alignment horizontal="left" vertical="center"/>
    </xf>
    <xf numFmtId="0" fontId="8" fillId="0" borderId="12" applyAlignment="1" pivotButton="0" quotePrefix="0" xfId="161">
      <alignment horizontal="left" vertical="center"/>
    </xf>
    <xf numFmtId="0" fontId="8" fillId="0" borderId="13" applyAlignment="1" pivotButton="0" quotePrefix="0" xfId="161">
      <alignment horizontal="left" vertical="center"/>
    </xf>
    <xf numFmtId="0" fontId="60" fillId="0" borderId="6" applyAlignment="1" pivotButton="0" quotePrefix="0" xfId="161">
      <alignment horizontal="center" vertical="center"/>
    </xf>
    <xf numFmtId="0" fontId="29" fillId="0" borderId="9" applyAlignment="1" pivotButton="0" quotePrefix="0" xfId="161">
      <alignment horizontal="center"/>
    </xf>
    <xf numFmtId="0" fontId="29" fillId="0" borderId="10" applyAlignment="1" pivotButton="0" quotePrefix="0" xfId="161">
      <alignment horizontal="center"/>
    </xf>
    <xf numFmtId="0" fontId="29" fillId="0" borderId="11" applyAlignment="1" pivotButton="0" quotePrefix="0" xfId="161">
      <alignment horizontal="center"/>
    </xf>
    <xf numFmtId="0" fontId="29" fillId="0" borderId="0" applyAlignment="1" pivotButton="0" quotePrefix="0" xfId="161">
      <alignment horizontal="center"/>
    </xf>
    <xf numFmtId="0" fontId="29" fillId="0" borderId="35" applyAlignment="1" pivotButton="0" quotePrefix="0" xfId="161">
      <alignment horizontal="center"/>
    </xf>
    <xf numFmtId="0" fontId="29" fillId="0" borderId="23" applyAlignment="1" pivotButton="0" quotePrefix="0" xfId="161">
      <alignment horizontal="center"/>
    </xf>
    <xf numFmtId="0" fontId="29" fillId="0" borderId="12" applyAlignment="1" pivotButton="0" quotePrefix="0" xfId="161">
      <alignment horizontal="center"/>
    </xf>
    <xf numFmtId="0" fontId="29" fillId="0" borderId="13" applyAlignment="1" pivotButton="0" quotePrefix="0" xfId="161">
      <alignment horizontal="center"/>
    </xf>
    <xf numFmtId="0" fontId="77" fillId="4" borderId="6" applyAlignment="1" pivotButton="0" quotePrefix="0" xfId="161">
      <alignment horizontal="center" vertical="center"/>
    </xf>
    <xf numFmtId="0" fontId="78" fillId="4" borderId="9" applyAlignment="1" pivotButton="0" quotePrefix="0" xfId="161">
      <alignment horizontal="center" vertical="center"/>
    </xf>
    <xf numFmtId="0" fontId="78" fillId="4" borderId="10" applyAlignment="1" pivotButton="0" quotePrefix="0" xfId="161">
      <alignment horizontal="center" vertical="center"/>
    </xf>
    <xf numFmtId="0" fontId="8" fillId="0" borderId="1" applyAlignment="1" pivotButton="0" quotePrefix="0" xfId="169">
      <alignment horizontal="center" vertical="center"/>
    </xf>
    <xf numFmtId="0" fontId="8" fillId="0" borderId="7" applyAlignment="1" pivotButton="0" quotePrefix="0" xfId="169">
      <alignment horizontal="center" vertical="center"/>
    </xf>
    <xf numFmtId="0" fontId="8" fillId="0" borderId="8" applyAlignment="1" pivotButton="0" quotePrefix="0" xfId="169">
      <alignment horizontal="center" vertical="center"/>
    </xf>
    <xf numFmtId="0" fontId="8" fillId="0" borderId="6" pivotButton="0" quotePrefix="0" xfId="162"/>
    <xf numFmtId="0" fontId="8" fillId="0" borderId="9" pivotButton="0" quotePrefix="0" xfId="162"/>
    <xf numFmtId="0" fontId="8" fillId="0" borderId="10" pivotButton="0" quotePrefix="0" xfId="162"/>
    <xf numFmtId="0" fontId="8" fillId="0" borderId="11" pivotButton="0" quotePrefix="0" xfId="162"/>
    <xf numFmtId="0" fontId="8" fillId="0" borderId="0" pivotButton="0" quotePrefix="0" xfId="162"/>
    <xf numFmtId="0" fontId="8" fillId="0" borderId="35" pivotButton="0" quotePrefix="0" xfId="162"/>
    <xf numFmtId="0" fontId="8" fillId="0" borderId="23" pivotButton="0" quotePrefix="0" xfId="162"/>
    <xf numFmtId="0" fontId="8" fillId="0" borderId="12" pivotButton="0" quotePrefix="0" xfId="162"/>
    <xf numFmtId="0" fontId="8" fillId="0" borderId="13" pivotButton="0" quotePrefix="0" xfId="162"/>
    <xf numFmtId="0" fontId="92" fillId="0" borderId="6" applyAlignment="1" pivotButton="0" quotePrefix="0" xfId="169">
      <alignment horizontal="center" vertical="center"/>
    </xf>
    <xf numFmtId="0" fontId="92" fillId="0" borderId="9" applyAlignment="1" pivotButton="0" quotePrefix="0" xfId="169">
      <alignment horizontal="center" vertical="center"/>
    </xf>
    <xf numFmtId="0" fontId="92" fillId="0" borderId="10" applyAlignment="1" pivotButton="0" quotePrefix="0" xfId="169">
      <alignment horizontal="center" vertical="center"/>
    </xf>
    <xf numFmtId="0" fontId="92" fillId="0" borderId="23" applyAlignment="1" pivotButton="0" quotePrefix="0" xfId="169">
      <alignment horizontal="center" vertical="center"/>
    </xf>
    <xf numFmtId="0" fontId="92" fillId="0" borderId="12" applyAlignment="1" pivotButton="0" quotePrefix="0" xfId="169">
      <alignment horizontal="center" vertical="center"/>
    </xf>
    <xf numFmtId="0" fontId="92" fillId="0" borderId="13" applyAlignment="1" pivotButton="0" quotePrefix="0" xfId="169">
      <alignment horizontal="center" vertical="center"/>
    </xf>
    <xf numFmtId="0" fontId="88" fillId="0" borderId="5" applyAlignment="1" pivotButton="0" quotePrefix="0" xfId="173">
      <alignment horizontal="left" vertical="center"/>
    </xf>
    <xf numFmtId="0" fontId="88" fillId="0" borderId="3" applyAlignment="1" pivotButton="0" quotePrefix="0" xfId="169">
      <alignment horizontal="left" vertical="center"/>
    </xf>
    <xf numFmtId="0" fontId="88" fillId="0" borderId="4" applyAlignment="1" pivotButton="0" quotePrefix="0" xfId="169">
      <alignment horizontal="left" vertical="center"/>
    </xf>
    <xf numFmtId="0" fontId="91" fillId="0" borderId="6" applyAlignment="1" pivotButton="0" quotePrefix="0" xfId="173">
      <alignment horizontal="center" vertical="center"/>
    </xf>
    <xf numFmtId="0" fontId="91" fillId="0" borderId="9" applyAlignment="1" pivotButton="0" quotePrefix="0" xfId="173">
      <alignment horizontal="center" vertical="center"/>
    </xf>
    <xf numFmtId="0" fontId="91" fillId="0" borderId="10" applyAlignment="1" pivotButton="0" quotePrefix="0" xfId="173">
      <alignment horizontal="center" vertical="center"/>
    </xf>
    <xf numFmtId="0" fontId="91" fillId="0" borderId="23" applyAlignment="1" pivotButton="0" quotePrefix="0" xfId="173">
      <alignment horizontal="center" vertical="center"/>
    </xf>
    <xf numFmtId="0" fontId="91" fillId="0" borderId="12" applyAlignment="1" pivotButton="0" quotePrefix="0" xfId="173">
      <alignment horizontal="center" vertical="center"/>
    </xf>
    <xf numFmtId="0" fontId="91" fillId="0" borderId="13" applyAlignment="1" pivotButton="0" quotePrefix="0" xfId="173">
      <alignment horizontal="center" vertical="center"/>
    </xf>
    <xf numFmtId="0" fontId="88" fillId="0" borderId="3" applyAlignment="1" pivotButton="0" quotePrefix="0" xfId="173">
      <alignment horizontal="center" vertical="center"/>
    </xf>
    <xf numFmtId="0" fontId="88" fillId="0" borderId="4" applyAlignment="1" pivotButton="0" quotePrefix="0" xfId="173">
      <alignment horizontal="center" vertical="center"/>
    </xf>
    <xf numFmtId="0" fontId="88" fillId="0" borderId="5" applyAlignment="1" pivotButton="0" quotePrefix="0" xfId="173">
      <alignment horizontal="center" vertical="center"/>
    </xf>
    <xf numFmtId="0" fontId="8" fillId="0" borderId="1" applyAlignment="1" pivotButton="0" quotePrefix="0" xfId="173">
      <alignment horizontal="center" vertical="center"/>
    </xf>
    <xf numFmtId="0" fontId="8" fillId="0" borderId="7" applyAlignment="1" pivotButton="0" quotePrefix="0" xfId="173">
      <alignment horizontal="center" vertical="center"/>
    </xf>
    <xf numFmtId="0" fontId="8" fillId="0" borderId="8" applyAlignment="1" pivotButton="0" quotePrefix="0" xfId="173">
      <alignment horizontal="center" vertical="center"/>
    </xf>
    <xf numFmtId="0" fontId="6" fillId="15" borderId="3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/>
    </xf>
    <xf numFmtId="0" fontId="6" fillId="15" borderId="5" applyAlignment="1" pivotButton="0" quotePrefix="0" xfId="0">
      <alignment horizontal="center" vertical="center"/>
    </xf>
    <xf numFmtId="14" fontId="8" fillId="15" borderId="3" applyAlignment="1" pivotButton="0" quotePrefix="0" xfId="0">
      <alignment horizontal="center" vertical="center"/>
    </xf>
    <xf numFmtId="0" fontId="8" fillId="15" borderId="4" applyAlignment="1" pivotButton="0" quotePrefix="0" xfId="0">
      <alignment horizontal="center" vertical="center"/>
    </xf>
    <xf numFmtId="0" fontId="8" fillId="15" borderId="5" applyAlignment="1" pivotButton="0" quotePrefix="0" xfId="0">
      <alignment horizontal="center" vertical="center"/>
    </xf>
    <xf numFmtId="0" fontId="8" fillId="5" borderId="6" pivotButton="0" quotePrefix="0" xfId="0"/>
    <xf numFmtId="0" fontId="0" fillId="5" borderId="9" pivotButton="0" quotePrefix="0" xfId="0"/>
    <xf numFmtId="0" fontId="0" fillId="5" borderId="10" pivotButton="0" quotePrefix="0" xfId="0"/>
    <xf numFmtId="0" fontId="8" fillId="0" borderId="9" pivotButton="0" quotePrefix="0" xfId="0"/>
    <xf numFmtId="0" fontId="8" fillId="0" borderId="10" pivotButton="0" quotePrefix="0" xfId="0"/>
    <xf numFmtId="0" fontId="8" fillId="0" borderId="0" pivotButton="0" quotePrefix="0" xfId="0"/>
    <xf numFmtId="0" fontId="8" fillId="0" borderId="35" pivotButton="0" quotePrefix="0" xfId="0"/>
    <xf numFmtId="0" fontId="8" fillId="0" borderId="12" pivotButton="0" quotePrefix="0" xfId="0"/>
    <xf numFmtId="0" fontId="8" fillId="0" borderId="13" pivotButton="0" quotePrefix="0" xfId="0"/>
    <xf numFmtId="0" fontId="8" fillId="5" borderId="6" pivotButton="0" quotePrefix="0" xfId="173"/>
    <xf numFmtId="0" fontId="29" fillId="5" borderId="9" pivotButton="0" quotePrefix="0" xfId="173"/>
    <xf numFmtId="0" fontId="29" fillId="5" borderId="10" pivotButton="0" quotePrefix="0" xfId="173"/>
    <xf numFmtId="0" fontId="7" fillId="50" borderId="3" applyAlignment="1" pivotButton="0" quotePrefix="0" xfId="114">
      <alignment horizontal="left" vertical="center" wrapText="1"/>
    </xf>
    <xf numFmtId="0" fontId="7" fillId="50" borderId="5" applyAlignment="1" pivotButton="0" quotePrefix="0" xfId="114">
      <alignment horizontal="left" vertical="center" wrapText="1"/>
    </xf>
    <xf numFmtId="0" fontId="7" fillId="50" borderId="2" applyAlignment="1" pivotButton="0" quotePrefix="0" xfId="114">
      <alignment horizontal="left" vertical="center" wrapText="1"/>
    </xf>
    <xf numFmtId="0" fontId="6" fillId="48" borderId="66" applyAlignment="1" pivotButton="0" quotePrefix="0" xfId="114">
      <alignment horizontal="center" vertical="center"/>
    </xf>
    <xf numFmtId="0" fontId="6" fillId="48" borderId="67" applyAlignment="1" pivotButton="0" quotePrefix="0" xfId="114">
      <alignment horizontal="center" vertical="center"/>
    </xf>
    <xf numFmtId="0" fontId="6" fillId="48" borderId="23" applyAlignment="1" pivotButton="0" quotePrefix="0" xfId="114">
      <alignment horizontal="center" vertical="center"/>
    </xf>
    <xf numFmtId="0" fontId="6" fillId="48" borderId="13" applyAlignment="1" pivotButton="0" quotePrefix="0" xfId="114">
      <alignment horizontal="center" vertical="center"/>
    </xf>
    <xf numFmtId="0" fontId="6" fillId="80" borderId="3" applyAlignment="1" pivotButton="0" quotePrefix="0" xfId="114">
      <alignment horizontal="center"/>
    </xf>
    <xf numFmtId="0" fontId="6" fillId="80" borderId="4" applyAlignment="1" pivotButton="0" quotePrefix="0" xfId="114">
      <alignment horizontal="center"/>
    </xf>
    <xf numFmtId="0" fontId="6" fillId="80" borderId="5" applyAlignment="1" pivotButton="0" quotePrefix="0" xfId="114">
      <alignment horizontal="center"/>
    </xf>
    <xf numFmtId="0" fontId="6" fillId="80" borderId="1" applyAlignment="1" pivotButton="0" quotePrefix="0" xfId="114">
      <alignment horizontal="center" vertical="center" wrapText="1"/>
    </xf>
    <xf numFmtId="0" fontId="6" fillId="80" borderId="8" applyAlignment="1" pivotButton="0" quotePrefix="0" xfId="114">
      <alignment horizontal="center" vertical="center" wrapText="1"/>
    </xf>
    <xf numFmtId="0" fontId="6" fillId="12" borderId="66" applyAlignment="1" pivotButton="0" quotePrefix="0" xfId="114">
      <alignment horizontal="center" vertical="center"/>
    </xf>
    <xf numFmtId="0" fontId="6" fillId="12" borderId="67" applyAlignment="1" pivotButton="0" quotePrefix="0" xfId="114">
      <alignment horizontal="center" vertical="center"/>
    </xf>
    <xf numFmtId="0" fontId="6" fillId="12" borderId="23" applyAlignment="1" pivotButton="0" quotePrefix="0" xfId="114">
      <alignment horizontal="center" vertical="center"/>
    </xf>
    <xf numFmtId="0" fontId="6" fillId="12" borderId="13" applyAlignment="1" pivotButton="0" quotePrefix="0" xfId="114">
      <alignment horizontal="center" vertical="center"/>
    </xf>
    <xf numFmtId="0" fontId="8" fillId="86" borderId="2" applyAlignment="1" pivotButton="0" quotePrefix="0" xfId="0">
      <alignment horizontal="center" wrapText="1"/>
    </xf>
    <xf numFmtId="0" fontId="8" fillId="86" borderId="1" applyAlignment="1" pivotButton="0" quotePrefix="0" xfId="0">
      <alignment horizontal="center" wrapText="1"/>
    </xf>
    <xf numFmtId="0" fontId="96" fillId="50" borderId="2" applyAlignment="1" pivotButton="0" quotePrefix="0" xfId="0">
      <alignment horizontal="left" vertical="center" wrapText="1"/>
    </xf>
    <xf numFmtId="0" fontId="61" fillId="13" borderId="2" applyAlignment="1" pivotButton="0" quotePrefix="0" xfId="0">
      <alignment horizontal="left" vertical="center" wrapText="1"/>
    </xf>
    <xf numFmtId="0" fontId="92" fillId="0" borderId="2" applyAlignment="1" pivotButton="0" quotePrefix="0" xfId="173">
      <alignment horizontal="center" vertical="center"/>
    </xf>
    <xf numFmtId="0" fontId="8" fillId="0" borderId="9" applyAlignment="1" pivotButton="0" quotePrefix="0" xfId="161">
      <alignment horizontal="center" vertical="center" wrapText="1"/>
    </xf>
    <xf numFmtId="0" fontId="8" fillId="0" borderId="12" applyAlignment="1" pivotButton="0" quotePrefix="0" xfId="161">
      <alignment horizontal="center" vertical="center" wrapText="1"/>
    </xf>
    <xf numFmtId="0" fontId="88" fillId="0" borderId="2" applyAlignment="1" pivotButton="0" quotePrefix="0" xfId="173">
      <alignment horizontal="left" vertical="center"/>
    </xf>
    <xf numFmtId="0" fontId="88" fillId="0" borderId="2" applyAlignment="1" pivotButton="0" quotePrefix="0" xfId="173">
      <alignment horizontal="center" vertical="center"/>
    </xf>
    <xf numFmtId="0" fontId="8" fillId="5" borderId="3" applyAlignment="1" pivotButton="0" quotePrefix="0" xfId="173">
      <alignment horizontal="center"/>
    </xf>
    <xf numFmtId="0" fontId="8" fillId="5" borderId="4" applyAlignment="1" pivotButton="0" quotePrefix="0" xfId="173">
      <alignment horizontal="center"/>
    </xf>
    <xf numFmtId="0" fontId="8" fillId="5" borderId="5" applyAlignment="1" pivotButton="0" quotePrefix="0" xfId="173">
      <alignment horizontal="center"/>
    </xf>
    <xf numFmtId="0" fontId="8" fillId="49" borderId="9" applyAlignment="1" pivotButton="0" quotePrefix="0" xfId="173">
      <alignment horizontal="left"/>
    </xf>
    <xf numFmtId="0" fontId="8" fillId="49" borderId="10" applyAlignment="1" pivotButton="0" quotePrefix="0" xfId="173">
      <alignment horizontal="left"/>
    </xf>
    <xf numFmtId="0" fontId="8" fillId="0" borderId="6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6" fillId="48" borderId="2" applyAlignment="1" pivotButton="0" quotePrefix="0" xfId="0">
      <alignment horizontal="center"/>
    </xf>
    <xf numFmtId="0" fontId="8" fillId="50" borderId="2" applyAlignment="1" pivotButton="0" quotePrefix="0" xfId="0">
      <alignment horizontal="left" vertical="center" wrapText="1"/>
    </xf>
    <xf numFmtId="0" fontId="8" fillId="13" borderId="3" applyAlignment="1" pivotButton="0" quotePrefix="0" xfId="0">
      <alignment horizontal="left" vertical="center" wrapText="1"/>
    </xf>
    <xf numFmtId="0" fontId="8" fillId="13" borderId="4" applyAlignment="1" pivotButton="0" quotePrefix="0" xfId="0">
      <alignment horizontal="left" vertical="center" wrapText="1"/>
    </xf>
    <xf numFmtId="0" fontId="8" fillId="13" borderId="5" applyAlignment="1" pivotButton="0" quotePrefix="0" xfId="0">
      <alignment horizontal="left" vertical="center" wrapText="1"/>
    </xf>
    <xf numFmtId="43" fontId="15" fillId="12" borderId="9" applyAlignment="1" pivotButton="0" quotePrefix="0" xfId="1">
      <alignment horizontal="center" vertical="center"/>
    </xf>
    <xf numFmtId="43" fontId="15" fillId="12" borderId="10" applyAlignment="1" pivotButton="0" quotePrefix="0" xfId="1">
      <alignment horizontal="center" vertical="center"/>
    </xf>
    <xf numFmtId="43" fontId="15" fillId="12" borderId="0" applyAlignment="1" pivotButton="0" quotePrefix="0" xfId="1">
      <alignment horizontal="center" vertical="center"/>
    </xf>
    <xf numFmtId="43" fontId="15" fillId="12" borderId="35" applyAlignment="1" pivotButton="0" quotePrefix="0" xfId="1">
      <alignment horizontal="center" vertical="center"/>
    </xf>
    <xf numFmtId="43" fontId="15" fillId="12" borderId="12" applyAlignment="1" pivotButton="0" quotePrefix="0" xfId="1">
      <alignment horizontal="center" vertical="center"/>
    </xf>
    <xf numFmtId="43" fontId="15" fillId="12" borderId="13" applyAlignment="1" pivotButton="0" quotePrefix="0" xfId="1">
      <alignment horizontal="center" vertical="center"/>
    </xf>
    <xf numFmtId="0" fontId="15" fillId="14" borderId="3" pivotButton="0" quotePrefix="0" xfId="0"/>
    <xf numFmtId="0" fontId="15" fillId="14" borderId="4" pivotButton="0" quotePrefix="0" xfId="0"/>
    <xf numFmtId="0" fontId="15" fillId="14" borderId="5" pivotButton="0" quotePrefix="0" xfId="0"/>
    <xf numFmtId="0" fontId="7" fillId="0" borderId="1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7" fillId="0" borderId="8" applyAlignment="1" pivotButton="0" quotePrefix="0" xfId="0">
      <alignment horizontal="center" vertical="center" textRotation="90"/>
    </xf>
    <xf numFmtId="164" fontId="15" fillId="12" borderId="6" applyAlignment="1" pivotButton="0" quotePrefix="0" xfId="1">
      <alignment horizontal="center" vertical="center"/>
    </xf>
    <xf numFmtId="164" fontId="15" fillId="12" borderId="9" applyAlignment="1" pivotButton="0" quotePrefix="0" xfId="1">
      <alignment horizontal="center" vertical="center"/>
    </xf>
    <xf numFmtId="164" fontId="15" fillId="12" borderId="11" applyAlignment="1" pivotButton="0" quotePrefix="0" xfId="1">
      <alignment horizontal="center" vertical="center"/>
    </xf>
    <xf numFmtId="164" fontId="15" fillId="12" borderId="0" applyAlignment="1" pivotButton="0" quotePrefix="0" xfId="1">
      <alignment horizontal="center" vertical="center"/>
    </xf>
    <xf numFmtId="164" fontId="15" fillId="12" borderId="23" applyAlignment="1" pivotButton="0" quotePrefix="0" xfId="1">
      <alignment horizontal="center" vertical="center"/>
    </xf>
    <xf numFmtId="164" fontId="15" fillId="12" borderId="12" applyAlignment="1" pivotButton="0" quotePrefix="0" xfId="1">
      <alignment horizontal="center" vertical="center"/>
    </xf>
    <xf numFmtId="0" fontId="7" fillId="0" borderId="7" applyAlignment="1" pivotButton="0" quotePrefix="0" xfId="0">
      <alignment horizontal="center" vertical="center" textRotation="90" wrapText="1"/>
    </xf>
    <xf numFmtId="0" fontId="7" fillId="0" borderId="8" applyAlignment="1" pivotButton="0" quotePrefix="0" xfId="0">
      <alignment horizontal="center" vertical="center" textRotation="90" wrapText="1"/>
    </xf>
    <xf numFmtId="0" fontId="15" fillId="14" borderId="23" pivotButton="0" quotePrefix="0" xfId="0"/>
    <xf numFmtId="0" fontId="15" fillId="14" borderId="12" pivotButton="0" quotePrefix="0" xfId="0"/>
    <xf numFmtId="0" fontId="15" fillId="14" borderId="13" pivotButton="0" quotePrefix="0" xfId="0"/>
    <xf numFmtId="164" fontId="20" fillId="12" borderId="6" applyAlignment="1" pivotButton="0" quotePrefix="0" xfId="1">
      <alignment horizontal="center" vertical="center"/>
    </xf>
    <xf numFmtId="164" fontId="20" fillId="12" borderId="9" applyAlignment="1" pivotButton="0" quotePrefix="0" xfId="1">
      <alignment horizontal="center" vertical="center"/>
    </xf>
    <xf numFmtId="164" fontId="20" fillId="12" borderId="10" applyAlignment="1" pivotButton="0" quotePrefix="0" xfId="1">
      <alignment horizontal="center" vertical="center"/>
    </xf>
    <xf numFmtId="164" fontId="20" fillId="12" borderId="11" applyAlignment="1" pivotButton="0" quotePrefix="0" xfId="1">
      <alignment horizontal="center" vertical="center"/>
    </xf>
    <xf numFmtId="164" fontId="20" fillId="12" borderId="0" applyAlignment="1" pivotButton="0" quotePrefix="0" xfId="1">
      <alignment horizontal="center" vertical="center"/>
    </xf>
    <xf numFmtId="164" fontId="20" fillId="12" borderId="35" applyAlignment="1" pivotButton="0" quotePrefix="0" xfId="1">
      <alignment horizontal="center" vertical="center"/>
    </xf>
    <xf numFmtId="164" fontId="20" fillId="12" borderId="23" applyAlignment="1" pivotButton="0" quotePrefix="0" xfId="1">
      <alignment horizontal="center" vertical="center"/>
    </xf>
    <xf numFmtId="164" fontId="20" fillId="12" borderId="12" applyAlignment="1" pivotButton="0" quotePrefix="0" xfId="1">
      <alignment horizontal="center" vertical="center"/>
    </xf>
    <xf numFmtId="164" fontId="20" fillId="12" borderId="13" applyAlignment="1" pivotButton="0" quotePrefix="0" xfId="1">
      <alignment horizontal="center" vertical="center"/>
    </xf>
    <xf numFmtId="0" fontId="15" fillId="14" borderId="6" pivotButton="0" quotePrefix="0" xfId="0"/>
    <xf numFmtId="0" fontId="15" fillId="14" borderId="9" pivotButton="0" quotePrefix="0" xfId="0"/>
    <xf numFmtId="0" fontId="15" fillId="14" borderId="10" pivotButton="0" quotePrefix="0" xfId="0"/>
    <xf numFmtId="0" fontId="11" fillId="41" borderId="1" applyAlignment="1" pivotButton="0" quotePrefix="0" xfId="163">
      <alignment horizontal="center" vertical="center"/>
    </xf>
    <xf numFmtId="0" fontId="10" fillId="41" borderId="7" applyAlignment="1" pivotButton="0" quotePrefix="0" xfId="163">
      <alignment horizontal="center" vertical="center"/>
    </xf>
    <xf numFmtId="0" fontId="17" fillId="41" borderId="1" applyAlignment="1" pivotButton="0" quotePrefix="0" xfId="163">
      <alignment horizontal="center" vertical="center" textRotation="90"/>
    </xf>
    <xf numFmtId="0" fontId="17" fillId="41" borderId="7" applyAlignment="1" pivotButton="0" quotePrefix="0" xfId="163">
      <alignment horizontal="center" vertical="center" textRotation="90"/>
    </xf>
    <xf numFmtId="0" fontId="17" fillId="41" borderId="8" applyAlignment="1" pivotButton="0" quotePrefix="0" xfId="163">
      <alignment horizontal="center" vertical="center" textRotation="90"/>
    </xf>
    <xf numFmtId="0" fontId="17" fillId="41" borderId="6" applyAlignment="1" pivotButton="0" quotePrefix="0" xfId="163">
      <alignment horizontal="center" vertical="center" textRotation="90"/>
    </xf>
    <xf numFmtId="0" fontId="17" fillId="41" borderId="23" applyAlignment="1" pivotButton="0" quotePrefix="0" xfId="163">
      <alignment horizontal="center" vertical="center" textRotation="90"/>
    </xf>
    <xf numFmtId="0" fontId="11" fillId="41" borderId="3" applyAlignment="1" pivotButton="0" quotePrefix="0" xfId="163">
      <alignment horizontal="center"/>
    </xf>
    <xf numFmtId="0" fontId="11" fillId="41" borderId="4" applyAlignment="1" pivotButton="0" quotePrefix="0" xfId="163">
      <alignment horizontal="center"/>
    </xf>
    <xf numFmtId="0" fontId="17" fillId="41" borderId="10" applyAlignment="1" pivotButton="0" quotePrefix="0" xfId="163">
      <alignment horizontal="center" vertical="center" textRotation="90"/>
    </xf>
    <xf numFmtId="0" fontId="17" fillId="41" borderId="13" applyAlignment="1" pivotButton="0" quotePrefix="0" xfId="163">
      <alignment horizontal="center" vertical="center" textRotation="90"/>
    </xf>
    <xf numFmtId="0" fontId="11" fillId="41" borderId="5" applyAlignment="1" pivotButton="0" quotePrefix="0" xfId="163">
      <alignment horizontal="center"/>
    </xf>
    <xf numFmtId="0" fontId="11" fillId="41" borderId="2" applyAlignment="1" pivotButton="0" quotePrefix="0" xfId="163">
      <alignment horizontal="center"/>
    </xf>
    <xf numFmtId="0" fontId="8" fillId="0" borderId="1" applyAlignment="1" pivotButton="0" quotePrefix="0" xfId="174">
      <alignment horizontal="center" vertical="center"/>
    </xf>
    <xf numFmtId="0" fontId="8" fillId="0" borderId="7" applyAlignment="1" pivotButton="0" quotePrefix="0" xfId="174">
      <alignment horizontal="center" vertical="center"/>
    </xf>
    <xf numFmtId="0" fontId="8" fillId="0" borderId="8" applyAlignment="1" pivotButton="0" quotePrefix="0" xfId="174">
      <alignment horizontal="center" vertical="center"/>
    </xf>
    <xf numFmtId="0" fontId="8" fillId="5" borderId="3" pivotButton="0" quotePrefix="0" xfId="0"/>
    <xf numFmtId="0" fontId="8" fillId="5" borderId="4" pivotButton="0" quotePrefix="0" xfId="0"/>
    <xf numFmtId="0" fontId="8" fillId="5" borderId="5" pivotButton="0" quotePrefix="0" xfId="0"/>
    <xf numFmtId="0" fontId="11" fillId="6" borderId="1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7" borderId="7" applyAlignment="1" pivotButton="0" quotePrefix="0" xfId="0">
      <alignment vertical="center"/>
    </xf>
    <xf numFmtId="0" fontId="10" fillId="7" borderId="8" applyAlignment="1" pivotButton="0" quotePrefix="0" xfId="0">
      <alignment vertical="center"/>
    </xf>
    <xf numFmtId="0" fontId="11" fillId="8" borderId="6" applyAlignment="1" pivotButton="0" quotePrefix="0" xfId="0">
      <alignment horizontal="center" vertical="center" wrapText="1"/>
    </xf>
    <xf numFmtId="0" fontId="11" fillId="8" borderId="14" applyAlignment="1" pivotButton="0" quotePrefix="0" xfId="0">
      <alignment horizontal="center" vertical="center" wrapText="1"/>
    </xf>
    <xf numFmtId="0" fontId="11" fillId="8" borderId="11" applyAlignment="1" pivotButton="0" quotePrefix="0" xfId="0">
      <alignment horizontal="center" vertical="center" wrapText="1"/>
    </xf>
    <xf numFmtId="0" fontId="11" fillId="8" borderId="17" applyAlignment="1" pivotButton="0" quotePrefix="0" xfId="0">
      <alignment horizontal="center" vertical="center" wrapText="1"/>
    </xf>
    <xf numFmtId="0" fontId="11" fillId="8" borderId="23" applyAlignment="1" pivotButton="0" quotePrefix="0" xfId="0">
      <alignment horizontal="center" vertical="center" wrapText="1"/>
    </xf>
    <xf numFmtId="0" fontId="11" fillId="8" borderId="24" applyAlignment="1" pivotButton="0" quotePrefix="0" xfId="0">
      <alignment horizontal="center" vertical="center" wrapText="1"/>
    </xf>
    <xf numFmtId="0" fontId="11" fillId="9" borderId="15" applyAlignment="1" pivotButton="0" quotePrefix="0" xfId="0">
      <alignment horizontal="center" vertical="center" wrapText="1"/>
    </xf>
    <xf numFmtId="0" fontId="11" fillId="9" borderId="9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center" vertical="center" wrapText="1"/>
    </xf>
    <xf numFmtId="0" fontId="11" fillId="9" borderId="18" applyAlignment="1" pivotButton="0" quotePrefix="0" xfId="0">
      <alignment horizontal="center" vertical="center" wrapText="1"/>
    </xf>
    <xf numFmtId="0" fontId="11" fillId="9" borderId="19" applyAlignment="1" pivotButton="0" quotePrefix="0" xfId="0">
      <alignment horizontal="center" vertical="center" wrapText="1"/>
    </xf>
    <xf numFmtId="0" fontId="11" fillId="9" borderId="20" applyAlignment="1" pivotButton="0" quotePrefix="0" xfId="0">
      <alignment horizontal="center" vertical="center" wrapText="1"/>
    </xf>
    <xf numFmtId="0" fontId="11" fillId="9" borderId="16" applyAlignment="1" pivotButton="0" quotePrefix="0" xfId="0">
      <alignment horizontal="center" vertical="center" wrapText="1"/>
    </xf>
    <xf numFmtId="0" fontId="11" fillId="9" borderId="21" applyAlignment="1" pivotButton="0" quotePrefix="0" xfId="0">
      <alignment horizontal="center" vertical="center" wrapText="1"/>
    </xf>
    <xf numFmtId="0" fontId="11" fillId="9" borderId="33" applyAlignment="1" pivotButton="0" quotePrefix="0" xfId="0">
      <alignment horizontal="center" vertical="center" wrapText="1"/>
    </xf>
    <xf numFmtId="0" fontId="11" fillId="9" borderId="25" applyAlignment="1" pivotButton="0" quotePrefix="0" xfId="0">
      <alignment horizontal="center" vertical="center" wrapText="1"/>
    </xf>
    <xf numFmtId="0" fontId="11" fillId="9" borderId="26" applyAlignment="1" pivotButton="0" quotePrefix="0" xfId="0">
      <alignment horizontal="center" vertical="center" wrapText="1"/>
    </xf>
    <xf numFmtId="0" fontId="11" fillId="9" borderId="27" applyAlignment="1" pivotButton="0" quotePrefix="0" xfId="0">
      <alignment horizontal="center" vertical="center" wrapText="1"/>
    </xf>
    <xf numFmtId="0" fontId="11" fillId="9" borderId="28" applyAlignment="1" pivotButton="0" quotePrefix="0" xfId="0">
      <alignment horizontal="center" vertical="center" wrapText="1"/>
    </xf>
    <xf numFmtId="0" fontId="11" fillId="9" borderId="32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/>
    </xf>
    <xf numFmtId="0" fontId="11" fillId="10" borderId="9" applyAlignment="1" pivotButton="0" quotePrefix="0" xfId="0">
      <alignment horizontal="center" vertical="center"/>
    </xf>
    <xf numFmtId="0" fontId="11" fillId="10" borderId="14" applyAlignment="1" pivotButton="0" quotePrefix="0" xfId="0">
      <alignment horizontal="center" vertical="center"/>
    </xf>
    <xf numFmtId="0" fontId="11" fillId="10" borderId="11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10" borderId="17" applyAlignment="1" pivotButton="0" quotePrefix="0" xfId="0">
      <alignment horizontal="center" vertical="center"/>
    </xf>
    <xf numFmtId="0" fontId="11" fillId="10" borderId="29" applyAlignment="1" pivotButton="0" quotePrefix="0" xfId="0">
      <alignment horizontal="center" vertical="center"/>
    </xf>
    <xf numFmtId="0" fontId="11" fillId="10" borderId="19" applyAlignment="1" pivotButton="0" quotePrefix="0" xfId="0">
      <alignment horizontal="center" vertical="center"/>
    </xf>
    <xf numFmtId="0" fontId="11" fillId="10" borderId="20" applyAlignment="1" pivotButton="0" quotePrefix="0" xfId="0">
      <alignment horizontal="center" vertical="center"/>
    </xf>
    <xf numFmtId="0" fontId="11" fillId="10" borderId="15" applyAlignment="1" pivotButton="0" quotePrefix="0" xfId="0">
      <alignment horizontal="center" vertical="center" wrapText="1"/>
    </xf>
    <xf numFmtId="0" fontId="11" fillId="10" borderId="22" applyAlignment="1" pivotButton="0" quotePrefix="0" xfId="0">
      <alignment horizontal="center" vertical="center" wrapText="1"/>
    </xf>
    <xf numFmtId="0" fontId="88" fillId="0" borderId="3" applyAlignment="1" pivotButton="0" quotePrefix="0" xfId="174">
      <alignment horizontal="left" vertical="center"/>
    </xf>
    <xf numFmtId="0" fontId="88" fillId="0" borderId="4" applyAlignment="1" pivotButton="0" quotePrefix="0" xfId="174">
      <alignment horizontal="left" vertical="center"/>
    </xf>
    <xf numFmtId="0" fontId="88" fillId="0" borderId="5" applyAlignment="1" pivotButton="0" quotePrefix="0" xfId="174">
      <alignment horizontal="left" vertical="center"/>
    </xf>
    <xf numFmtId="0" fontId="86" fillId="0" borderId="6" applyAlignment="1" pivotButton="0" quotePrefix="0" xfId="174">
      <alignment horizontal="center" vertical="center"/>
    </xf>
    <xf numFmtId="0" fontId="86" fillId="0" borderId="9" applyAlignment="1" pivotButton="0" quotePrefix="0" xfId="174">
      <alignment horizontal="center" vertical="center"/>
    </xf>
    <xf numFmtId="0" fontId="86" fillId="0" borderId="10" applyAlignment="1" pivotButton="0" quotePrefix="0" xfId="174">
      <alignment horizontal="center" vertical="center"/>
    </xf>
    <xf numFmtId="0" fontId="86" fillId="0" borderId="23" applyAlignment="1" pivotButton="0" quotePrefix="0" xfId="174">
      <alignment horizontal="center" vertical="center"/>
    </xf>
    <xf numFmtId="0" fontId="86" fillId="0" borderId="12" applyAlignment="1" pivotButton="0" quotePrefix="0" xfId="174">
      <alignment horizontal="center" vertical="center"/>
    </xf>
    <xf numFmtId="0" fontId="86" fillId="0" borderId="13" applyAlignment="1" pivotButton="0" quotePrefix="0" xfId="174">
      <alignment horizontal="center" vertical="center"/>
    </xf>
    <xf numFmtId="0" fontId="8" fillId="0" borderId="6" applyAlignment="1" pivotButton="0" quotePrefix="0" xfId="174">
      <alignment horizontal="center" vertical="center" wrapText="1"/>
    </xf>
    <xf numFmtId="0" fontId="8" fillId="0" borderId="9" applyAlignment="1" pivotButton="0" quotePrefix="0" xfId="174">
      <alignment horizontal="center" vertical="center" wrapText="1"/>
    </xf>
    <xf numFmtId="0" fontId="8" fillId="0" borderId="10" applyAlignment="1" pivotButton="0" quotePrefix="0" xfId="174">
      <alignment horizontal="center" vertical="center" wrapText="1"/>
    </xf>
    <xf numFmtId="0" fontId="8" fillId="0" borderId="23" applyAlignment="1" pivotButton="0" quotePrefix="0" xfId="174">
      <alignment horizontal="center" vertical="center" wrapText="1"/>
    </xf>
    <xf numFmtId="0" fontId="8" fillId="0" borderId="12" applyAlignment="1" pivotButton="0" quotePrefix="0" xfId="174">
      <alignment horizontal="center" vertical="center" wrapText="1"/>
    </xf>
    <xf numFmtId="0" fontId="8" fillId="0" borderId="13" applyAlignment="1" pivotButton="0" quotePrefix="0" xfId="174">
      <alignment horizontal="center" vertical="center" wrapText="1"/>
    </xf>
    <xf numFmtId="0" fontId="88" fillId="45" borderId="3" applyAlignment="1" pivotButton="0" quotePrefix="0" xfId="174">
      <alignment horizontal="center" vertical="center"/>
    </xf>
    <xf numFmtId="0" fontId="88" fillId="45" borderId="4" applyAlignment="1" pivotButton="0" quotePrefix="0" xfId="174">
      <alignment horizontal="center" vertical="center"/>
    </xf>
    <xf numFmtId="0" fontId="88" fillId="45" borderId="5" applyAlignment="1" pivotButton="0" quotePrefix="0" xfId="174">
      <alignment horizontal="center" vertical="center"/>
    </xf>
    <xf numFmtId="0" fontId="95" fillId="0" borderId="3" applyAlignment="1" pivotButton="0" quotePrefix="0" xfId="174">
      <alignment horizontal="center" vertical="center"/>
    </xf>
    <xf numFmtId="0" fontId="95" fillId="0" borderId="4" applyAlignment="1" pivotButton="0" quotePrefix="0" xfId="174">
      <alignment horizontal="center" vertical="center"/>
    </xf>
    <xf numFmtId="0" fontId="95" fillId="0" borderId="5" applyAlignment="1" pivotButton="0" quotePrefix="0" xfId="174">
      <alignment horizontal="center" vertical="center"/>
    </xf>
    <xf numFmtId="0" fontId="7" fillId="45" borderId="3" applyAlignment="1" pivotButton="0" quotePrefix="0" xfId="174">
      <alignment horizontal="center" vertical="center"/>
    </xf>
    <xf numFmtId="0" fontId="7" fillId="45" borderId="4" applyAlignment="1" pivotButton="0" quotePrefix="0" xfId="174">
      <alignment horizontal="center" vertical="center"/>
    </xf>
    <xf numFmtId="0" fontId="7" fillId="45" borderId="5" applyAlignment="1" pivotButton="0" quotePrefix="0" xfId="174">
      <alignment horizontal="center" vertical="center"/>
    </xf>
    <xf numFmtId="0" fontId="4" fillId="11" borderId="3" applyAlignment="1" pivotButton="0" quotePrefix="0" xfId="0">
      <alignment horizontal="center"/>
    </xf>
    <xf numFmtId="0" fontId="4" fillId="11" borderId="5" applyAlignment="1" pivotButton="0" quotePrefix="0" xfId="0">
      <alignment horizontal="center"/>
    </xf>
    <xf numFmtId="2" fontId="11" fillId="10" borderId="1" applyAlignment="1" pivotButton="0" quotePrefix="0" xfId="0">
      <alignment horizontal="center" vertical="center" wrapText="1"/>
    </xf>
    <xf numFmtId="2" fontId="11" fillId="10" borderId="7" applyAlignment="1" pivotButton="0" quotePrefix="0" xfId="0">
      <alignment horizontal="center" vertical="center" wrapText="1"/>
    </xf>
    <xf numFmtId="2" fontId="11" fillId="10" borderId="8" applyAlignment="1" pivotButton="0" quotePrefix="0" xfId="0">
      <alignment horizontal="center" vertical="center" wrapText="1"/>
    </xf>
    <xf numFmtId="43" fontId="7" fillId="0" borderId="3" applyAlignment="1" pivotButton="0" quotePrefix="0" xfId="31">
      <alignment horizontal="center" vertical="center"/>
    </xf>
    <xf numFmtId="43" fontId="7" fillId="0" borderId="4" applyAlignment="1" pivotButton="0" quotePrefix="0" xfId="31">
      <alignment horizontal="center" vertical="center"/>
    </xf>
    <xf numFmtId="43" fontId="7" fillId="0" borderId="5" applyAlignment="1" pivotButton="0" quotePrefix="0" xfId="31">
      <alignment horizontal="center" vertical="center"/>
    </xf>
    <xf numFmtId="0" fontId="89" fillId="0" borderId="3" applyAlignment="1" pivotButton="0" quotePrefix="0" xfId="174">
      <alignment horizontal="center" vertical="center"/>
    </xf>
    <xf numFmtId="0" fontId="89" fillId="0" borderId="5" applyAlignment="1" pivotButton="0" quotePrefix="0" xfId="174">
      <alignment horizontal="center" vertical="center"/>
    </xf>
    <xf numFmtId="177" fontId="7" fillId="0" borderId="3" applyAlignment="1" pivotButton="0" quotePrefix="0" xfId="31">
      <alignment horizontal="center" vertical="center"/>
    </xf>
    <xf numFmtId="177" fontId="7" fillId="0" borderId="5" applyAlignment="1" pivotButton="0" quotePrefix="0" xfId="31">
      <alignment horizontal="center" vertical="center"/>
    </xf>
    <xf numFmtId="0" fontId="11" fillId="10" borderId="16" applyAlignment="1" pivotButton="0" quotePrefix="0" xfId="0">
      <alignment horizontal="center" vertical="center"/>
    </xf>
    <xf numFmtId="0" fontId="11" fillId="10" borderId="21" applyAlignment="1" pivotButton="0" quotePrefix="0" xfId="0">
      <alignment horizontal="center" vertical="center"/>
    </xf>
    <xf numFmtId="0" fontId="11" fillId="10" borderId="3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textRotation="90" wrapText="1"/>
    </xf>
    <xf numFmtId="0" fontId="5" fillId="8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87" fillId="0" borderId="6" applyAlignment="1" pivotButton="0" quotePrefix="0" xfId="174">
      <alignment horizontal="center" vertical="center"/>
    </xf>
    <xf numFmtId="0" fontId="87" fillId="0" borderId="9" applyAlignment="1" pivotButton="0" quotePrefix="0" xfId="174">
      <alignment horizontal="center" vertical="center"/>
    </xf>
    <xf numFmtId="0" fontId="87" fillId="0" borderId="10" applyAlignment="1" pivotButton="0" quotePrefix="0" xfId="174">
      <alignment horizontal="center" vertical="center"/>
    </xf>
    <xf numFmtId="0" fontId="87" fillId="0" borderId="23" applyAlignment="1" pivotButton="0" quotePrefix="0" xfId="174">
      <alignment horizontal="center" vertical="center"/>
    </xf>
    <xf numFmtId="0" fontId="87" fillId="0" borderId="12" applyAlignment="1" pivotButton="0" quotePrefix="0" xfId="174">
      <alignment horizontal="center" vertical="center"/>
    </xf>
    <xf numFmtId="0" fontId="87" fillId="0" borderId="13" applyAlignment="1" pivotButton="0" quotePrefix="0" xfId="174">
      <alignment horizontal="center" vertical="center"/>
    </xf>
    <xf numFmtId="0" fontId="6" fillId="15" borderId="23" applyAlignment="1" pivotButton="0" quotePrefix="0" xfId="0">
      <alignment horizontal="left" vertical="center"/>
    </xf>
    <xf numFmtId="0" fontId="6" fillId="15" borderId="12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14" fontId="61" fillId="15" borderId="23" applyAlignment="1" pivotButton="0" quotePrefix="0" xfId="0">
      <alignment vertical="center"/>
    </xf>
    <xf numFmtId="0" fontId="61" fillId="15" borderId="12" applyAlignment="1" pivotButton="0" quotePrefix="0" xfId="0">
      <alignment vertical="center"/>
    </xf>
    <xf numFmtId="0" fontId="61" fillId="15" borderId="13" applyAlignment="1" pivotButton="0" quotePrefix="0" xfId="0">
      <alignment vertical="center"/>
    </xf>
    <xf numFmtId="0" fontId="5" fillId="6" borderId="11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5" fillId="41" borderId="7" applyAlignment="1" pivotButton="0" quotePrefix="0" xfId="0">
      <alignment horizontal="center" vertical="center" wrapText="1"/>
    </xf>
    <xf numFmtId="0" fontId="5" fillId="41" borderId="8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43" fontId="64" fillId="0" borderId="1" applyAlignment="1" pivotButton="0" quotePrefix="0" xfId="1">
      <alignment horizontal="center" vertical="center"/>
    </xf>
    <xf numFmtId="43" fontId="64" fillId="0" borderId="8" applyAlignment="1" pivotButton="0" quotePrefix="0" xfId="1">
      <alignment horizontal="center" vertical="center"/>
    </xf>
    <xf numFmtId="0" fontId="8" fillId="48" borderId="3" applyAlignment="1" pivotButton="0" quotePrefix="0" xfId="0">
      <alignment horizontal="left"/>
    </xf>
    <xf numFmtId="0" fontId="8" fillId="48" borderId="5" applyAlignment="1" pivotButton="0" quotePrefix="0" xfId="0">
      <alignment horizontal="left"/>
    </xf>
    <xf numFmtId="0" fontId="8" fillId="45" borderId="0" applyAlignment="1" pivotButton="0" quotePrefix="0" xfId="0">
      <alignment horizontal="center"/>
    </xf>
    <xf numFmtId="0" fontId="94" fillId="0" borderId="7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35" applyAlignment="1" pivotButton="0" quotePrefix="0" xfId="0">
      <alignment horizontal="center"/>
    </xf>
    <xf numFmtId="0" fontId="81" fillId="0" borderId="1" applyAlignment="1" pivotButton="0" quotePrefix="0" xfId="175">
      <alignment horizontal="center" vertical="center"/>
    </xf>
    <xf numFmtId="0" fontId="81" fillId="0" borderId="7" applyAlignment="1" pivotButton="0" quotePrefix="0" xfId="175">
      <alignment horizontal="center" vertical="center"/>
    </xf>
    <xf numFmtId="0" fontId="81" fillId="0" borderId="8" applyAlignment="1" pivotButton="0" quotePrefix="0" xfId="175">
      <alignment horizontal="center" vertical="center"/>
    </xf>
    <xf numFmtId="0" fontId="88" fillId="0" borderId="2" applyAlignment="1" pivotButton="0" quotePrefix="0" xfId="175">
      <alignment horizontal="left" vertical="center"/>
    </xf>
    <xf numFmtId="0" fontId="81" fillId="0" borderId="2" applyAlignment="1" pivotButton="0" quotePrefix="0" xfId="175">
      <alignment horizontal="center" vertical="center" wrapText="1"/>
    </xf>
    <xf numFmtId="0" fontId="90" fillId="0" borderId="2" applyAlignment="1" pivotButton="0" quotePrefix="0" xfId="175">
      <alignment horizontal="center" vertical="center"/>
    </xf>
    <xf numFmtId="0" fontId="87" fillId="0" borderId="2" applyAlignment="1" pivotButton="0" quotePrefix="0" xfId="175">
      <alignment horizontal="center" vertical="center"/>
    </xf>
    <xf numFmtId="0" fontId="88" fillId="0" borderId="3" applyAlignment="1" pivotButton="0" quotePrefix="0" xfId="175">
      <alignment horizontal="center" vertical="center"/>
    </xf>
    <xf numFmtId="0" fontId="88" fillId="0" borderId="4" applyAlignment="1" pivotButton="0" quotePrefix="0" xfId="175">
      <alignment horizontal="center" vertical="center"/>
    </xf>
    <xf numFmtId="0" fontId="88" fillId="0" borderId="5" applyAlignment="1" pivotButton="0" quotePrefix="0" xfId="175">
      <alignment horizontal="center" vertical="center"/>
    </xf>
    <xf numFmtId="167" fontId="68" fillId="45" borderId="2" applyAlignment="1" pivotButton="0" quotePrefix="0" xfId="1">
      <alignment horizontal="center" vertical="top"/>
    </xf>
    <xf numFmtId="166" fontId="68" fillId="45" borderId="12" applyAlignment="1" pivotButton="0" quotePrefix="0" xfId="1">
      <alignment horizontal="center"/>
    </xf>
    <xf numFmtId="0" fontId="68" fillId="45" borderId="3" applyAlignment="1" pivotButton="0" quotePrefix="0" xfId="0">
      <alignment horizontal="center" vertical="top"/>
    </xf>
    <xf numFmtId="0" fontId="68" fillId="45" borderId="4" applyAlignment="1" pivotButton="0" quotePrefix="0" xfId="0">
      <alignment horizontal="center" vertical="top"/>
    </xf>
    <xf numFmtId="0" fontId="68" fillId="45" borderId="5" applyAlignment="1" pivotButton="0" quotePrefix="0" xfId="0">
      <alignment horizontal="center" vertical="top"/>
    </xf>
    <xf numFmtId="0" fontId="4" fillId="11" borderId="4" applyAlignment="1" pivotButton="0" quotePrefix="0" xfId="0">
      <alignment horizontal="center"/>
    </xf>
    <xf numFmtId="0" fontId="9" fillId="44" borderId="2" applyAlignment="1" pivotButton="0" quotePrefix="0" xfId="0">
      <alignment horizontal="center" vertical="center"/>
    </xf>
    <xf numFmtId="0" fontId="67" fillId="44" borderId="2" applyAlignment="1" pivotButton="0" quotePrefix="0" xfId="0">
      <alignment horizontal="center" vertical="center"/>
    </xf>
    <xf numFmtId="0" fontId="9" fillId="44" borderId="3" applyAlignment="1" pivotButton="0" quotePrefix="0" xfId="0">
      <alignment horizontal="center" vertical="center"/>
    </xf>
    <xf numFmtId="0" fontId="9" fillId="44" borderId="4" applyAlignment="1" pivotButton="0" quotePrefix="0" xfId="0">
      <alignment horizontal="center" vertical="center"/>
    </xf>
    <xf numFmtId="167" fontId="68" fillId="45" borderId="3" applyAlignment="1" pivotButton="0" quotePrefix="0" xfId="1">
      <alignment horizontal="center" vertical="top"/>
    </xf>
    <xf numFmtId="167" fontId="68" fillId="45" borderId="4" applyAlignment="1" pivotButton="0" quotePrefix="0" xfId="1">
      <alignment horizontal="center" vertical="top"/>
    </xf>
    <xf numFmtId="167" fontId="68" fillId="45" borderId="5" applyAlignment="1" pivotButton="0" quotePrefix="0" xfId="1">
      <alignment horizontal="center" vertical="top"/>
    </xf>
    <xf numFmtId="0" fontId="6" fillId="6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6" fillId="56" borderId="51" applyAlignment="1" pivotButton="0" quotePrefix="0" xfId="0">
      <alignment horizontal="center" vertical="center"/>
    </xf>
    <xf numFmtId="0" fontId="8" fillId="0" borderId="55" applyAlignment="1" pivotButton="0" quotePrefix="0" xfId="0">
      <alignment vertical="center"/>
    </xf>
    <xf numFmtId="0" fontId="6" fillId="56" borderId="55" applyAlignment="1" pivotButton="0" quotePrefix="0" xfId="0">
      <alignment horizontal="center" vertical="center"/>
    </xf>
    <xf numFmtId="0" fontId="6" fillId="56" borderId="52" applyAlignment="1" pivotButton="0" quotePrefix="0" xfId="0">
      <alignment horizontal="center" vertical="center"/>
    </xf>
    <xf numFmtId="0" fontId="8" fillId="0" borderId="53" applyAlignment="1" pivotButton="0" quotePrefix="0" xfId="0">
      <alignment vertical="center"/>
    </xf>
    <xf numFmtId="0" fontId="8" fillId="0" borderId="54" applyAlignment="1" pivotButton="0" quotePrefix="0" xfId="0">
      <alignment vertical="center"/>
    </xf>
    <xf numFmtId="0" fontId="61" fillId="61" borderId="2" applyAlignment="1" pivotButton="0" quotePrefix="0" xfId="0">
      <alignment horizontal="center" vertical="center"/>
    </xf>
    <xf numFmtId="0" fontId="61" fillId="0" borderId="2" applyAlignment="1" pivotButton="0" quotePrefix="0" xfId="0">
      <alignment horizontal="left" vertical="center"/>
    </xf>
    <xf numFmtId="0" fontId="61" fillId="0" borderId="3" applyAlignment="1" pivotButton="0" quotePrefix="0" xfId="0">
      <alignment horizontal="left" vertical="center"/>
    </xf>
    <xf numFmtId="0" fontId="61" fillId="0" borderId="5" applyAlignment="1" pivotButton="0" quotePrefix="0" xfId="0">
      <alignment horizontal="left" vertical="center"/>
    </xf>
    <xf numFmtId="0" fontId="6" fillId="60" borderId="59" applyAlignment="1" pivotButton="0" quotePrefix="0" xfId="0">
      <alignment horizontal="center" vertical="center"/>
    </xf>
    <xf numFmtId="0" fontId="6" fillId="60" borderId="69" applyAlignment="1" pivotButton="0" quotePrefix="0" xfId="0">
      <alignment horizontal="center" vertical="center"/>
    </xf>
    <xf numFmtId="0" fontId="6" fillId="60" borderId="57" applyAlignment="1" pivotButton="0" quotePrefix="0" xfId="0">
      <alignment horizontal="center" vertical="center"/>
    </xf>
    <xf numFmtId="0" fontId="6" fillId="60" borderId="51" applyAlignment="1" pivotButton="0" quotePrefix="0" xfId="0">
      <alignment horizontal="center" vertical="center"/>
    </xf>
    <xf numFmtId="0" fontId="6" fillId="60" borderId="58" applyAlignment="1" pivotButton="0" quotePrefix="0" xfId="0">
      <alignment horizontal="center" vertical="center"/>
    </xf>
    <xf numFmtId="0" fontId="61" fillId="61" borderId="1" applyAlignment="1" pivotButton="0" quotePrefix="0" xfId="0">
      <alignment horizontal="center" vertical="center"/>
    </xf>
    <xf numFmtId="0" fontId="61" fillId="61" borderId="8" applyAlignment="1" pivotButton="0" quotePrefix="0" xfId="0">
      <alignment horizontal="center" vertical="center"/>
    </xf>
    <xf numFmtId="0" fontId="61" fillId="61" borderId="3" applyAlignment="1" pivotButton="0" quotePrefix="0" xfId="0">
      <alignment horizontal="center" vertical="center"/>
    </xf>
    <xf numFmtId="0" fontId="61" fillId="61" borderId="5" applyAlignment="1" pivotButton="0" quotePrefix="0" xfId="0">
      <alignment horizontal="center" vertical="center"/>
    </xf>
    <xf numFmtId="0" fontId="61" fillId="0" borderId="3" applyAlignment="1" pivotButton="0" quotePrefix="0" xfId="0">
      <alignment vertical="center"/>
    </xf>
    <xf numFmtId="0" fontId="61" fillId="0" borderId="5" applyAlignment="1" pivotButton="0" quotePrefix="0" xfId="0">
      <alignment vertical="center"/>
    </xf>
    <xf numFmtId="0" fontId="61" fillId="61" borderId="66" applyAlignment="1" pivotButton="0" quotePrefix="0" xfId="0">
      <alignment horizontal="center" vertical="center"/>
    </xf>
    <xf numFmtId="0" fontId="61" fillId="61" borderId="67" applyAlignment="1" pivotButton="0" quotePrefix="0" xfId="0">
      <alignment horizontal="center" vertical="center"/>
    </xf>
    <xf numFmtId="0" fontId="61" fillId="61" borderId="23" applyAlignment="1" pivotButton="0" quotePrefix="0" xfId="0">
      <alignment horizontal="center" vertical="center"/>
    </xf>
    <xf numFmtId="0" fontId="61" fillId="61" borderId="13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6" fillId="61" borderId="8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6" fillId="65" borderId="53" applyAlignment="1" pivotButton="0" quotePrefix="1" xfId="0">
      <alignment horizontal="center" vertical="center" wrapText="1"/>
    </xf>
    <xf numFmtId="0" fontId="8" fillId="0" borderId="53" pivotButton="0" quotePrefix="0" xfId="0"/>
    <xf numFmtId="0" fontId="6" fillId="57" borderId="2" applyAlignment="1" pivotButton="0" quotePrefix="0" xfId="0">
      <alignment horizontal="center" vertical="center"/>
    </xf>
    <xf numFmtId="0" fontId="6" fillId="57" borderId="2" applyAlignment="1" pivotButton="0" quotePrefix="0" xfId="0">
      <alignment horizontal="center" vertical="center" wrapText="1"/>
    </xf>
    <xf numFmtId="0" fontId="61" fillId="5" borderId="3" applyAlignment="1" pivotButton="0" quotePrefix="0" xfId="0">
      <alignment horizontal="left" vertical="top" wrapText="1"/>
    </xf>
    <xf numFmtId="0" fontId="61" fillId="5" borderId="4" applyAlignment="1" pivotButton="0" quotePrefix="0" xfId="0">
      <alignment horizontal="left" vertical="top" wrapText="1"/>
    </xf>
    <xf numFmtId="0" fontId="61" fillId="5" borderId="5" applyAlignment="1" pivotButton="0" quotePrefix="0" xfId="0">
      <alignment horizontal="left" vertical="top" wrapText="1"/>
    </xf>
    <xf numFmtId="0" fontId="61" fillId="61" borderId="2" applyAlignment="1" pivotButton="0" quotePrefix="0" xfId="0">
      <alignment horizontal="center" vertical="center" wrapText="1"/>
    </xf>
    <xf numFmtId="0" fontId="7" fillId="0" borderId="55" applyAlignment="1" pivotButton="0" quotePrefix="0" xfId="0">
      <alignment vertical="center"/>
    </xf>
    <xf numFmtId="0" fontId="7" fillId="0" borderId="53" applyAlignment="1" pivotButton="0" quotePrefix="0" xfId="0">
      <alignment vertical="center"/>
    </xf>
    <xf numFmtId="0" fontId="8" fillId="0" borderId="54" pivotButton="0" quotePrefix="0" xfId="0"/>
    <xf numFmtId="0" fontId="8" fillId="0" borderId="55" pivotButton="0" quotePrefix="0" xfId="0"/>
    <xf numFmtId="0" fontId="6" fillId="56" borderId="51" applyAlignment="1" pivotButton="0" quotePrefix="0" xfId="0">
      <alignment horizontal="center" vertical="center" wrapText="1"/>
    </xf>
    <xf numFmtId="0" fontId="6" fillId="72" borderId="52" applyAlignment="1" pivotButton="0" quotePrefix="0" xfId="0">
      <alignment horizontal="center" vertical="center"/>
    </xf>
    <xf numFmtId="0" fontId="8" fillId="73" borderId="53" pivotButton="0" quotePrefix="0" xfId="0"/>
    <xf numFmtId="0" fontId="8" fillId="73" borderId="54" pivotButton="0" quotePrefix="0" xfId="0"/>
    <xf numFmtId="0" fontId="6" fillId="71" borderId="51" applyAlignment="1" pivotButton="0" quotePrefix="0" xfId="0">
      <alignment horizontal="center" vertical="center"/>
    </xf>
    <xf numFmtId="0" fontId="8" fillId="73" borderId="55" pivotButton="0" quotePrefix="0" xfId="0"/>
    <xf numFmtId="0" fontId="6" fillId="72" borderId="51" applyAlignment="1" pivotButton="0" quotePrefix="0" xfId="0">
      <alignment horizontal="center" vertical="center" wrapText="1"/>
    </xf>
    <xf numFmtId="0" fontId="6" fillId="72" borderId="55" applyAlignment="1" pivotButton="0" quotePrefix="0" xfId="0">
      <alignment horizontal="center" vertical="center" wrapText="1"/>
    </xf>
    <xf numFmtId="0" fontId="6" fillId="72" borderId="51" applyAlignment="1" pivotButton="0" quotePrefix="0" xfId="0">
      <alignment horizontal="center" vertical="center"/>
    </xf>
    <xf numFmtId="0" fontId="6" fillId="72" borderId="55" applyAlignment="1" pivotButton="0" quotePrefix="0" xfId="0">
      <alignment horizontal="center" vertical="center"/>
    </xf>
    <xf numFmtId="0" fontId="61" fillId="61" borderId="5" applyAlignment="1" pivotButton="0" quotePrefix="0" xfId="0">
      <alignment horizontal="center" vertical="center" wrapText="1"/>
    </xf>
    <xf numFmtId="0" fontId="61" fillId="0" borderId="2" applyAlignment="1" pivotButton="0" quotePrefix="0" xfId="0">
      <alignment horizontal="left" vertical="top" wrapText="1"/>
    </xf>
    <xf numFmtId="0" fontId="61" fillId="61" borderId="1" applyAlignment="1" pivotButton="0" quotePrefix="0" xfId="0">
      <alignment horizontal="center" vertical="center" wrapText="1"/>
    </xf>
    <xf numFmtId="0" fontId="61" fillId="61" borderId="8" applyAlignment="1" pivotButton="0" quotePrefix="0" xfId="0">
      <alignment horizontal="center" vertical="center" wrapText="1"/>
    </xf>
    <xf numFmtId="0" fontId="61" fillId="61" borderId="3" applyAlignment="1" pivotButton="0" quotePrefix="0" xfId="0">
      <alignment horizontal="center" vertical="center" wrapText="1"/>
    </xf>
    <xf numFmtId="0" fontId="61" fillId="61" borderId="4" applyAlignment="1" pivotButton="0" quotePrefix="0" xfId="0">
      <alignment horizontal="center" vertical="center" wrapText="1"/>
    </xf>
    <xf numFmtId="0" fontId="61" fillId="45" borderId="1" applyAlignment="1" pivotButton="0" quotePrefix="0" xfId="0">
      <alignment horizontal="center" vertical="center"/>
    </xf>
    <xf numFmtId="0" fontId="61" fillId="45" borderId="8" applyAlignment="1" pivotButton="0" quotePrefix="0" xfId="0">
      <alignment horizontal="center" vertical="center"/>
    </xf>
    <xf numFmtId="43" fontId="6" fillId="45" borderId="1" applyAlignment="1" pivotButton="0" quotePrefix="0" xfId="1">
      <alignment horizontal="center" vertical="center"/>
    </xf>
    <xf numFmtId="43" fontId="6" fillId="45" borderId="8" applyAlignment="1" pivotButton="0" quotePrefix="0" xfId="1">
      <alignment horizontal="center" vertical="center"/>
    </xf>
    <xf numFmtId="43" fontId="61" fillId="45" borderId="1" applyAlignment="1" pivotButton="0" quotePrefix="0" xfId="1">
      <alignment horizontal="center" vertical="center"/>
    </xf>
    <xf numFmtId="43" fontId="61" fillId="45" borderId="8" applyAlignment="1" pivotButton="0" quotePrefix="0" xfId="1">
      <alignment horizontal="center" vertical="center"/>
    </xf>
    <xf numFmtId="43" fontId="61" fillId="0" borderId="1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43" fontId="61" fillId="45" borderId="2" applyAlignment="1" pivotButton="0" quotePrefix="0" xfId="1">
      <alignment horizontal="right" vertical="center"/>
    </xf>
    <xf numFmtId="0" fontId="61" fillId="61" borderId="6" applyAlignment="1" pivotButton="0" quotePrefix="0" xfId="0">
      <alignment horizontal="center" vertical="center" wrapText="1"/>
    </xf>
    <xf numFmtId="0" fontId="61" fillId="61" borderId="10" applyAlignment="1" pivotButton="0" quotePrefix="0" xfId="0">
      <alignment horizontal="center" vertical="center" wrapText="1"/>
    </xf>
    <xf numFmtId="43" fontId="61" fillId="0" borderId="8" applyAlignment="1" pivotButton="0" quotePrefix="0" xfId="0">
      <alignment horizontal="center" vertical="center"/>
    </xf>
    <xf numFmtId="0" fontId="61" fillId="45" borderId="3" applyAlignment="1" pivotButton="0" quotePrefix="0" xfId="0">
      <alignment horizontal="left" vertical="center"/>
    </xf>
    <xf numFmtId="0" fontId="61" fillId="45" borderId="5" applyAlignment="1" pivotButton="0" quotePrefix="0" xfId="0">
      <alignment horizontal="left" vertical="center"/>
    </xf>
    <xf numFmtId="0" fontId="61" fillId="61" borderId="66" applyAlignment="1" pivotButton="0" quotePrefix="0" xfId="0">
      <alignment horizontal="center" vertical="center" wrapText="1"/>
    </xf>
    <xf numFmtId="0" fontId="61" fillId="61" borderId="67" applyAlignment="1" pivotButton="0" quotePrefix="0" xfId="0">
      <alignment horizontal="center" vertical="center" wrapText="1"/>
    </xf>
    <xf numFmtId="0" fontId="61" fillId="61" borderId="23" applyAlignment="1" pivotButton="0" quotePrefix="0" xfId="0">
      <alignment horizontal="center" vertical="center" wrapText="1"/>
    </xf>
    <xf numFmtId="0" fontId="61" fillId="61" borderId="13" applyAlignment="1" pivotButton="0" quotePrefix="0" xfId="0">
      <alignment horizontal="center" vertical="center" wrapText="1"/>
    </xf>
    <xf numFmtId="0" fontId="61" fillId="45" borderId="3" applyAlignment="1" pivotButton="0" quotePrefix="0" xfId="0">
      <alignment horizontal="left" vertical="top"/>
    </xf>
    <xf numFmtId="0" fontId="61" fillId="45" borderId="5" applyAlignment="1" pivotButton="0" quotePrefix="0" xfId="0">
      <alignment horizontal="left" vertical="top"/>
    </xf>
    <xf numFmtId="0" fontId="106" fillId="56" borderId="51" applyAlignment="1" pivotButton="0" quotePrefix="0" xfId="0">
      <alignment horizontal="center" vertical="center" wrapText="1"/>
    </xf>
    <xf numFmtId="0" fontId="15" fillId="0" borderId="55" applyAlignment="1" pivotButton="0" quotePrefix="0" xfId="0">
      <alignment vertical="center"/>
    </xf>
    <xf numFmtId="0" fontId="111" fillId="56" borderId="51" applyAlignment="1" pivotButton="0" quotePrefix="0" xfId="0">
      <alignment horizontal="center" vertical="center" wrapText="1"/>
    </xf>
    <xf numFmtId="0" fontId="20" fillId="0" borderId="55" applyAlignment="1" pivotButton="0" quotePrefix="0" xfId="0">
      <alignment vertical="center"/>
    </xf>
    <xf numFmtId="0" fontId="61" fillId="61" borderId="7" applyAlignment="1" pivotButton="0" quotePrefix="0" xfId="0">
      <alignment horizontal="center" vertical="center" wrapText="1"/>
    </xf>
    <xf numFmtId="0" fontId="6" fillId="75" borderId="2" applyAlignment="1" pivotButton="0" quotePrefix="0" xfId="0">
      <alignment horizontal="center" vertical="center"/>
    </xf>
    <xf numFmtId="0" fontId="6" fillId="71" borderId="60" applyAlignment="1" pivotButton="0" quotePrefix="0" xfId="0">
      <alignment horizontal="center" vertical="center"/>
    </xf>
    <xf numFmtId="0" fontId="6" fillId="71" borderId="55" applyAlignment="1" pivotButton="0" quotePrefix="0" xfId="0">
      <alignment horizontal="center" vertical="center"/>
    </xf>
    <xf numFmtId="0" fontId="6" fillId="72" borderId="60" applyAlignment="1" pivotButton="0" quotePrefix="0" xfId="0">
      <alignment horizontal="center" vertical="center"/>
    </xf>
    <xf numFmtId="0" fontId="6" fillId="72" borderId="63" applyAlignment="1" pivotButton="0" quotePrefix="0" xfId="0">
      <alignment horizontal="center" vertical="center"/>
    </xf>
    <xf numFmtId="0" fontId="6" fillId="72" borderId="64" applyAlignment="1" pivotButton="0" quotePrefix="0" xfId="0">
      <alignment horizontal="center" vertical="center"/>
    </xf>
    <xf numFmtId="0" fontId="6" fillId="72" borderId="65" applyAlignment="1" pivotButton="0" quotePrefix="0" xfId="0">
      <alignment horizontal="center" vertical="center"/>
    </xf>
    <xf numFmtId="0" fontId="6" fillId="56" borderId="2" applyAlignment="1" pivotButton="0" quotePrefix="0" xfId="0">
      <alignment horizontal="center" vertical="center"/>
    </xf>
    <xf numFmtId="0" fontId="8" fillId="0" borderId="2" pivotButton="0" quotePrefix="0" xfId="0"/>
    <xf numFmtId="0" fontId="6" fillId="61" borderId="7" applyAlignment="1" pivotButton="0" quotePrefix="0" xfId="0">
      <alignment horizontal="center" vertical="center"/>
    </xf>
    <xf numFmtId="0" fontId="7" fillId="61" borderId="1" applyAlignment="1" pivotButton="0" quotePrefix="0" xfId="0">
      <alignment horizontal="center" vertical="center"/>
    </xf>
    <xf numFmtId="0" fontId="7" fillId="61" borderId="7" applyAlignment="1" pivotButton="0" quotePrefix="0" xfId="0">
      <alignment horizontal="center" vertical="center"/>
    </xf>
    <xf numFmtId="0" fontId="7" fillId="61" borderId="8" applyAlignment="1" pivotButton="0" quotePrefix="0" xfId="0">
      <alignment horizontal="center" vertical="center"/>
    </xf>
    <xf numFmtId="0" fontId="6" fillId="61" borderId="7" applyAlignment="1" pivotButton="0" quotePrefix="0" xfId="0">
      <alignment horizontal="center" vertical="center" wrapText="1"/>
    </xf>
    <xf numFmtId="0" fontId="6" fillId="78" borderId="2" applyAlignment="1" pivotButton="0" quotePrefix="0" xfId="0">
      <alignment horizontal="center" vertical="center"/>
    </xf>
    <xf numFmtId="0" fontId="6" fillId="56" borderId="2" applyAlignment="1" pivotButton="0" quotePrefix="0" xfId="0">
      <alignment horizontal="center" vertical="center" wrapText="1"/>
    </xf>
    <xf numFmtId="0" fontId="6" fillId="76" borderId="2" applyAlignment="1" pivotButton="0" quotePrefix="0" xfId="0">
      <alignment horizontal="center" vertical="center"/>
    </xf>
    <xf numFmtId="0" fontId="115" fillId="0" borderId="2" applyAlignment="1" pivotButton="0" quotePrefix="0" xfId="0">
      <alignment horizontal="left" vertical="center" wrapText="1"/>
    </xf>
    <xf numFmtId="0" fontId="61" fillId="0" borderId="2" applyAlignment="1" pivotButton="0" quotePrefix="0" xfId="0">
      <alignment horizontal="left"/>
    </xf>
    <xf numFmtId="0" fontId="61" fillId="0" borderId="3" applyAlignment="1" pivotButton="0" quotePrefix="0" xfId="0">
      <alignment horizontal="center" vertical="center"/>
    </xf>
    <xf numFmtId="0" fontId="61" fillId="0" borderId="4" applyAlignment="1" pivotButton="0" quotePrefix="0" xfId="0">
      <alignment horizontal="center" vertical="center"/>
    </xf>
    <xf numFmtId="0" fontId="61" fillId="0" borderId="5" applyAlignment="1" pivotButton="0" quotePrefix="0" xfId="0">
      <alignment horizontal="center" vertical="center"/>
    </xf>
    <xf numFmtId="0" fontId="6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6" fillId="95" borderId="2" applyAlignment="1" pivotButton="0" quotePrefix="0" xfId="0">
      <alignment horizontal="right" vertical="center"/>
    </xf>
    <xf numFmtId="0" fontId="6" fillId="90" borderId="2" applyAlignment="1" pivotButton="0" quotePrefix="0" xfId="0">
      <alignment horizontal="center" vertical="center" wrapText="1"/>
    </xf>
    <xf numFmtId="0" fontId="6" fillId="95" borderId="2" applyAlignment="1" pivotButton="0" quotePrefix="0" xfId="0">
      <alignment horizontal="right" vertical="center" wrapText="1"/>
    </xf>
    <xf numFmtId="3" fontId="6" fillId="90" borderId="2" applyAlignment="1" pivotButton="0" quotePrefix="0" xfId="0">
      <alignment horizontal="center" vertical="center" wrapText="1"/>
    </xf>
    <xf numFmtId="0" fontId="6" fillId="90" borderId="2" applyAlignment="1" pivotButton="0" quotePrefix="0" xfId="0">
      <alignment horizontal="center" vertical="center"/>
    </xf>
    <xf numFmtId="0" fontId="6" fillId="96" borderId="2" applyAlignment="1" pivotButton="0" quotePrefix="0" xfId="0">
      <alignment horizontal="center" vertical="center" wrapText="1"/>
    </xf>
    <xf numFmtId="0" fontId="8" fillId="0" borderId="2" applyAlignment="1" pivotButton="0" quotePrefix="0" xfId="161">
      <alignment horizontal="center" vertical="center"/>
    </xf>
    <xf numFmtId="0" fontId="92" fillId="0" borderId="2" applyAlignment="1" pivotButton="0" quotePrefix="0" xfId="161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161">
      <alignment horizontal="center" vertical="center" wrapText="1"/>
    </xf>
    <xf numFmtId="0" fontId="0" fillId="0" borderId="7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60" fillId="0" borderId="2" applyAlignment="1" pivotButton="0" quotePrefix="0" xfId="161">
      <alignment horizontal="center" vertical="center"/>
    </xf>
    <xf numFmtId="0" fontId="0" fillId="0" borderId="11" pivotButton="0" quotePrefix="0" xfId="0"/>
    <xf numFmtId="0" fontId="0" fillId="0" borderId="35" pivotButton="0" quotePrefix="0" xfId="0"/>
    <xf numFmtId="0" fontId="0" fillId="0" borderId="7" pivotButton="0" quotePrefix="0" xfId="0"/>
    <xf numFmtId="0" fontId="6" fillId="13" borderId="2" applyAlignment="1" pivotButton="0" quotePrefix="0" xfId="161">
      <alignment horizontal="left" vertical="center"/>
    </xf>
    <xf numFmtId="0" fontId="61" fillId="13" borderId="2" applyAlignment="1" pivotButton="0" quotePrefix="0" xfId="161">
      <alignment horizontal="left" vertical="center"/>
    </xf>
    <xf numFmtId="0" fontId="6" fillId="13" borderId="2" applyAlignment="1" pivotButton="0" quotePrefix="0" xfId="161">
      <alignment horizontal="left"/>
    </xf>
    <xf numFmtId="0" fontId="61" fillId="13" borderId="2" applyAlignment="1" pivotButton="0" quotePrefix="0" xfId="161">
      <alignment horizontal="left"/>
    </xf>
    <xf numFmtId="43" fontId="80" fillId="13" borderId="2" applyAlignment="1" pivotButton="0" quotePrefix="0" xfId="1">
      <alignment horizontal="center" vertical="center"/>
    </xf>
    <xf numFmtId="0" fontId="5" fillId="8" borderId="8" applyAlignment="1" pivotButton="0" quotePrefix="0" xfId="161">
      <alignment vertical="center"/>
    </xf>
    <xf numFmtId="15" fontId="61" fillId="13" borderId="5" applyAlignment="1" pivotButton="0" quotePrefix="0" xfId="161">
      <alignment horizontal="left" vertical="center"/>
    </xf>
    <xf numFmtId="0" fontId="79" fillId="5" borderId="72" pivotButton="0" quotePrefix="0" xfId="161"/>
    <xf numFmtId="0" fontId="77" fillId="4" borderId="1" applyAlignment="1" pivotButton="0" quotePrefix="0" xfId="161">
      <alignment horizontal="center" vertical="center"/>
    </xf>
    <xf numFmtId="0" fontId="8" fillId="5" borderId="70" pivotButton="0" quotePrefix="0" xfId="161"/>
    <xf numFmtId="0" fontId="8" fillId="0" borderId="8" applyAlignment="1" pivotButton="0" quotePrefix="0" xfId="161">
      <alignment horizontal="left" vertical="center"/>
    </xf>
    <xf numFmtId="0" fontId="0" fillId="0" borderId="70" pivotButton="0" quotePrefix="0" xfId="0"/>
    <xf numFmtId="0" fontId="8" fillId="0" borderId="2" applyAlignment="1" pivotButton="0" quotePrefix="0" xfId="169">
      <alignment horizontal="center" vertical="center"/>
    </xf>
    <xf numFmtId="0" fontId="92" fillId="0" borderId="2" applyAlignment="1" pivotButton="0" quotePrefix="0" xfId="169">
      <alignment horizontal="center" vertical="center"/>
    </xf>
    <xf numFmtId="0" fontId="8" fillId="0" borderId="2" pivotButton="0" quotePrefix="0" xfId="162"/>
    <xf numFmtId="0" fontId="8" fillId="0" borderId="2" applyAlignment="1" pivotButton="0" quotePrefix="0" xfId="173">
      <alignment horizontal="center" vertical="center"/>
    </xf>
    <xf numFmtId="0" fontId="91" fillId="0" borderId="2" applyAlignment="1" pivotButton="0" quotePrefix="0" xfId="173">
      <alignment horizontal="center" vertical="center"/>
    </xf>
    <xf numFmtId="0" fontId="8" fillId="5" borderId="1" pivotButton="0" quotePrefix="0" xfId="173"/>
    <xf numFmtId="0" fontId="8" fillId="5" borderId="1" pivotButton="0" quotePrefix="0" xfId="0"/>
    <xf numFmtId="0" fontId="8" fillId="0" borderId="5" pivotButton="0" quotePrefix="0" xfId="0"/>
    <xf numFmtId="0" fontId="6" fillId="15" borderId="2" applyAlignment="1" pivotButton="0" quotePrefix="0" xfId="0">
      <alignment horizontal="center" vertical="center"/>
    </xf>
    <xf numFmtId="14" fontId="8" fillId="15" borderId="2" applyAlignment="1" pivotButton="0" quotePrefix="0" xfId="0">
      <alignment horizontal="center" vertical="center"/>
    </xf>
    <xf numFmtId="0" fontId="8" fillId="0" borderId="5" applyAlignment="1" pivotButton="0" quotePrefix="0" xfId="161">
      <alignment horizontal="center" vertical="center" wrapText="1"/>
    </xf>
    <xf numFmtId="0" fontId="8" fillId="5" borderId="2" applyAlignment="1" pivotButton="0" quotePrefix="0" xfId="173">
      <alignment horizontal="center"/>
    </xf>
    <xf numFmtId="0" fontId="8" fillId="0" borderId="1" applyAlignment="1" pivotButton="0" quotePrefix="0" xfId="0">
      <alignment horizontal="center"/>
    </xf>
    <xf numFmtId="0" fontId="8" fillId="13" borderId="2" applyAlignment="1" pivotButton="0" quotePrefix="0" xfId="0">
      <alignment horizontal="left" vertical="center" wrapText="1"/>
    </xf>
    <xf numFmtId="170" fontId="96" fillId="43" borderId="2" pivotButton="0" quotePrefix="0" xfId="32"/>
    <xf numFmtId="170" fontId="96" fillId="85" borderId="2" pivotButton="0" quotePrefix="0" xfId="32"/>
    <xf numFmtId="0" fontId="6" fillId="48" borderId="73" applyAlignment="1" pivotButton="0" quotePrefix="0" xfId="114">
      <alignment horizontal="center" vertical="center"/>
    </xf>
    <xf numFmtId="0" fontId="0" fillId="0" borderId="75" pivotButton="0" quotePrefix="0" xfId="0"/>
    <xf numFmtId="0" fontId="6" fillId="80" borderId="2" applyAlignment="1" pivotButton="0" quotePrefix="0" xfId="114">
      <alignment horizontal="center"/>
    </xf>
    <xf numFmtId="0" fontId="6" fillId="80" borderId="2" applyAlignment="1" pivotButton="0" quotePrefix="0" xfId="114">
      <alignment horizontal="center" vertical="center" wrapText="1"/>
    </xf>
    <xf numFmtId="0" fontId="0" fillId="0" borderId="76" pivotButton="0" quotePrefix="0" xfId="0"/>
    <xf numFmtId="0" fontId="6" fillId="12" borderId="73" applyAlignment="1" pivotButton="0" quotePrefix="0" xfId="114">
      <alignment horizontal="center" vertical="center"/>
    </xf>
    <xf numFmtId="43" fontId="94" fillId="84" borderId="2" pivotButton="0" quotePrefix="0" xfId="1"/>
    <xf numFmtId="170" fontId="94" fillId="84" borderId="2" pivotButton="0" quotePrefix="0" xfId="0"/>
    <xf numFmtId="43" fontId="94" fillId="0" borderId="2" pivotButton="0" quotePrefix="0" xfId="1"/>
    <xf numFmtId="168" fontId="94" fillId="0" borderId="2" pivotButton="0" quotePrefix="0" xfId="0"/>
    <xf numFmtId="170" fontId="94" fillId="0" borderId="2" pivotButton="0" quotePrefix="0" xfId="0"/>
    <xf numFmtId="43" fontId="94" fillId="0" borderId="2" applyAlignment="1" pivotButton="0" quotePrefix="0" xfId="1">
      <alignment horizontal="center"/>
    </xf>
    <xf numFmtId="168" fontId="135" fillId="0" borderId="2" applyAlignment="1" pivotButton="0" quotePrefix="0" xfId="0">
      <alignment vertical="center" wrapText="1"/>
    </xf>
    <xf numFmtId="43" fontId="94" fillId="3" borderId="2" pivotButton="0" quotePrefix="0" xfId="1"/>
    <xf numFmtId="170" fontId="118" fillId="3" borderId="2" pivotButton="0" quotePrefix="0" xfId="0"/>
    <xf numFmtId="0" fontId="8" fillId="0" borderId="2" applyAlignment="1" pivotButton="0" quotePrefix="0" xfId="174">
      <alignment horizontal="center" vertical="center"/>
    </xf>
    <xf numFmtId="0" fontId="86" fillId="0" borderId="2" applyAlignment="1" pivotButton="0" quotePrefix="0" xfId="174">
      <alignment horizontal="center" vertical="center"/>
    </xf>
    <xf numFmtId="0" fontId="8" fillId="0" borderId="2" applyAlignment="1" pivotButton="0" quotePrefix="0" xfId="174">
      <alignment horizontal="center" vertical="center" wrapText="1"/>
    </xf>
    <xf numFmtId="0" fontId="88" fillId="0" borderId="2" applyAlignment="1" pivotButton="0" quotePrefix="0" xfId="174">
      <alignment horizontal="left" vertical="center"/>
    </xf>
    <xf numFmtId="0" fontId="88" fillId="45" borderId="2" applyAlignment="1" pivotButton="0" quotePrefix="0" xfId="174">
      <alignment horizontal="center" vertical="center"/>
    </xf>
    <xf numFmtId="0" fontId="7" fillId="45" borderId="2" applyAlignment="1" pivotButton="0" quotePrefix="0" xfId="174">
      <alignment horizontal="center" vertical="center"/>
    </xf>
    <xf numFmtId="43" fontId="7" fillId="0" borderId="2" applyAlignment="1" pivotButton="0" quotePrefix="0" xfId="31">
      <alignment horizontal="center" vertical="center"/>
    </xf>
    <xf numFmtId="0" fontId="89" fillId="0" borderId="2" applyAlignment="1" pivotButton="0" quotePrefix="0" xfId="174">
      <alignment horizontal="center" vertical="center"/>
    </xf>
    <xf numFmtId="0" fontId="95" fillId="0" borderId="2" applyAlignment="1" pivotButton="0" quotePrefix="0" xfId="174">
      <alignment horizontal="center" vertical="center"/>
    </xf>
    <xf numFmtId="177" fontId="7" fillId="0" borderId="2" applyAlignment="1" pivotButton="0" quotePrefix="0" xfId="31">
      <alignment horizontal="center" vertical="center"/>
    </xf>
    <xf numFmtId="0" fontId="8" fillId="5" borderId="2" pivotButton="0" quotePrefix="0" xfId="0"/>
    <xf numFmtId="0" fontId="11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8" borderId="78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9" borderId="79" applyAlignment="1" pivotButton="0" quotePrefix="0" xfId="0">
      <alignment horizontal="center" vertical="center" wrapText="1"/>
    </xf>
    <xf numFmtId="0" fontId="11" fillId="9" borderId="77" applyAlignment="1" pivotButton="0" quotePrefix="0" xfId="0">
      <alignment horizontal="center" vertical="center" wrapText="1"/>
    </xf>
    <xf numFmtId="0" fontId="17" fillId="41" borderId="2" applyAlignment="1" pivotButton="0" quotePrefix="0" xfId="163">
      <alignment horizontal="center" vertical="center" textRotation="90"/>
    </xf>
    <xf numFmtId="0" fontId="11" fillId="10" borderId="84" applyAlignment="1" pivotButton="0" quotePrefix="0" xfId="0">
      <alignment horizontal="center" vertical="center"/>
    </xf>
    <xf numFmtId="0" fontId="11" fillId="10" borderId="85" applyAlignment="1" pivotButton="0" quotePrefix="0" xfId="0">
      <alignment horizontal="center" vertical="center"/>
    </xf>
    <xf numFmtId="2" fontId="11" fillId="10" borderId="2" applyAlignment="1" pivotButton="0" quotePrefix="0" xfId="0">
      <alignment horizontal="center" vertical="center" wrapText="1"/>
    </xf>
    <xf numFmtId="0" fontId="11" fillId="10" borderId="77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4" fontId="7" fillId="0" borderId="0" applyAlignment="1" pivotButton="0" quotePrefix="0" xfId="0">
      <alignment horizontal="center"/>
    </xf>
    <xf numFmtId="0" fontId="0" fillId="0" borderId="24" pivotButton="0" quotePrefix="0" xfId="0"/>
    <xf numFmtId="0" fontId="11" fillId="9" borderId="8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7" fillId="41" borderId="5" applyAlignment="1" pivotButton="0" quotePrefix="0" xfId="163">
      <alignment horizontal="center" vertical="center" textRotation="90"/>
    </xf>
    <xf numFmtId="0" fontId="17" fillId="41" borderId="3" applyAlignment="1" pivotButton="0" quotePrefix="0" xfId="163">
      <alignment horizontal="center" vertical="center" textRotation="90"/>
    </xf>
    <xf numFmtId="0" fontId="0" fillId="0" borderId="29" pivotButton="0" quotePrefix="0" xfId="0"/>
    <xf numFmtId="165" fontId="0" fillId="0" borderId="2" pivotButton="0" quotePrefix="0" xfId="1"/>
    <xf numFmtId="43" fontId="11" fillId="8" borderId="4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7" fillId="0" borderId="2" applyAlignment="1" pivotButton="0" quotePrefix="0" xfId="0">
      <alignment horizontal="center" vertical="center" textRotation="90"/>
    </xf>
    <xf numFmtId="43" fontId="15" fillId="0" borderId="1" pivotButton="0" quotePrefix="0" xfId="1"/>
    <xf numFmtId="169" fontId="15" fillId="0" borderId="1" pivotButton="0" quotePrefix="0" xfId="1"/>
    <xf numFmtId="164" fontId="15" fillId="0" borderId="1" pivotButton="0" quotePrefix="0" xfId="1"/>
    <xf numFmtId="164" fontId="15" fillId="0" borderId="0" pivotButton="0" quotePrefix="0" xfId="1"/>
    <xf numFmtId="164" fontId="15" fillId="0" borderId="11" pivotButton="0" quotePrefix="0" xfId="1"/>
    <xf numFmtId="164" fontId="15" fillId="12" borderId="1" pivotButton="0" quotePrefix="0" xfId="1"/>
    <xf numFmtId="164" fontId="15" fillId="12" borderId="0" pivotButton="0" quotePrefix="0" xfId="1"/>
    <xf numFmtId="164" fontId="15" fillId="13" borderId="2" pivotButton="0" quotePrefix="0" xfId="1"/>
    <xf numFmtId="164" fontId="15" fillId="0" borderId="7" pivotButton="0" quotePrefix="0" xfId="1"/>
    <xf numFmtId="164" fontId="15" fillId="0" borderId="35" pivotButton="0" quotePrefix="0" xfId="1"/>
    <xf numFmtId="43" fontId="15" fillId="13" borderId="1" pivotButton="0" quotePrefix="0" xfId="1"/>
    <xf numFmtId="43" fontId="15" fillId="12" borderId="1" pivotButton="0" quotePrefix="0" xfId="1"/>
    <xf numFmtId="43" fontId="15" fillId="0" borderId="7" pivotButton="0" quotePrefix="0" xfId="1"/>
    <xf numFmtId="164" fontId="15" fillId="12" borderId="7" pivotButton="0" quotePrefix="0" xfId="1"/>
    <xf numFmtId="164" fontId="15" fillId="0" borderId="7" applyAlignment="1" pivotButton="0" quotePrefix="0" xfId="1">
      <alignment horizontal="center" vertical="center"/>
    </xf>
    <xf numFmtId="43" fontId="16" fillId="0" borderId="2" pivotButton="0" quotePrefix="0" xfId="0"/>
    <xf numFmtId="164" fontId="8" fillId="0" borderId="0" pivotButton="0" quotePrefix="0" xfId="0"/>
    <xf numFmtId="43" fontId="16" fillId="0" borderId="2" pivotButton="0" quotePrefix="0" xfId="1"/>
    <xf numFmtId="165" fontId="0" fillId="0" borderId="0" pivotButton="0" quotePrefix="0" xfId="1"/>
    <xf numFmtId="43" fontId="15" fillId="0" borderId="7" applyAlignment="1" pivotButton="0" quotePrefix="0" xfId="1">
      <alignment vertical="center" wrapText="1"/>
    </xf>
    <xf numFmtId="164" fontId="15" fillId="12" borderId="11" pivotButton="0" quotePrefix="0" xfId="1"/>
    <xf numFmtId="43" fontId="15" fillId="0" borderId="7" applyAlignment="1" pivotButton="0" quotePrefix="0" xfId="1">
      <alignment horizontal="right" vertical="center"/>
    </xf>
    <xf numFmtId="43" fontId="15" fillId="0" borderId="11" applyAlignment="1" pivotButton="0" quotePrefix="0" xfId="1">
      <alignment horizontal="center"/>
    </xf>
    <xf numFmtId="43" fontId="15" fillId="0" borderId="8" applyAlignment="1" pivotButton="0" quotePrefix="0" xfId="1">
      <alignment vertical="center" wrapText="1"/>
    </xf>
    <xf numFmtId="164" fontId="15" fillId="0" borderId="8" pivotButton="0" quotePrefix="0" xfId="1"/>
    <xf numFmtId="164" fontId="15" fillId="0" borderId="23" pivotButton="0" quotePrefix="0" xfId="1"/>
    <xf numFmtId="43" fontId="15" fillId="14" borderId="10" pivotButton="0" quotePrefix="0" xfId="1"/>
    <xf numFmtId="0" fontId="15" fillId="14" borderId="1" pivotButton="0" quotePrefix="0" xfId="0"/>
    <xf numFmtId="43" fontId="11" fillId="14" borderId="1" pivotButton="0" quotePrefix="0" xfId="1"/>
    <xf numFmtId="43" fontId="17" fillId="14" borderId="2" pivotButton="0" quotePrefix="0" xfId="0"/>
    <xf numFmtId="0" fontId="7" fillId="0" borderId="70" applyAlignment="1" pivotButton="0" quotePrefix="0" xfId="0">
      <alignment horizontal="center" vertical="center" textRotation="90" wrapText="1"/>
    </xf>
    <xf numFmtId="43" fontId="19" fillId="0" borderId="7" pivotButton="0" quotePrefix="0" xfId="1"/>
    <xf numFmtId="164" fontId="15" fillId="12" borderId="35" pivotButton="0" quotePrefix="0" xfId="1"/>
    <xf numFmtId="164" fontId="15" fillId="0" borderId="7" pivotButton="0" quotePrefix="0" xfId="32"/>
    <xf numFmtId="43" fontId="15" fillId="12" borderId="11" pivotButton="0" quotePrefix="0" xfId="1"/>
    <xf numFmtId="43" fontId="15" fillId="12" borderId="0" pivotButton="0" quotePrefix="0" xfId="1"/>
    <xf numFmtId="43" fontId="15" fillId="13" borderId="10" pivotButton="0" quotePrefix="0" xfId="1"/>
    <xf numFmtId="43" fontId="16" fillId="0" borderId="5" pivotButton="0" quotePrefix="0" xfId="0"/>
    <xf numFmtId="43" fontId="18" fillId="0" borderId="7" applyAlignment="1" pivotButton="0" quotePrefix="0" xfId="1">
      <alignment horizontal="center"/>
    </xf>
    <xf numFmtId="43" fontId="15" fillId="13" borderId="67" pivotButton="0" quotePrefix="0" xfId="1"/>
    <xf numFmtId="164" fontId="19" fillId="0" borderId="11" pivotButton="0" quotePrefix="0" xfId="1"/>
    <xf numFmtId="43" fontId="19" fillId="12" borderId="0" pivotButton="0" quotePrefix="0" xfId="1"/>
    <xf numFmtId="164" fontId="8" fillId="0" borderId="0" pivotButton="0" quotePrefix="0" xfId="1"/>
    <xf numFmtId="43" fontId="19" fillId="0" borderId="35" pivotButton="0" quotePrefix="0" xfId="1"/>
    <xf numFmtId="164" fontId="15" fillId="13" borderId="5" pivotButton="0" quotePrefix="0" xfId="1"/>
    <xf numFmtId="43" fontId="15" fillId="13" borderId="66" pivotButton="0" quotePrefix="0" xfId="1"/>
    <xf numFmtId="43" fontId="15" fillId="12" borderId="35" pivotButton="0" quotePrefix="0" xfId="1"/>
    <xf numFmtId="164" fontId="19" fillId="0" borderId="0" pivotButton="0" quotePrefix="0" xfId="1"/>
    <xf numFmtId="164" fontId="15" fillId="12" borderId="23" pivotButton="0" quotePrefix="0" xfId="1"/>
    <xf numFmtId="164" fontId="15" fillId="12" borderId="12" pivotButton="0" quotePrefix="0" xfId="1"/>
    <xf numFmtId="43" fontId="19" fillId="12" borderId="12" pivotButton="0" quotePrefix="0" xfId="1"/>
    <xf numFmtId="164" fontId="15" fillId="12" borderId="13" pivotButton="0" quotePrefix="0" xfId="1"/>
    <xf numFmtId="43" fontId="19" fillId="0" borderId="13" pivotButton="0" quotePrefix="0" xfId="1"/>
    <xf numFmtId="43" fontId="15" fillId="12" borderId="23" pivotButton="0" quotePrefix="0" xfId="1"/>
    <xf numFmtId="43" fontId="15" fillId="12" borderId="12" pivotButton="0" quotePrefix="0" xfId="1"/>
    <xf numFmtId="43" fontId="15" fillId="12" borderId="13" pivotButton="0" quotePrefix="0" xfId="1"/>
    <xf numFmtId="0" fontId="15" fillId="14" borderId="8" pivotButton="0" quotePrefix="0" xfId="0"/>
    <xf numFmtId="43" fontId="11" fillId="14" borderId="2" pivotButton="0" quotePrefix="0" xfId="1"/>
    <xf numFmtId="43" fontId="11" fillId="14" borderId="8" pivotButton="0" quotePrefix="0" xfId="1"/>
    <xf numFmtId="43" fontId="11" fillId="14" borderId="5" pivotButton="0" quotePrefix="0" xfId="1"/>
    <xf numFmtId="43" fontId="18" fillId="0" borderId="1" pivotButton="0" quotePrefix="0" xfId="1"/>
    <xf numFmtId="164" fontId="20" fillId="12" borderId="2" applyAlignment="1" pivotButton="0" quotePrefix="0" xfId="1">
      <alignment horizontal="center" vertical="center"/>
    </xf>
    <xf numFmtId="164" fontId="15" fillId="0" borderId="36" pivotButton="0" quotePrefix="0" xfId="0"/>
    <xf numFmtId="43" fontId="15" fillId="12" borderId="5" applyAlignment="1" pivotButton="0" quotePrefix="0" xfId="1">
      <alignment horizontal="center" vertical="center"/>
    </xf>
    <xf numFmtId="164" fontId="15" fillId="0" borderId="37" pivotButton="0" quotePrefix="0" xfId="1"/>
    <xf numFmtId="43" fontId="8" fillId="0" borderId="0" pivotButton="0" quotePrefix="0" xfId="0"/>
    <xf numFmtId="43" fontId="15" fillId="0" borderId="8" pivotButton="0" quotePrefix="0" xfId="1"/>
    <xf numFmtId="164" fontId="15" fillId="0" borderId="38" pivotButton="0" quotePrefix="0" xfId="0"/>
    <xf numFmtId="0" fontId="15" fillId="14" borderId="2" pivotButton="0" quotePrefix="0" xfId="0"/>
    <xf numFmtId="43" fontId="15" fillId="0" borderId="9" pivotButton="0" quotePrefix="0" xfId="1"/>
    <xf numFmtId="164" fontId="15" fillId="12" borderId="3" applyAlignment="1" pivotButton="0" quotePrefix="0" xfId="1">
      <alignment horizontal="center" vertical="center"/>
    </xf>
    <xf numFmtId="164" fontId="15" fillId="0" borderId="49" pivotButton="0" quotePrefix="0" xfId="1"/>
    <xf numFmtId="43" fontId="15" fillId="0" borderId="0" pivotButton="0" quotePrefix="0" xfId="1"/>
    <xf numFmtId="164" fontId="15" fillId="0" borderId="50" pivotButton="0" quotePrefix="0" xfId="1"/>
    <xf numFmtId="43" fontId="21" fillId="3" borderId="5" applyAlignment="1" pivotButton="0" quotePrefix="0" xfId="1">
      <alignment horizontal="right" vertical="center"/>
    </xf>
    <xf numFmtId="43" fontId="8" fillId="0" borderId="0" pivotButton="0" quotePrefix="0" xfId="1"/>
    <xf numFmtId="164" fontId="8" fillId="0" borderId="0" applyAlignment="1" pivotButton="0" quotePrefix="0" xfId="0">
      <alignment horizontal="center" vertical="center"/>
    </xf>
    <xf numFmtId="0" fontId="87" fillId="0" borderId="2" applyAlignment="1" pivotButton="0" quotePrefix="0" xfId="174">
      <alignment horizontal="center" vertical="center"/>
    </xf>
    <xf numFmtId="0" fontId="5" fillId="8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textRotation="90" wrapText="1"/>
    </xf>
    <xf numFmtId="43" fontId="19" fillId="0" borderId="1" pivotButton="0" quotePrefix="0" xfId="1"/>
    <xf numFmtId="164" fontId="15" fillId="12" borderId="6" pivotButton="0" quotePrefix="0" xfId="1"/>
    <xf numFmtId="164" fontId="15" fillId="12" borderId="9" pivotButton="0" quotePrefix="0" xfId="1"/>
    <xf numFmtId="164" fontId="15" fillId="12" borderId="10" pivotButton="0" quotePrefix="0" xfId="1"/>
    <xf numFmtId="43" fontId="15" fillId="12" borderId="6" pivotButton="0" quotePrefix="0" xfId="1"/>
    <xf numFmtId="43" fontId="15" fillId="12" borderId="9" pivotButton="0" quotePrefix="0" xfId="1"/>
    <xf numFmtId="0" fontId="81" fillId="0" borderId="2" applyAlignment="1" pivotButton="0" quotePrefix="0" xfId="175">
      <alignment horizontal="center" vertical="center"/>
    </xf>
    <xf numFmtId="0" fontId="88" fillId="0" borderId="2" applyAlignment="1" pivotButton="0" quotePrefix="0" xfId="175">
      <alignment horizontal="center" vertical="center"/>
    </xf>
    <xf numFmtId="0" fontId="5" fillId="41" borderId="70" applyAlignment="1" pivotButton="0" quotePrefix="0" xfId="0">
      <alignment horizontal="center" vertical="center" wrapText="1"/>
    </xf>
    <xf numFmtId="0" fontId="8" fillId="0" borderId="72" applyAlignment="1" pivotButton="0" quotePrefix="0" xfId="0">
      <alignment horizontal="center"/>
    </xf>
    <xf numFmtId="43" fontId="64" fillId="0" borderId="2" applyAlignment="1" pivotButton="0" quotePrefix="0" xfId="1">
      <alignment horizontal="center" vertical="center"/>
    </xf>
    <xf numFmtId="43" fontId="64" fillId="0" borderId="5" applyAlignment="1" pivotButton="0" quotePrefix="0" xfId="1">
      <alignment horizontal="center" vertical="center"/>
    </xf>
    <xf numFmtId="43" fontId="64" fillId="0" borderId="2" applyAlignment="1" pivotButton="0" quotePrefix="0" xfId="0">
      <alignment horizontal="center" vertical="center"/>
    </xf>
    <xf numFmtId="165" fontId="66" fillId="14" borderId="2" applyAlignment="1" pivotButton="0" quotePrefix="0" xfId="0">
      <alignment horizontal="center" vertical="center"/>
    </xf>
    <xf numFmtId="43" fontId="66" fillId="14" borderId="2" applyAlignment="1" pivotButton="0" quotePrefix="0" xfId="1">
      <alignment horizontal="center" vertical="center"/>
    </xf>
    <xf numFmtId="0" fontId="8" fillId="48" borderId="2" applyAlignment="1" pivotButton="0" quotePrefix="0" xfId="0">
      <alignment horizontal="left"/>
    </xf>
    <xf numFmtId="0" fontId="5" fillId="7" borderId="3" applyAlignment="1" pivotButton="0" quotePrefix="0" xfId="0">
      <alignment horizontal="center" vertical="center" wrapText="1"/>
    </xf>
    <xf numFmtId="0" fontId="5" fillId="41" borderId="2" applyAlignment="1" pivotButton="0" quotePrefix="0" xfId="0">
      <alignment horizontal="center" vertical="center" wrapText="1"/>
    </xf>
    <xf numFmtId="0" fontId="6" fillId="15" borderId="8" applyAlignment="1" pivotButton="0" quotePrefix="0" xfId="0">
      <alignment horizontal="left" vertical="center"/>
    </xf>
    <xf numFmtId="14" fontId="61" fillId="15" borderId="8" applyAlignment="1" pivotButton="0" quotePrefix="0" xfId="0">
      <alignment vertical="center"/>
    </xf>
    <xf numFmtId="168" fontId="59" fillId="45" borderId="2" applyAlignment="1" pivotButton="0" quotePrefix="0" xfId="0">
      <alignment horizontal="center" vertical="center"/>
    </xf>
    <xf numFmtId="43" fontId="68" fillId="45" borderId="0" pivotButton="0" quotePrefix="0" xfId="1"/>
    <xf numFmtId="168" fontId="68" fillId="45" borderId="0" pivotButton="0" quotePrefix="0" xfId="0"/>
    <xf numFmtId="166" fontId="68" fillId="45" borderId="0" applyAlignment="1" pivotButton="0" quotePrefix="0" xfId="1">
      <alignment horizontal="left" vertical="top"/>
    </xf>
    <xf numFmtId="166" fontId="68" fillId="45" borderId="0" pivotButton="0" quotePrefix="0" xfId="1"/>
    <xf numFmtId="166" fontId="68" fillId="4" borderId="0" applyAlignment="1" pivotButton="0" quotePrefix="0" xfId="1">
      <alignment horizontal="left" vertical="top"/>
    </xf>
    <xf numFmtId="166" fontId="68" fillId="4" borderId="0" applyAlignment="1" pivotButton="0" quotePrefix="0" xfId="1">
      <alignment horizontal="left" vertical="top" wrapText="1"/>
    </xf>
    <xf numFmtId="166" fontId="68" fillId="4" borderId="0" pivotButton="0" quotePrefix="0" xfId="1"/>
    <xf numFmtId="166" fontId="68" fillId="45" borderId="0" applyAlignment="1" pivotButton="0" quotePrefix="0" xfId="1">
      <alignment horizontal="center"/>
    </xf>
    <xf numFmtId="167" fontId="68" fillId="45" borderId="2" applyAlignment="1" pivotButton="0" quotePrefix="0" xfId="1">
      <alignment horizontal="center" vertical="top"/>
    </xf>
    <xf numFmtId="166" fontId="68" fillId="45" borderId="2" applyAlignment="1" pivotButton="0" quotePrefix="0" xfId="1">
      <alignment horizontal="center"/>
    </xf>
    <xf numFmtId="166" fontId="68" fillId="45" borderId="12" applyAlignment="1" pivotButton="0" quotePrefix="0" xfId="1">
      <alignment horizontal="center"/>
    </xf>
    <xf numFmtId="166" fontId="68" fillId="45" borderId="2" pivotButton="0" quotePrefix="0" xfId="1"/>
    <xf numFmtId="164" fontId="68" fillId="45" borderId="0" pivotButton="0" quotePrefix="0" xfId="1"/>
    <xf numFmtId="164" fontId="9" fillId="44" borderId="2" applyAlignment="1" pivotButton="0" quotePrefix="0" xfId="1">
      <alignment horizontal="center" vertical="center"/>
    </xf>
    <xf numFmtId="164" fontId="59" fillId="45" borderId="2" applyAlignment="1" pivotButton="0" quotePrefix="0" xfId="1">
      <alignment horizontal="center" vertical="center"/>
    </xf>
    <xf numFmtId="164" fontId="68" fillId="45" borderId="0" pivotButton="0" quotePrefix="0" xfId="0"/>
    <xf numFmtId="164" fontId="59" fillId="45" borderId="0" applyAlignment="1" pivotButton="0" quotePrefix="0" xfId="1">
      <alignment horizontal="center" vertical="center"/>
    </xf>
    <xf numFmtId="164" fontId="68" fillId="4" borderId="0" pivotButton="0" quotePrefix="0" xfId="1"/>
    <xf numFmtId="164" fontId="68" fillId="45" borderId="0" applyAlignment="1" pivotButton="0" quotePrefix="0" xfId="1">
      <alignment horizontal="center"/>
    </xf>
    <xf numFmtId="164" fontId="68" fillId="45" borderId="2" applyAlignment="1" pivotButton="0" quotePrefix="0" xfId="1">
      <alignment horizontal="center"/>
    </xf>
    <xf numFmtId="164" fontId="68" fillId="45" borderId="2" pivotButton="0" quotePrefix="0" xfId="1"/>
    <xf numFmtId="168" fontId="122" fillId="87" borderId="0" pivotButton="0" quotePrefix="0" xfId="0"/>
    <xf numFmtId="165" fontId="0" fillId="0" borderId="2" applyAlignment="1" pivotButton="0" quotePrefix="0" xfId="32">
      <alignment horizontal="right" vertical="center"/>
    </xf>
    <xf numFmtId="164" fontId="81" fillId="0" borderId="2" applyAlignment="1" pivotButton="0" quotePrefix="0" xfId="178">
      <alignment horizontal="center" vertical="center"/>
    </xf>
    <xf numFmtId="165" fontId="61" fillId="0" borderId="2" applyAlignment="1" pivotButton="0" quotePrefix="0" xfId="1">
      <alignment vertical="center"/>
    </xf>
    <xf numFmtId="165" fontId="111" fillId="0" borderId="2" applyAlignment="1" pivotButton="0" quotePrefix="0" xfId="1">
      <alignment horizontal="center" vertical="center" wrapText="1"/>
    </xf>
    <xf numFmtId="164" fontId="61" fillId="0" borderId="2" applyAlignment="1" pivotButton="0" quotePrefix="0" xfId="1">
      <alignment vertical="center"/>
    </xf>
    <xf numFmtId="171" fontId="61" fillId="0" borderId="2" applyAlignment="1" pivotButton="0" quotePrefix="0" xfId="0">
      <alignment vertical="center"/>
    </xf>
    <xf numFmtId="170" fontId="99" fillId="49" borderId="2" applyAlignment="1" pivotButton="0" quotePrefix="0" xfId="0">
      <alignment vertical="center"/>
    </xf>
    <xf numFmtId="170" fontId="61" fillId="0" borderId="2" applyAlignment="1" pivotButton="0" quotePrefix="0" xfId="0">
      <alignment vertical="center"/>
    </xf>
    <xf numFmtId="170" fontId="99" fillId="78" borderId="2" applyAlignment="1" pivotButton="0" quotePrefix="0" xfId="0">
      <alignment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70" fontId="99" fillId="58" borderId="56" applyAlignment="1" pivotButton="0" quotePrefix="0" xfId="0">
      <alignment horizontal="center" vertical="center"/>
    </xf>
    <xf numFmtId="43" fontId="61" fillId="0" borderId="56" applyAlignment="1" pivotButton="0" quotePrefix="0" xfId="1">
      <alignment horizontal="center" vertical="center"/>
    </xf>
    <xf numFmtId="43" fontId="61" fillId="59" borderId="56" applyAlignment="1" pivotButton="0" quotePrefix="0" xfId="1">
      <alignment horizontal="center" vertical="center"/>
    </xf>
    <xf numFmtId="170" fontId="61" fillId="0" borderId="56" applyAlignment="1" pivotButton="0" quotePrefix="0" xfId="0">
      <alignment horizontal="center" vertical="center"/>
    </xf>
    <xf numFmtId="171" fontId="61" fillId="0" borderId="56" applyAlignment="1" pivotButton="0" quotePrefix="0" xfId="0">
      <alignment horizontal="center" vertical="center"/>
    </xf>
    <xf numFmtId="0" fontId="61" fillId="61" borderId="73" applyAlignment="1" pivotButton="0" quotePrefix="0" xfId="0">
      <alignment horizontal="center" vertical="center"/>
    </xf>
    <xf numFmtId="170" fontId="99" fillId="75" borderId="2" applyAlignment="1" pivotButton="0" quotePrefix="0" xfId="0">
      <alignment vertical="center"/>
    </xf>
    <xf numFmtId="0" fontId="6" fillId="60" borderId="87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57" pivotButton="0" quotePrefix="0" xfId="0"/>
    <xf numFmtId="0" fontId="0" fillId="0" borderId="58" pivotButton="0" quotePrefix="0" xfId="0"/>
    <xf numFmtId="171" fontId="99" fillId="80" borderId="2" applyAlignment="1" pivotButton="0" quotePrefix="0" xfId="0">
      <alignment horizontal="center" vertical="center"/>
    </xf>
    <xf numFmtId="171" fontId="6" fillId="0" borderId="2" applyAlignment="1" pivotButton="0" quotePrefix="0" xfId="0">
      <alignment horizontal="right" vertical="center"/>
    </xf>
    <xf numFmtId="171" fontId="6" fillId="0" borderId="3" applyAlignment="1" pivotButton="0" quotePrefix="0" xfId="0">
      <alignment horizontal="right" vertical="center"/>
    </xf>
    <xf numFmtId="171" fontId="61" fillId="86" borderId="2" applyAlignment="1" pivotButton="0" quotePrefix="0" xfId="0">
      <alignment horizontal="center" vertical="center"/>
    </xf>
    <xf numFmtId="171" fontId="61" fillId="0" borderId="3" applyAlignment="1" pivotButton="0" quotePrefix="0" xfId="0">
      <alignment vertical="center"/>
    </xf>
    <xf numFmtId="171" fontId="61" fillId="84" borderId="2" applyAlignment="1" pivotButton="0" quotePrefix="0" xfId="0">
      <alignment vertical="center"/>
    </xf>
    <xf numFmtId="171" fontId="61" fillId="84" borderId="3" applyAlignment="1" pivotButton="0" quotePrefix="0" xfId="0">
      <alignment vertical="center"/>
    </xf>
    <xf numFmtId="171" fontId="61" fillId="59" borderId="2" applyAlignment="1" pivotButton="0" quotePrefix="0" xfId="0">
      <alignment horizontal="left" vertical="center"/>
    </xf>
    <xf numFmtId="171" fontId="61" fillId="59" borderId="2" applyAlignment="1" pivotButton="0" quotePrefix="0" xfId="0">
      <alignment horizontal="center" vertical="center"/>
    </xf>
    <xf numFmtId="171" fontId="61" fillId="59" borderId="3" applyAlignment="1" pivotButton="0" quotePrefix="0" xfId="0">
      <alignment horizontal="left" vertical="center"/>
    </xf>
    <xf numFmtId="171" fontId="99" fillId="68" borderId="2" applyAlignment="1" pivotButton="0" quotePrefix="0" xfId="0">
      <alignment horizontal="center" vertical="center"/>
    </xf>
    <xf numFmtId="171" fontId="6" fillId="0" borderId="2" applyAlignment="1" pivotButton="0" quotePrefix="0" xfId="0">
      <alignment vertical="center"/>
    </xf>
    <xf numFmtId="171" fontId="61" fillId="43" borderId="2" applyAlignment="1" pivotButton="0" quotePrefix="0" xfId="0">
      <alignment horizontal="center" vertical="center"/>
    </xf>
    <xf numFmtId="171" fontId="99" fillId="58" borderId="2" applyAlignment="1" pivotButton="0" quotePrefix="0" xfId="0">
      <alignment horizontal="center" vertical="center"/>
    </xf>
    <xf numFmtId="171" fontId="61" fillId="0" borderId="2" applyAlignment="1" pivotButton="0" quotePrefix="0" xfId="0">
      <alignment horizontal="center" vertical="center"/>
    </xf>
    <xf numFmtId="172" fontId="61" fillId="0" borderId="0" applyAlignment="1" pivotButton="0" quotePrefix="0" xfId="0">
      <alignment vertical="center"/>
    </xf>
    <xf numFmtId="43" fontId="99" fillId="80" borderId="8" applyAlignment="1" pivotButton="0" quotePrefix="0" xfId="0">
      <alignment horizontal="center" vertical="center"/>
    </xf>
    <xf numFmtId="43" fontId="61" fillId="0" borderId="2" applyAlignment="1" pivotButton="0" quotePrefix="0" xfId="1">
      <alignment vertical="center"/>
    </xf>
    <xf numFmtId="43" fontId="99" fillId="0" borderId="8" applyAlignment="1" pivotButton="0" quotePrefix="0" xfId="0">
      <alignment horizontal="center" vertical="center"/>
    </xf>
    <xf numFmtId="0" fontId="6" fillId="61" borderId="2" applyAlignment="1" pivotButton="0" quotePrefix="0" xfId="0">
      <alignment horizontal="center" vertical="center" wrapText="1"/>
    </xf>
    <xf numFmtId="43" fontId="99" fillId="68" borderId="2" applyAlignment="1" pivotButton="0" quotePrefix="0" xfId="0">
      <alignment horizontal="center" vertical="center"/>
    </xf>
    <xf numFmtId="43" fontId="61" fillId="0" borderId="2" applyAlignment="1" pivotButton="0" quotePrefix="0" xfId="1">
      <alignment horizontal="center" vertical="center"/>
    </xf>
    <xf numFmtId="173" fontId="6" fillId="0" borderId="56" applyAlignment="1" pivotButton="0" quotePrefix="0" xfId="0">
      <alignment horizontal="center"/>
    </xf>
    <xf numFmtId="165" fontId="61" fillId="64" borderId="52" applyAlignment="1" pivotButton="0" quotePrefix="0" xfId="0">
      <alignment horizontal="center" vertical="center" wrapText="1"/>
    </xf>
    <xf numFmtId="43" fontId="61" fillId="66" borderId="2" applyAlignment="1" pivotButton="0" quotePrefix="0" xfId="1">
      <alignment vertical="center"/>
    </xf>
    <xf numFmtId="165" fontId="61" fillId="0" borderId="52" applyAlignment="1" pivotButton="0" quotePrefix="0" xfId="0">
      <alignment horizontal="center" vertical="center" wrapText="1"/>
    </xf>
    <xf numFmtId="165" fontId="98" fillId="67" borderId="56" applyAlignment="1" pivotButton="0" quotePrefix="0" xfId="0">
      <alignment horizontal="center" vertical="center" wrapText="1"/>
    </xf>
    <xf numFmtId="170" fontId="99" fillId="58" borderId="2" applyAlignment="1" pivotButton="0" quotePrefix="0" xfId="0">
      <alignment vertical="center"/>
    </xf>
    <xf numFmtId="165" fontId="61" fillId="64" borderId="56" applyAlignment="1" pivotButton="0" quotePrefix="0" xfId="0">
      <alignment horizontal="center" vertical="center" wrapText="1"/>
    </xf>
    <xf numFmtId="165" fontId="61" fillId="0" borderId="56" applyAlignment="1" pivotButton="0" quotePrefix="0" xfId="0">
      <alignment horizontal="center" vertical="center" wrapText="1"/>
    </xf>
    <xf numFmtId="43" fontId="61" fillId="5" borderId="2" applyAlignment="1" pivotButton="0" quotePrefix="0" xfId="1">
      <alignment vertical="top" wrapText="1"/>
    </xf>
    <xf numFmtId="0" fontId="61" fillId="5" borderId="2" applyAlignment="1" pivotButton="0" quotePrefix="0" xfId="0">
      <alignment horizontal="left" vertical="top" wrapText="1"/>
    </xf>
    <xf numFmtId="174" fontId="61" fillId="5" borderId="2" applyAlignment="1" pivotButton="0" quotePrefix="0" xfId="1">
      <alignment vertical="top" wrapText="1"/>
    </xf>
    <xf numFmtId="171" fontId="99" fillId="58" borderId="56" applyAlignment="1" pivotButton="0" quotePrefix="0" xfId="0">
      <alignment horizontal="center" vertical="center"/>
    </xf>
    <xf numFmtId="171" fontId="61" fillId="0" borderId="52" applyAlignment="1" pivotButton="0" quotePrefix="0" xfId="0">
      <alignment horizontal="center" vertical="center"/>
    </xf>
    <xf numFmtId="174" fontId="61" fillId="43" borderId="2" applyAlignment="1" pivotButton="0" quotePrefix="0" xfId="1">
      <alignment horizontal="center" vertical="center"/>
    </xf>
    <xf numFmtId="170" fontId="125" fillId="49" borderId="2" pivotButton="0" quotePrefix="0" xfId="179"/>
    <xf numFmtId="170" fontId="81" fillId="0" borderId="2" applyAlignment="1" pivotButton="0" quotePrefix="0" xfId="180">
      <alignment horizontal="center" vertical="center"/>
    </xf>
    <xf numFmtId="0" fontId="6" fillId="56" borderId="56" applyAlignment="1" pivotButton="0" quotePrefix="0" xfId="0">
      <alignment horizontal="center" vertical="center" wrapText="1"/>
    </xf>
    <xf numFmtId="170" fontId="108" fillId="58" borderId="55" applyAlignment="1" pivotButton="0" quotePrefix="0" xfId="0">
      <alignment vertical="center"/>
    </xf>
    <xf numFmtId="170" fontId="8" fillId="0" borderId="56" applyAlignment="1" pivotButton="0" quotePrefix="0" xfId="0">
      <alignment horizontal="center"/>
    </xf>
    <xf numFmtId="43" fontId="61" fillId="0" borderId="56" applyAlignment="1" pivotButton="0" quotePrefix="0" xfId="1">
      <alignment vertical="center"/>
    </xf>
    <xf numFmtId="171" fontId="61" fillId="0" borderId="0" pivotButton="0" quotePrefix="0" xfId="0"/>
    <xf numFmtId="170" fontId="108" fillId="58" borderId="56" applyAlignment="1" pivotButton="0" quotePrefix="0" xfId="0">
      <alignment horizontal="center" vertical="center"/>
    </xf>
    <xf numFmtId="170" fontId="108" fillId="68" borderId="56" applyAlignment="1" pivotButton="0" quotePrefix="0" xfId="0">
      <alignment horizontal="center"/>
    </xf>
    <xf numFmtId="43" fontId="61" fillId="0" borderId="56" applyAlignment="1" pivotButton="0" quotePrefix="0" xfId="1">
      <alignment vertical="center" wrapText="1"/>
    </xf>
    <xf numFmtId="43" fontId="61" fillId="63" borderId="56" applyAlignment="1" pivotButton="0" quotePrefix="0" xfId="1">
      <alignment vertical="center"/>
    </xf>
    <xf numFmtId="43" fontId="61" fillId="59" borderId="56" applyAlignment="1" pivotButton="0" quotePrefix="0" xfId="1">
      <alignment vertical="center"/>
    </xf>
    <xf numFmtId="0" fontId="6" fillId="71" borderId="56" applyAlignment="1" pivotButton="0" quotePrefix="0" xfId="0">
      <alignment horizontal="center" vertical="center"/>
    </xf>
    <xf numFmtId="0" fontId="6" fillId="72" borderId="56" applyAlignment="1" pivotButton="0" quotePrefix="0" xfId="0">
      <alignment horizontal="center" vertical="center" wrapText="1"/>
    </xf>
    <xf numFmtId="171" fontId="61" fillId="0" borderId="56" pivotButton="0" quotePrefix="0" xfId="0"/>
    <xf numFmtId="43" fontId="61" fillId="0" borderId="56" applyAlignment="1" pivotButton="0" quotePrefix="0" xfId="1">
      <alignment horizontal="left" vertical="center"/>
    </xf>
    <xf numFmtId="171" fontId="61" fillId="62" borderId="2" pivotButton="0" quotePrefix="0" xfId="0"/>
    <xf numFmtId="171" fontId="61" fillId="0" borderId="2" pivotButton="0" quotePrefix="0" xfId="0"/>
    <xf numFmtId="171" fontId="61" fillId="15" borderId="56" applyAlignment="1" pivotButton="0" quotePrefix="0" xfId="0">
      <alignment horizontal="center" vertical="center"/>
    </xf>
    <xf numFmtId="171" fontId="61" fillId="15" borderId="56" pivotButton="0" quotePrefix="0" xfId="0"/>
    <xf numFmtId="171" fontId="99" fillId="58" borderId="56" applyAlignment="1" pivotButton="0" quotePrefix="0" xfId="0">
      <alignment vertical="center"/>
    </xf>
    <xf numFmtId="171" fontId="61" fillId="0" borderId="56" applyAlignment="1" pivotButton="0" quotePrefix="0" xfId="0">
      <alignment horizontal="center"/>
    </xf>
    <xf numFmtId="43" fontId="99" fillId="80" borderId="2" applyAlignment="1" pivotButton="0" quotePrefix="0" xfId="1">
      <alignment vertical="center" wrapText="1"/>
    </xf>
    <xf numFmtId="43" fontId="125" fillId="0" borderId="2" applyAlignment="1" pivotButton="0" quotePrefix="0" xfId="0">
      <alignment horizontal="left" vertical="center" wrapText="1"/>
    </xf>
    <xf numFmtId="43" fontId="61" fillId="0" borderId="2" applyAlignment="1" pivotButton="0" quotePrefix="0" xfId="1">
      <alignment horizontal="center" vertical="center" wrapText="1"/>
    </xf>
    <xf numFmtId="43" fontId="99" fillId="80" borderId="2" applyAlignment="1" pivotButton="0" quotePrefix="0" xfId="1">
      <alignment horizontal="left" vertical="center" wrapText="1"/>
    </xf>
    <xf numFmtId="43" fontId="61" fillId="79" borderId="2" applyAlignment="1" pivotButton="0" quotePrefix="0" xfId="1">
      <alignment horizontal="center" vertical="center"/>
    </xf>
    <xf numFmtId="43" fontId="136" fillId="15" borderId="2" pivotButton="0" quotePrefix="0" xfId="1"/>
    <xf numFmtId="0" fontId="61" fillId="61" borderId="73" applyAlignment="1" pivotButton="0" quotePrefix="0" xfId="0">
      <alignment horizontal="center" vertical="center" wrapText="1"/>
    </xf>
    <xf numFmtId="43" fontId="99" fillId="80" borderId="7" applyAlignment="1" pivotButton="0" quotePrefix="0" xfId="0">
      <alignment horizontal="center" vertical="center" wrapText="1"/>
    </xf>
    <xf numFmtId="43" fontId="6" fillId="45" borderId="2" applyAlignment="1" pivotButton="0" quotePrefix="0" xfId="1">
      <alignment horizontal="center" vertical="center"/>
    </xf>
    <xf numFmtId="43" fontId="61" fillId="45" borderId="2" applyAlignment="1" pivotButton="0" quotePrefix="0" xfId="1">
      <alignment horizontal="center" vertical="center"/>
    </xf>
    <xf numFmtId="43" fontId="61" fillId="0" borderId="2" applyAlignment="1" pivotButton="0" quotePrefix="0" xfId="0">
      <alignment horizontal="center" vertical="center"/>
    </xf>
    <xf numFmtId="43" fontId="61" fillId="45" borderId="2" applyAlignment="1" pivotButton="0" quotePrefix="0" xfId="1">
      <alignment horizontal="right" vertical="center"/>
    </xf>
    <xf numFmtId="43" fontId="61" fillId="0" borderId="2" applyAlignment="1" pivotButton="0" quotePrefix="0" xfId="0">
      <alignment vertical="center"/>
    </xf>
    <xf numFmtId="43" fontId="94" fillId="0" borderId="2" applyAlignment="1" pivotButton="0" quotePrefix="0" xfId="1">
      <alignment horizontal="right" vertical="center"/>
    </xf>
    <xf numFmtId="0" fontId="6" fillId="72" borderId="88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4" pivotButton="0" quotePrefix="0" xfId="0"/>
    <xf numFmtId="0" fontId="0" fillId="0" borderId="65" pivotButton="0" quotePrefix="0" xfId="0"/>
    <xf numFmtId="170" fontId="99" fillId="58" borderId="0" applyAlignment="1" pivotButton="0" quotePrefix="0" xfId="0">
      <alignment vertical="center"/>
    </xf>
    <xf numFmtId="174" fontId="61" fillId="0" borderId="2" applyAlignment="1" pivotButton="0" quotePrefix="0" xfId="1">
      <alignment vertical="center"/>
    </xf>
    <xf numFmtId="43" fontId="61" fillId="0" borderId="2" pivotButton="0" quotePrefix="0" xfId="1"/>
    <xf numFmtId="170" fontId="61" fillId="0" borderId="2" pivotButton="0" quotePrefix="0" xfId="0"/>
    <xf numFmtId="174" fontId="61" fillId="0" borderId="2" pivotButton="0" quotePrefix="0" xfId="1"/>
    <xf numFmtId="175" fontId="61" fillId="0" borderId="2" applyAlignment="1" pivotButton="0" quotePrefix="0" xfId="1">
      <alignment horizontal="right" vertical="center"/>
    </xf>
    <xf numFmtId="43" fontId="61" fillId="0" borderId="2" applyAlignment="1" pivotButton="0" quotePrefix="0" xfId="1">
      <alignment horizontal="right" vertical="center"/>
    </xf>
    <xf numFmtId="174" fontId="61" fillId="0" borderId="2" applyAlignment="1" pivotButton="0" quotePrefix="0" xfId="1">
      <alignment horizontal="right" vertical="center"/>
    </xf>
    <xf numFmtId="0" fontId="111" fillId="56" borderId="56" applyAlignment="1" pivotButton="0" quotePrefix="0" xfId="0">
      <alignment horizontal="center" vertical="center" wrapText="1"/>
    </xf>
    <xf numFmtId="0" fontId="106" fillId="56" borderId="56" applyAlignment="1" pivotButton="0" quotePrefix="0" xfId="0">
      <alignment horizontal="center" vertical="center" wrapText="1"/>
    </xf>
    <xf numFmtId="43" fontId="61" fillId="0" borderId="0" pivotButton="0" quotePrefix="0" xfId="1"/>
    <xf numFmtId="43" fontId="61" fillId="0" borderId="2" applyAlignment="1" pivotButton="0" quotePrefix="0" xfId="1">
      <alignment horizontal="left" vertical="center"/>
    </xf>
    <xf numFmtId="43" fontId="61" fillId="0" borderId="0" applyAlignment="1" pivotButton="0" quotePrefix="0" xfId="1">
      <alignment horizontal="left" vertical="center"/>
    </xf>
    <xf numFmtId="43" fontId="61" fillId="0" borderId="0" applyAlignment="1" pivotButton="0" quotePrefix="0" xfId="1">
      <alignment vertical="center"/>
    </xf>
    <xf numFmtId="176" fontId="99" fillId="77" borderId="2" applyAlignment="1" pivotButton="0" quotePrefix="0" xfId="0">
      <alignment horizontal="center" vertical="center"/>
    </xf>
    <xf numFmtId="165" fontId="61" fillId="59" borderId="2" applyAlignment="1" pivotButton="0" quotePrefix="0" xfId="1">
      <alignment horizontal="center" vertical="center"/>
    </xf>
    <xf numFmtId="170" fontId="99" fillId="77" borderId="2" applyAlignment="1" pivotButton="0" quotePrefix="0" xfId="0">
      <alignment horizontal="center" vertical="center"/>
    </xf>
    <xf numFmtId="43" fontId="61" fillId="59" borderId="55" applyAlignment="1" pivotButton="0" quotePrefix="0" xfId="1">
      <alignment horizontal="center" vertical="center"/>
    </xf>
    <xf numFmtId="171" fontId="61" fillId="59" borderId="55" applyAlignment="1" pivotButton="0" quotePrefix="0" xfId="0">
      <alignment horizontal="center" vertical="center"/>
    </xf>
    <xf numFmtId="171" fontId="61" fillId="59" borderId="0" applyAlignment="1" pivotButton="0" quotePrefix="0" xfId="0">
      <alignment vertical="center"/>
    </xf>
    <xf numFmtId="171" fontId="61" fillId="59" borderId="56" applyAlignment="1" pivotButton="0" quotePrefix="0" xfId="0">
      <alignment horizontal="center" vertical="center"/>
    </xf>
    <xf numFmtId="171" fontId="61" fillId="59" borderId="56" applyAlignment="1" pivotButton="0" quotePrefix="0" xfId="0">
      <alignment vertical="center"/>
    </xf>
    <xf numFmtId="0" fontId="7" fillId="61" borderId="2" applyAlignment="1" pivotButton="0" quotePrefix="0" xfId="0">
      <alignment horizontal="center" vertical="center"/>
    </xf>
    <xf numFmtId="43" fontId="99" fillId="68" borderId="2" applyAlignment="1" pivotButton="0" quotePrefix="0" xfId="0">
      <alignment vertical="center"/>
    </xf>
    <xf numFmtId="43" fontId="99" fillId="80" borderId="2" pivotButton="0" quotePrefix="0" xfId="1"/>
    <xf numFmtId="172" fontId="61" fillId="0" borderId="2" applyAlignment="1" pivotButton="0" quotePrefix="0" xfId="0">
      <alignment horizontal="center"/>
    </xf>
    <xf numFmtId="172" fontId="61" fillId="0" borderId="2" applyAlignment="1" pivotButton="0" quotePrefix="0" xfId="0">
      <alignment horizontal="center" vertical="center"/>
    </xf>
    <xf numFmtId="170" fontId="99" fillId="95" borderId="2" applyAlignment="1" pivotButton="0" quotePrefix="0" xfId="32">
      <alignment horizontal="right" vertical="center" wrapText="1"/>
    </xf>
    <xf numFmtId="43" fontId="99" fillId="95" borderId="2" applyAlignment="1" pivotButton="0" quotePrefix="0" xfId="1">
      <alignment horizontal="center" vertical="center" wrapText="1"/>
    </xf>
    <xf numFmtId="170" fontId="0" fillId="0" borderId="0" pivotButton="0" quotePrefix="0" xfId="0"/>
    <xf numFmtId="43" fontId="96" fillId="91" borderId="2" pivotButton="0" quotePrefix="0" xfId="0"/>
    <xf numFmtId="43" fontId="96" fillId="91" borderId="2" applyAlignment="1" pivotButton="0" quotePrefix="0" xfId="0">
      <alignment horizontal="right"/>
    </xf>
    <xf numFmtId="43" fontId="96" fillId="91" borderId="2" applyAlignment="1" pivotButton="0" quotePrefix="0" xfId="1">
      <alignment horizontal="center"/>
    </xf>
    <xf numFmtId="43" fontId="61" fillId="98" borderId="2" applyAlignment="1" pivotButton="0" quotePrefix="0" xfId="1">
      <alignment horizontal="center" vertical="center"/>
    </xf>
    <xf numFmtId="43" fontId="61" fillId="98" borderId="2" applyAlignment="1" pivotButton="0" quotePrefix="0" xfId="0">
      <alignment vertical="center"/>
    </xf>
    <xf numFmtId="43" fontId="0" fillId="43" borderId="2" pivotButton="0" quotePrefix="0" xfId="1"/>
    <xf numFmtId="43" fontId="96" fillId="92" borderId="2" pivotButton="0" quotePrefix="0" xfId="0"/>
    <xf numFmtId="43" fontId="96" fillId="92" borderId="2" applyAlignment="1" pivotButton="0" quotePrefix="0" xfId="0">
      <alignment horizontal="right"/>
    </xf>
    <xf numFmtId="43" fontId="96" fillId="92" borderId="2" applyAlignment="1" pivotButton="0" quotePrefix="0" xfId="1">
      <alignment horizontal="center"/>
    </xf>
    <xf numFmtId="43" fontId="61" fillId="91" borderId="2" applyAlignment="1" pivotButton="0" quotePrefix="0" xfId="0">
      <alignment vertical="center"/>
    </xf>
    <xf numFmtId="43" fontId="61" fillId="91" borderId="2" applyAlignment="1" pivotButton="0" quotePrefix="0" xfId="0">
      <alignment horizontal="right"/>
    </xf>
    <xf numFmtId="43" fontId="61" fillId="92" borderId="2" applyAlignment="1" pivotButton="0" quotePrefix="0" xfId="0">
      <alignment vertical="center"/>
    </xf>
    <xf numFmtId="43" fontId="61" fillId="92" borderId="2" applyAlignment="1" pivotButton="0" quotePrefix="0" xfId="0">
      <alignment horizontal="right"/>
    </xf>
    <xf numFmtId="43" fontId="61" fillId="92" borderId="2" applyAlignment="1" pivotButton="0" quotePrefix="0" xfId="1">
      <alignment horizontal="center" vertical="center"/>
    </xf>
    <xf numFmtId="43" fontId="61" fillId="91" borderId="2" applyAlignment="1" pivotButton="0" quotePrefix="0" xfId="1">
      <alignment horizontal="center" vertical="center"/>
    </xf>
    <xf numFmtId="43" fontId="61" fillId="91" borderId="2" applyAlignment="1" pivotButton="0" quotePrefix="0" xfId="1">
      <alignment horizontal="center"/>
    </xf>
    <xf numFmtId="43" fontId="61" fillId="92" borderId="2" applyAlignment="1" pivotButton="0" quotePrefix="0" xfId="1">
      <alignment horizontal="center"/>
    </xf>
    <xf numFmtId="43" fontId="8" fillId="91" borderId="2" applyAlignment="1" pivotButton="0" quotePrefix="0" xfId="0">
      <alignment horizontal="right"/>
    </xf>
    <xf numFmtId="43" fontId="8" fillId="91" borderId="2" applyAlignment="1" pivotButton="0" quotePrefix="0" xfId="1">
      <alignment horizontal="center" vertical="center"/>
    </xf>
    <xf numFmtId="43" fontId="8" fillId="98" borderId="2" applyAlignment="1" pivotButton="0" quotePrefix="0" xfId="1">
      <alignment horizontal="center" vertical="center"/>
    </xf>
    <xf numFmtId="43" fontId="8" fillId="98" borderId="2" applyAlignment="1" pivotButton="0" quotePrefix="0" xfId="0">
      <alignment vertical="center"/>
    </xf>
    <xf numFmtId="43" fontId="127" fillId="43" borderId="2" pivotButton="0" quotePrefix="0" xfId="1"/>
    <xf numFmtId="43" fontId="61" fillId="0" borderId="2" applyAlignment="1" pivotButton="0" quotePrefix="0" xfId="0">
      <alignment horizontal="right"/>
    </xf>
    <xf numFmtId="43" fontId="61" fillId="59" borderId="2" applyAlignment="1" pivotButton="0" quotePrefix="0" xfId="0">
      <alignment horizontal="right"/>
    </xf>
    <xf numFmtId="43" fontId="61" fillId="59" borderId="2" applyAlignment="1" pivotButton="0" quotePrefix="0" xfId="1">
      <alignment horizontal="center" vertical="center"/>
    </xf>
    <xf numFmtId="43" fontId="61" fillId="93" borderId="2" applyAlignment="1" pivotButton="0" quotePrefix="0" xfId="1">
      <alignment horizontal="center" vertical="center"/>
    </xf>
    <xf numFmtId="43" fontId="61" fillId="93" borderId="2" applyAlignment="1" pivotButton="0" quotePrefix="0" xfId="1">
      <alignment horizontal="center"/>
    </xf>
    <xf numFmtId="43" fontId="61" fillId="93" borderId="2" applyAlignment="1" pivotButton="0" quotePrefix="0" xfId="0">
      <alignment horizontal="right"/>
    </xf>
    <xf numFmtId="43" fontId="61" fillId="92" borderId="0" pivotButton="0" quotePrefix="0" xfId="0"/>
    <xf numFmtId="43" fontId="0" fillId="0" borderId="0" pivotButton="0" quotePrefix="0" xfId="0"/>
    <xf numFmtId="43" fontId="98" fillId="95" borderId="2" applyAlignment="1" pivotButton="0" quotePrefix="0" xfId="1">
      <alignment horizontal="center" vertical="center" wrapText="1"/>
    </xf>
    <xf numFmtId="43" fontId="96" fillId="91" borderId="0" pivotButton="0" quotePrefix="0" xfId="0"/>
    <xf numFmtId="43" fontId="96" fillId="91" borderId="0" applyAlignment="1" pivotButton="0" quotePrefix="0" xfId="1">
      <alignment horizontal="right"/>
    </xf>
    <xf numFmtId="43" fontId="96" fillId="91" borderId="0" applyAlignment="1" pivotButton="0" quotePrefix="0" xfId="1">
      <alignment horizontal="center"/>
    </xf>
    <xf numFmtId="43" fontId="61" fillId="91" borderId="0" applyAlignment="1" pivotButton="0" quotePrefix="0" xfId="0">
      <alignment vertical="center"/>
    </xf>
    <xf numFmtId="43" fontId="96" fillId="92" borderId="0" pivotButton="0" quotePrefix="0" xfId="0"/>
    <xf numFmtId="43" fontId="96" fillId="92" borderId="0" applyAlignment="1" pivotButton="0" quotePrefix="0" xfId="1">
      <alignment horizontal="right"/>
    </xf>
    <xf numFmtId="43" fontId="96" fillId="92" borderId="0" applyAlignment="1" pivotButton="0" quotePrefix="0" xfId="1">
      <alignment horizontal="center"/>
    </xf>
    <xf numFmtId="43" fontId="61" fillId="91" borderId="0" applyAlignment="1" pivotButton="0" quotePrefix="0" xfId="1">
      <alignment horizontal="right"/>
    </xf>
    <xf numFmtId="43" fontId="61" fillId="92" borderId="0" applyAlignment="1" pivotButton="0" quotePrefix="0" xfId="0">
      <alignment vertical="center"/>
    </xf>
    <xf numFmtId="43" fontId="61" fillId="92" borderId="0" applyAlignment="1" pivotButton="0" quotePrefix="0" xfId="1">
      <alignment horizontal="right"/>
    </xf>
    <xf numFmtId="43" fontId="61" fillId="92" borderId="0" applyAlignment="1" pivotButton="0" quotePrefix="0" xfId="1">
      <alignment horizontal="center" vertical="center"/>
    </xf>
    <xf numFmtId="43" fontId="61" fillId="91" borderId="0" applyAlignment="1" pivotButton="0" quotePrefix="0" xfId="1">
      <alignment horizontal="center" vertical="center"/>
    </xf>
    <xf numFmtId="43" fontId="61" fillId="91" borderId="0" applyAlignment="1" pivotButton="0" quotePrefix="0" xfId="1">
      <alignment horizontal="center"/>
    </xf>
    <xf numFmtId="43" fontId="61" fillId="92" borderId="0" applyAlignment="1" pivotButton="0" quotePrefix="0" xfId="1">
      <alignment horizontal="center"/>
    </xf>
    <xf numFmtId="43" fontId="61" fillId="0" borderId="0" applyAlignment="1" pivotButton="0" quotePrefix="0" xfId="1">
      <alignment horizontal="right"/>
    </xf>
    <xf numFmtId="43" fontId="61" fillId="0" borderId="0" applyAlignment="1" pivotButton="0" quotePrefix="0" xfId="1">
      <alignment horizontal="center" vertical="center"/>
    </xf>
    <xf numFmtId="43" fontId="61" fillId="59" borderId="0" applyAlignment="1" pivotButton="0" quotePrefix="0" xfId="1">
      <alignment horizontal="right"/>
    </xf>
    <xf numFmtId="43" fontId="61" fillId="59" borderId="0" applyAlignment="1" pivotButton="0" quotePrefix="0" xfId="1">
      <alignment horizontal="center" vertical="center"/>
    </xf>
    <xf numFmtId="43" fontId="61" fillId="93" borderId="0" applyAlignment="1" pivotButton="0" quotePrefix="0" xfId="1">
      <alignment horizontal="right"/>
    </xf>
    <xf numFmtId="43" fontId="61" fillId="93" borderId="0" applyAlignment="1" pivotButton="0" quotePrefix="0" xfId="1">
      <alignment horizontal="center" vertical="center"/>
    </xf>
    <xf numFmtId="43" fontId="96" fillId="93" borderId="0" applyAlignment="1" pivotButton="0" quotePrefix="0" xfId="1">
      <alignment horizontal="right"/>
    </xf>
    <xf numFmtId="43" fontId="61" fillId="93" borderId="0" applyAlignment="1" pivotButton="0" quotePrefix="0" xfId="1">
      <alignment horizontal="center"/>
    </xf>
    <xf numFmtId="43" fontId="61" fillId="94" borderId="0" applyAlignment="1" pivotButton="0" quotePrefix="0" xfId="1">
      <alignment horizontal="right"/>
    </xf>
  </cellXfs>
  <cellStyles count="196">
    <cellStyle name="Normal" xfId="0" builtinId="0"/>
    <cellStyle name="Comma" xfId="1" builtinId="3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10" xfId="29"/>
    <cellStyle name="Comma 2" xfId="30"/>
    <cellStyle name="Comma 2 2" xfId="31"/>
    <cellStyle name="Comma 2 2 2" xfId="32"/>
    <cellStyle name="Comma 2 2 3" xfId="33"/>
    <cellStyle name="Comma 2 3" xfId="34"/>
    <cellStyle name="Comma 3" xfId="35"/>
    <cellStyle name="Comma 3 2" xfId="36"/>
    <cellStyle name="Comma 4" xfId="37"/>
    <cellStyle name="Comma 4 2" xfId="38"/>
    <cellStyle name="Comma 5" xfId="39"/>
    <cellStyle name="Comma 5 2" xfId="40"/>
    <cellStyle name="Comma 6" xfId="41"/>
    <cellStyle name="Comma 6 2" xfId="42"/>
    <cellStyle name="Comma 6 3" xfId="43"/>
    <cellStyle name="Comma 6 4" xfId="44"/>
    <cellStyle name="Comma 6 5" xfId="45"/>
    <cellStyle name="Comma 7" xfId="46"/>
    <cellStyle name="Comma 7 2" xfId="47"/>
    <cellStyle name="Comma 7 3" xfId="48"/>
    <cellStyle name="Comma 8" xfId="49"/>
    <cellStyle name="Comma 9" xfId="50"/>
    <cellStyle name="Comma 9 2" xfId="51"/>
    <cellStyle name="Cover" xfId="52"/>
    <cellStyle name="Euro" xfId="53"/>
    <cellStyle name="Explanatory Text 2" xfId="54"/>
    <cellStyle name="Good 2" xfId="55"/>
    <cellStyle name="Heading 1 2" xfId="56"/>
    <cellStyle name="Heading 2 2" xfId="57"/>
    <cellStyle name="Heading 3 2" xfId="58"/>
    <cellStyle name="Heading 4 2" xfId="59"/>
    <cellStyle name="Hyperlink 2" xfId="60"/>
    <cellStyle name="Hyperlink 3" xfId="61"/>
    <cellStyle name="Input 2" xfId="62"/>
    <cellStyle name="Input 3" xfId="63"/>
    <cellStyle name="Linked Cell 2" xfId="64"/>
    <cellStyle name="Menu" xfId="65"/>
    <cellStyle name="Neutral 2" xfId="66"/>
    <cellStyle name="Norm੎੎" xfId="67"/>
    <cellStyle name="Normal 10" xfId="68"/>
    <cellStyle name="Normal 17" xfId="69"/>
    <cellStyle name="Normal 2" xfId="70"/>
    <cellStyle name="Normal 2 2" xfId="71"/>
    <cellStyle name="Normal 2 2 2" xfId="72"/>
    <cellStyle name="Normal 2 2 3" xfId="73"/>
    <cellStyle name="Normal 2 2 4" xfId="74"/>
    <cellStyle name="Normal 2 3" xfId="75"/>
    <cellStyle name="Normal 3" xfId="76"/>
    <cellStyle name="Normal 3 2" xfId="77"/>
    <cellStyle name="Normal 4" xfId="78"/>
    <cellStyle name="Normal 4 2" xfId="79"/>
    <cellStyle name="Normal 4 2 2" xfId="80"/>
    <cellStyle name="Normal 5" xfId="81"/>
    <cellStyle name="Normal 5 2" xfId="82"/>
    <cellStyle name="Normal 5 3" xfId="83"/>
    <cellStyle name="Normal 6" xfId="84"/>
    <cellStyle name="Normal 7" xfId="85"/>
    <cellStyle name="Normal 7 2" xfId="86"/>
    <cellStyle name="Normal 8" xfId="87"/>
    <cellStyle name="Normal 8 2" xfId="88"/>
    <cellStyle name="Normal 8 3" xfId="89"/>
    <cellStyle name="Normal 9" xfId="90"/>
    <cellStyle name="Normal 9 2" xfId="91"/>
    <cellStyle name="Note 2" xfId="92"/>
    <cellStyle name="Output 2" xfId="93"/>
    <cellStyle name="Percent 2" xfId="94"/>
    <cellStyle name="SAPBEXaggData" xfId="95"/>
    <cellStyle name="SAPBEXaggItem" xfId="96"/>
    <cellStyle name="SAPBEXchaText" xfId="97"/>
    <cellStyle name="SAPBEXformats" xfId="98"/>
    <cellStyle name="SAPBEXstdData" xfId="99"/>
    <cellStyle name="SAPBEXstdItem" xfId="100"/>
    <cellStyle name="Standard_Fueltypes" xfId="101"/>
    <cellStyle name="Title 2" xfId="102"/>
    <cellStyle name="Total 2" xfId="103"/>
    <cellStyle name="Warning Text 2" xfId="104"/>
    <cellStyle name="Year" xfId="105"/>
    <cellStyle name="เครื่องหมายจุลภาค 2" xfId="106"/>
    <cellStyle name="เครื่องหมายจุลภาค 3" xfId="107"/>
    <cellStyle name="เครื่องหมายจุลภาค 4" xfId="108"/>
    <cellStyle name="เครื่องหมายจุลภาค 5" xfId="109"/>
    <cellStyle name="ปกติ 10" xfId="110"/>
    <cellStyle name="ปกติ 11" xfId="111"/>
    <cellStyle name="ปกติ 12" xfId="112"/>
    <cellStyle name="ปกติ 13" xfId="113"/>
    <cellStyle name="ปกติ 2" xfId="114"/>
    <cellStyle name="ปกติ 2 2" xfId="115"/>
    <cellStyle name="ปกติ 3" xfId="116"/>
    <cellStyle name="ปกติ 4" xfId="117"/>
    <cellStyle name="ปกติ 5" xfId="118"/>
    <cellStyle name="ปกติ 6" xfId="119"/>
    <cellStyle name="ปกติ 7" xfId="120"/>
    <cellStyle name="ปกติ 8" xfId="121"/>
    <cellStyle name="ปกติ 9" xfId="122"/>
    <cellStyle name="ป้อนค่า" xfId="123"/>
    <cellStyle name="桁区切り [0.00]_Person" xfId="124"/>
    <cellStyle name="桁区切り_Person" xfId="125"/>
    <cellStyle name="標準_Book2 グラフ 2" xfId="126"/>
    <cellStyle name="通貨 [0.00]_Book2 グラフ 2" xfId="127"/>
    <cellStyle name="通貨_Book2 グラフ 2" xfId="128"/>
    <cellStyle name="comma zerodec" xfId="129"/>
    <cellStyle name="Currency1" xfId="130"/>
    <cellStyle name="Dollar (zero dec)" xfId="131"/>
    <cellStyle name="Grey" xfId="132"/>
    <cellStyle name="Header" xfId="133"/>
    <cellStyle name="Heading1" xfId="134"/>
    <cellStyle name="Input [yellow]" xfId="135"/>
    <cellStyle name="Milliers [0]_Req_Data" xfId="136"/>
    <cellStyle name="Milliers_Req_Data" xfId="137"/>
    <cellStyle name="Monétaire [0]_Req_Data" xfId="138"/>
    <cellStyle name="Monétaire_Req_Data" xfId="139"/>
    <cellStyle name="no dec" xfId="140"/>
    <cellStyle name="Normal - Style1" xfId="141"/>
    <cellStyle name="Normale_Cartel2" xfId="142"/>
    <cellStyle name="Percent [2]" xfId="143"/>
    <cellStyle name="Quantity" xfId="144"/>
    <cellStyle name="Subtotal" xfId="145"/>
    <cellStyle name="Valuta_PERSONAL" xfId="146"/>
    <cellStyle name="เครื่องหมายจุลภาค 2 2" xfId="147"/>
    <cellStyle name="เครื่องหมายจุลภาค 3 2" xfId="148"/>
    <cellStyle name="เครื่องหมายจุลภาค 3 2 2" xfId="149"/>
    <cellStyle name="เครื่องหมายจุลภาค 3 2 2 2" xfId="150"/>
    <cellStyle name="เปอร์เซ็นต์ 2" xfId="151"/>
    <cellStyle name="เปอร์เซ็นต์ 2 2" xfId="152"/>
    <cellStyle name="เปอร์เซ็นต์ 2 3" xfId="153"/>
    <cellStyle name="เปอร์เซ็นต์ 2 3 2" xfId="154"/>
    <cellStyle name="เปอร์เซ็นต์ 2 3 2 2" xfId="155"/>
    <cellStyle name="เปอร์เซ็นต์ 3" xfId="156"/>
    <cellStyle name="ปกติ 5 2" xfId="157"/>
    <cellStyle name="ปกติ 5 2 2" xfId="158"/>
    <cellStyle name="ปกติ 5 2 2 2" xfId="159"/>
    <cellStyle name="Normal 11" xfId="160"/>
    <cellStyle name="Normal 12" xfId="161"/>
    <cellStyle name="Normal 13" xfId="162"/>
    <cellStyle name="Normal 14" xfId="163"/>
    <cellStyle name="Normal 15" xfId="164"/>
    <cellStyle name="Normal 16" xfId="165"/>
    <cellStyle name="Normal 18" xfId="166"/>
    <cellStyle name="Normal 19" xfId="167"/>
    <cellStyle name="Normal 20" xfId="168"/>
    <cellStyle name="Normal 21" xfId="169"/>
    <cellStyle name="Normal 22" xfId="170"/>
    <cellStyle name="Normal 23" xfId="171"/>
    <cellStyle name="Normal 24" xfId="172"/>
    <cellStyle name="Normal 25" xfId="173"/>
    <cellStyle name="Normal 26" xfId="174"/>
    <cellStyle name="Normal 27" xfId="175"/>
    <cellStyle name="Hyperlink" xfId="176" builtinId="8"/>
    <cellStyle name="Percent" xfId="177" builtinId="5"/>
    <cellStyle name="เครื่องหมายจุลภาค 2 2 2" xfId="178"/>
    <cellStyle name="Normal 29" xfId="179"/>
    <cellStyle name="Comma 11" xfId="180"/>
    <cellStyle name="Normal 28" xfId="181"/>
    <cellStyle name="Percent 3" xfId="182"/>
    <cellStyle name="Normal 30 2" xfId="183"/>
    <cellStyle name="Normal 30" xfId="184"/>
    <cellStyle name="Normal 31" xfId="185"/>
    <cellStyle name="Normal 32" xfId="186"/>
    <cellStyle name="Normal 33" xfId="187"/>
    <cellStyle name="Normal 34" xfId="188"/>
    <cellStyle name="Normal 35" xfId="189"/>
    <cellStyle name="Normal 36" xfId="190"/>
    <cellStyle name="Normal 37" xfId="191"/>
    <cellStyle name="Normal 38" xfId="192"/>
    <cellStyle name="Normal 39" xfId="193"/>
    <cellStyle name="Comma 2 2 4" xfId="194"/>
    <cellStyle name="Normal 3 3" xfId="195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externalLink" Target="/xl/externalLinks/externalLink1.xml" Id="rId33" /><Relationship Type="http://schemas.openxmlformats.org/officeDocument/2006/relationships/externalLink" Target="/xl/externalLinks/externalLink2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th-TH" sz="1050"/>
            </a:pPr>
            <a:r>
              <a:rPr lang="en-US" sz="1050"/>
              <a:t>tonCO2-eq</a:t>
            </a:r>
          </a:p>
        </rich>
      </tx>
      <layout>
        <manualLayout>
          <xMode val="edge"/>
          <yMode val="edge"/>
          <wMode val="factor"/>
          <hMode val="factor"/>
          <x val="0.06343620173574983"/>
          <y val="0.03063062918206577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1398722486474399"/>
          <y val="0.1276276215919405"/>
          <w val="0.8225775410498791"/>
          <h val="0.7451704502059334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bg1">
                <a:lumMod val="75000"/>
              </a:schemeClr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lang="th-TH"/>
                </a:pPr>
                <a:r>
                  <a:t/>
                </a:r>
                <a:endParaRPr lang="th-T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'Fr-05'!$B$10:$B$13</f>
              <strCache>
                <ptCount val="4"/>
                <pt idx="0">
                  <v>ประเภท 1</v>
                </pt>
                <pt idx="1">
                  <v>ประเภท 2</v>
                </pt>
                <pt idx="2">
                  <v>ประเภท 3</v>
                </pt>
                <pt idx="3">
                  <v>อื่น ๆ</v>
                </pt>
              </strCache>
            </strRef>
          </cat>
          <val>
            <numRef>
              <f>'Fr-05'!$C$10:$C$13</f>
              <numCache>
                <formatCode>_(* #,##0.00_);_(* \(#,##0.00\);_(* "-"??_);_(@_)</formatCode>
                <ptCount val="4"/>
                <pt idx="0">
                  <v>154</v>
                </pt>
                <pt idx="1">
                  <v>6436</v>
                </pt>
                <pt idx="2">
                  <v>24053</v>
                </pt>
                <pt idx="3">
                  <v>186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0746752"/>
        <axId val="100748288"/>
      </barChart>
      <catAx>
        <axId val="10074675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100748288"/>
        <crosses val="autoZero"/>
        <auto val="1"/>
        <lblAlgn val="ctr"/>
        <lblOffset val="100"/>
        <noMultiLvlLbl val="0"/>
      </catAx>
      <valAx>
        <axId val="100748288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10074675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rich>
      </tx>
      <layout>
        <manualLayout>
          <xMode val="edge"/>
          <yMode val="edge"/>
          <wMode val="factor"/>
          <hMode val="factor"/>
          <x val="0.06343620173574983"/>
          <y val="0.03063062918206577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1398722486474399"/>
          <y val="0.1276276215919405"/>
          <w val="0.8225775410498791"/>
          <h val="0.7451704502059334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bg1">
                <a:lumMod val="75000"/>
              </a:schemeClr>
            </a:solidFill>
            <a:ln>
              <a:prstDash val="solid"/>
            </a:ln>
          </spPr>
          <invertIfNegative val="0"/>
          <dLbls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th-TH" sz="900"/>
                  </a:pPr>
                  <a:r>
                    <a:t/>
                  </a:r>
                  <a:endParaRPr lang="th-TH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lang="th-TH"/>
                </a:pPr>
                <a:r>
                  <a:t/>
                </a:r>
                <a:endParaRPr lang="th-T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'Fr-05'!$B$10:$B$13</f>
              <strCache>
                <ptCount val="4"/>
                <pt idx="0">
                  <v>ประเภท 1</v>
                </pt>
                <pt idx="1">
                  <v>ประเภท 2</v>
                </pt>
                <pt idx="2">
                  <v>ประเภท 3</v>
                </pt>
                <pt idx="3">
                  <v>อื่น ๆ</v>
                </pt>
              </strCache>
            </strRef>
          </cat>
          <val>
            <numRef>
              <f>'Fr-05'!$C$10:$C$13</f>
              <numCache>
                <formatCode>_(* #,##0.00_);_(* \(#,##0.00\);_(* "-"??_);_(@_)</formatCode>
                <ptCount val="4"/>
                <pt idx="0">
                  <v>154</v>
                </pt>
                <pt idx="1">
                  <v>6436</v>
                </pt>
                <pt idx="2">
                  <v>24053</v>
                </pt>
                <pt idx="3">
                  <v>186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9011072"/>
        <axId val="129307776"/>
      </barChart>
      <catAx>
        <axId val="12901107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129307776"/>
        <crosses val="autoZero"/>
        <auto val="1"/>
        <lblAlgn val="ctr"/>
        <lblOffset val="100"/>
        <noMultiLvlLbl val="0"/>
      </catAx>
      <valAx>
        <axId val="129307776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129011072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rich>
      </tx>
      <layout>
        <manualLayout>
          <xMode val="edge"/>
          <yMode val="edge"/>
          <wMode val="factor"/>
          <hMode val="factor"/>
          <x val="0.06343620173574983"/>
          <y val="0.03063062918206577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1398722486474399"/>
          <y val="0.1276276215919405"/>
          <w val="0.8225775410498791"/>
          <h val="0.6390572977685757"/>
        </manualLayout>
      </layout>
      <barChart>
        <barDir val="col"/>
        <grouping val="clustered"/>
        <varyColors val="0"/>
        <ser>
          <idx val="0"/>
          <order val="0"/>
          <tx>
            <v>ปีฐาน</v>
          </tx>
          <spPr>
            <a:ln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lang="th-TH" sz="700"/>
                </a:pPr>
                <a:r>
                  <a:t/>
                </a:r>
                <a:endParaRPr lang="th-T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'Fr-05'!$B$26:$B$29</f>
              <strCache>
                <ptCount val="4"/>
                <pt idx="0">
                  <v>ประเภท 1</v>
                </pt>
                <pt idx="1">
                  <v>ประเภท 2</v>
                </pt>
                <pt idx="2">
                  <v>ประเภท 3</v>
                </pt>
                <pt idx="3">
                  <v>อื่น ๆ</v>
                </pt>
              </strCache>
            </strRef>
          </cat>
          <val>
            <numRef>
              <f>'Fr-05'!$C$26:$C$29</f>
              <numCache>
                <formatCode>_(* #,##0.00_);_(* \(#,##0.00\);_(* "-"??_);_(@_)</formatCode>
                <ptCount val="4"/>
                <pt idx="0">
                  <v>154</v>
                </pt>
                <pt idx="1">
                  <v>6436</v>
                </pt>
                <pt idx="2">
                  <v>24053</v>
                </pt>
                <pt idx="3">
                  <v>186</v>
                </pt>
              </numCache>
            </numRef>
          </val>
        </ser>
        <ser>
          <idx val="1"/>
          <order val="1"/>
          <tx>
            <v>ปีปัจจุบัน</v>
          </tx>
          <spPr>
            <a:solidFill>
              <a:schemeClr val="bg1">
                <a:lumMod val="75000"/>
              </a:schemeClr>
            </a:solidFill>
            <a:ln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lang="th-TH" sz="700"/>
                </a:pPr>
                <a:r>
                  <a:t/>
                </a:r>
                <a:endParaRPr lang="th-T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'Fr-05'!$B$26:$B$29</f>
              <strCache>
                <ptCount val="4"/>
                <pt idx="0">
                  <v>ประเภท 1</v>
                </pt>
                <pt idx="1">
                  <v>ประเภท 2</v>
                </pt>
                <pt idx="2">
                  <v>ประเภท 3</v>
                </pt>
                <pt idx="3">
                  <v>อื่น ๆ</v>
                </pt>
              </strCache>
            </strRef>
          </cat>
          <val>
            <numRef>
              <f>'Fr-05'!$C$10:$C$13</f>
              <numCache>
                <formatCode>_(* #,##0.00_);_(* \(#,##0.00\);_(* "-"??_);_(@_)</formatCode>
                <ptCount val="4"/>
                <pt idx="0">
                  <v>154</v>
                </pt>
                <pt idx="1">
                  <v>6436</v>
                </pt>
                <pt idx="2">
                  <v>24053</v>
                </pt>
                <pt idx="3">
                  <v>186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3601664"/>
        <axId val="83611648"/>
      </barChart>
      <catAx>
        <axId val="8360166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83611648"/>
        <crosses val="autoZero"/>
        <auto val="1"/>
        <lblAlgn val="ctr"/>
        <lblOffset val="100"/>
        <noMultiLvlLbl val="0"/>
      </catAx>
      <valAx>
        <axId val="83611648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txPr>
          <a:bodyPr/>
          <a:lstStyle/>
          <a:p>
            <a:pPr>
              <a:defRPr lang="th-TH"/>
            </a:pPr>
            <a:r>
              <a:t/>
            </a:r>
            <a:endParaRPr lang="th-TH"/>
          </a:p>
        </txPr>
        <crossAx val="83601664"/>
        <crosses val="autoZero"/>
        <crossBetween val="between"/>
      </valAx>
    </plotArea>
    <legend>
      <legendPos val="b"/>
      <overlay val="0"/>
      <txPr>
        <a:bodyPr/>
        <a:lstStyle/>
        <a:p>
          <a:pPr>
            <a:defRPr lang="th-TH"/>
          </a:pPr>
          <a:r>
            <a:t/>
          </a:r>
          <a:endParaRPr lang="th-TH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Lenovo</author>
  </authors>
  <commentList>
    <comment ref="C12" authorId="0" shapeId="0">
      <text>
        <t>Lenovo:
การได้มา</t>
      </text>
    </comment>
    <comment ref="E14" authorId="0" shapeId="0">
      <text>
        <t>Lenovo:
อ้างอิง 
Diesel Density = 830 kg/m3
http://webserver.dmt.upm.es/~isidoro/bk3/c15/Fuel%20properties.pdf</t>
      </text>
    </comment>
    <comment ref="E18" authorId="0" shapeId="0">
      <text>
        <t>Lenovo:
อ้างอิง 
Diesel Density = 830 kg/m3
http://webserver.dmt.upm.es/~isidoro/bk3/c15/Fuel%20properties.pdf</t>
      </text>
    </comment>
    <comment ref="E19" authorId="0" shapeId="0">
      <text>
        <t>Lenovo:
อ้างอิง 
Gasoline Density = 750 kg/m3
http://webserver.dmt.upm.es/~isidoro/bk3/c15/Fuel%20properties.pdf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C34" authorId="0" shapeId="0">
      <text>
        <t>Lenovo:
- 3.78541-เปลี่ยนหน่วย Gallon to L
- 0.88 kg/L density of biodiesel</t>
      </text>
    </comment>
    <comment ref="C35" authorId="0" shapeId="0">
      <text>
        <t>Lenovo:
- 0.79 kg/L density of ethanol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H2" authorId="0" shapeId="0">
      <text>
        <t>Lenovo:
Density of biodiesel = 0.87 kg/L</t>
      </text>
    </comment>
    <comment ref="K2" authorId="0" shapeId="0">
      <text>
        <t>Lenovo:
Density of ethanol = 0.79 kg/L</t>
      </text>
    </comment>
  </commentList>
</comments>
</file>

<file path=xl/comments/comment4.xml><?xml version="1.0" encoding="utf-8"?>
<comments xmlns="http://schemas.openxmlformats.org/spreadsheetml/2006/main">
  <authors>
    <author>Lenovo</author>
  </authors>
  <commentList>
    <comment ref="H3" authorId="0" shapeId="0">
      <text>
        <t>Lenovo:
Density of biodiesel = 0.87 kg/L</t>
      </text>
    </comment>
    <comment ref="K3" authorId="0" shapeId="0">
      <text>
        <t>Lenovo:
Density of ethanol = 0.79 kg/L</t>
      </text>
    </comment>
  </commentList>
</comments>
</file>

<file path=xl/comments/comment5.xml><?xml version="1.0" encoding="utf-8"?>
<comments xmlns="http://schemas.openxmlformats.org/spreadsheetml/2006/main">
  <authors>
    <author>Lenovo</author>
  </authors>
  <commentList>
    <comment ref="P4" authorId="0" shapeId="0">
      <text>
        <t>Lenovo:
ส่งซ่อม บริษัทภายนอก - Chiller</t>
      </text>
    </comment>
    <comment ref="H6" authorId="0" shapeId="0">
      <text>
        <t>Lenovo:
รื้อถอน + ติดตั้ง</t>
      </text>
    </comment>
    <comment ref="M6" authorId="0" shapeId="0">
      <text>
        <t>Lenovo:
รื้อถอน + ติดตั้ง</t>
      </text>
    </comment>
  </commentList>
</comments>
</file>

<file path=xl/comments/comment6.xml><?xml version="1.0" encoding="utf-8"?>
<comments xmlns="http://schemas.openxmlformats.org/spreadsheetml/2006/main">
  <authors>
    <author>Lenovo</author>
  </authors>
  <commentList>
    <comment ref="B36" authorId="0" shapeId="0">
      <text>
        <t>Lenovo:
รปภ LCB + รปภ โกดัง 1  + รปภ กทม</t>
      </text>
    </comment>
    <comment ref="B42" authorId="0" shapeId="0">
      <text>
        <t>Lenovo:
รปภ LCB + รปภ โกดัง 2  + รปภ กทม</t>
      </text>
    </comment>
  </commentList>
</comments>
</file>

<file path=xl/comments/comment7.xml><?xml version="1.0" encoding="utf-8"?>
<comments xmlns="http://schemas.openxmlformats.org/spreadsheetml/2006/main">
  <authors>
    <author>Lenovo</author>
  </authors>
  <commentList>
    <comment ref="Q3" authorId="0" shapeId="0">
      <text>
        <t>Lenovo:
EF การใช้ปุ๋ย</t>
      </text>
    </comment>
    <comment ref="Q4" authorId="0" shapeId="0">
      <text>
        <t>Lenovo:
EF การได้มา</t>
      </text>
    </comment>
  </commentList>
</comments>
</file>

<file path=xl/comments/comment8.xml><?xml version="1.0" encoding="utf-8"?>
<comments xmlns="http://schemas.openxmlformats.org/spreadsheetml/2006/main">
  <authors>
    <author>Lenovo</author>
  </authors>
  <commentList>
    <comment ref="A33" authorId="0" shapeId="0">
      <text>
        <t>Lenovo:
เม็ดพลาสติกชีวภาพ</t>
      </text>
    </comment>
    <comment ref="A34" authorId="0" shapeId="0">
      <text>
        <t>Lenovo:
Post-Consumer Recycled Plastic เม็ดพลาสติก Recycle</t>
      </text>
    </comment>
    <comment ref="A60" authorId="0" shapeId="0">
      <text>
        <t>Lenovo:
เม็ดพลาสติกชีวภาพ</t>
      </text>
    </comment>
    <comment ref="A62" authorId="0" shapeId="0">
      <text>
        <t>Lenovo:
Post-Consumer Recycled Plastic เม็ดพลาสติก Recycle</t>
      </text>
    </comment>
  </commentList>
</comments>
</file>

<file path=xl/comments/comment9.xml><?xml version="1.0" encoding="utf-8"?>
<comments xmlns="http://schemas.openxmlformats.org/spreadsheetml/2006/main">
  <authors>
    <author>Lenovo</author>
    <author>None</author>
  </authors>
  <commentList>
    <comment ref="I2" authorId="0" shapeId="0">
      <text>
        <t>Lenovo:
รถตู้บรรทุก 10 ล้อ วิ่งปกติ น้ำหนักบรรทุกสูงสุด 16 ตัน</t>
      </text>
    </comment>
    <comment ref="K2" authorId="0" shapeId="0">
      <text>
        <t>Lenovo:
รถตู้บรรทุก 6 ล้อ ขนาดใหญ่ วิ่งปกติ น้ำหนักบรรทุกสูงสุด 11 ตัน</t>
      </text>
    </comment>
    <comment ref="M2" authorId="0" shapeId="0">
      <text>
        <t>Lenovo:
รถตู้บรรทุก 4 ล้อ วิ่งแบบปกติ น้ำหนักบรรทุกสูงสุด 7 ตัน</t>
      </text>
    </comment>
    <comment ref="E24" authorId="1" shapeId="0">
      <text>
        <t>======
ID#AAABJ0iCz8A
Lenovo    (2024-04-09 06:28:29)
เช่น บรรทุกของเต็มคันรถ ภาระบรรทุก = 100 % 
บรรทุกของครึ่งคันรถ ภาระบรรทุก = 50 %</t>
      </text>
    </comment>
    <comment ref="H61" authorId="1" shapeId="0">
      <text>
        <t>======
ID#AAABJ0iCz8M
Lenovo    (2024-04-09 06:28:29)
เช่น บรรทุกของเต็มคันรถ ภาระบรรทุก = 100 % 
บรรทุกของครึ่งคันรถ ภาระบรรทุก = 50 %</t>
      </text>
    </comment>
  </commentList>
</comments>
</file>

<file path=xl/comments/comment10.xml><?xml version="1.0" encoding="utf-8"?>
<comments xmlns="http://schemas.openxmlformats.org/spreadsheetml/2006/main">
  <authors>
    <author>Lenovo</author>
  </authors>
  <commentList>
    <comment ref="F21" authorId="0" shapeId="0">
      <text>
        <t>Lenovo:
รถกระบะบรรทุก 10 ล้อ วิ่งปกติ น้ำหนักสูงสุด 16 ตัน</t>
      </text>
    </comment>
    <comment ref="H21" authorId="0" shapeId="0">
      <text>
        <t>Lenovo:
รถกระบะบรรทุกขนาดเล็ก 4 ล้อ วิ่ง แบบปกติ น้ำหนักบรรทุกสูงสุด 7 ตัน</t>
      </text>
    </comment>
    <comment ref="J21" authorId="0" shapeId="0">
      <text>
        <t>Lenovo:
รถบรรทุกขยะ 6 ล้อ วิ่งปกติ น้ำหนักบรรทุกสูงสุด 11 ตัน</t>
      </text>
    </comment>
    <comment ref="D24" authorId="0" shapeId="0">
      <text>
        <t>Lenovo:
ตามสมมติฐาน อบก</t>
      </text>
    </comment>
  </commentList>
</comments>
</file>

<file path=xl/comments/comment11.xml><?xml version="1.0" encoding="utf-8"?>
<comments xmlns="http://schemas.openxmlformats.org/spreadsheetml/2006/main">
  <authors>
    <author>None</author>
    <author>Lenovo</author>
  </authors>
  <commentList>
    <comment ref="O2" authorId="0" shapeId="0">
      <text>
        <t>======
ID#AAABOMv-4ys
Lenovo    (2024-06-25 03:56:50)
เช่น บรรทุกของเต็มคันรถ ภาระบรรทุก = 100 % 
บรรทุกของครึ่งคันรถ ภาระบรรทุก = 50 %</t>
      </text>
    </comment>
    <comment ref="P3" authorId="1" shapeId="0">
      <text>
        <t>Lenovo:
น้ำหนักบรรทุกสูงสุด 32 ton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O1" authorId="0" shapeId="0">
      <text>
        <t>======
ID#AAABOMv-4ys
Lenovo    (2024-06-25 03:56:50)
เช่น บรรทุกของเต็มคันรถ ภาระบรรทุก = 100 % 
บรรทุกของครึ่งคันรถ ภาระบรรทุก = 50 %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156883</colOff>
      <row>49</row>
      <rowOff>179294</rowOff>
    </from>
    <to>
      <col>9</col>
      <colOff>504264</colOff>
      <row>63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66676</colOff>
      <row>5</row>
      <rowOff>9525</rowOff>
    </from>
    <to>
      <col>9</col>
      <colOff>542926</colOff>
      <row>14</row>
      <rowOff>276225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47626</colOff>
      <row>22</row>
      <rowOff>47625</rowOff>
    </from>
    <to>
      <col>9</col>
      <colOff>523876</colOff>
      <row>31</row>
      <rowOff>19050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toran\Downloads\Compressed\V%20sheet%20MBAX-TGO-11102567%20-%20Demo1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SEEN\GET%20solution\CFO-MBAX\Draft\GET_Multibax-CF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r-01"/>
      <sheetName val="Fr-02"/>
      <sheetName val="Fr-03.1"/>
      <sheetName val="Fr-03.2"/>
      <sheetName val="Screen scope 3"/>
      <sheetName val="Fr-04.1"/>
      <sheetName val="Fr-04.2"/>
      <sheetName val="Fr-05"/>
      <sheetName val="EF TGO AR4"/>
      <sheetName val="EF TGO AR5"/>
      <sheetName val="EF (1)"/>
      <sheetName val="บันทึกการปรับปรุง"/>
      <sheetName val="1.1 Stationary "/>
      <sheetName val="1.2 Mobile"/>
      <sheetName val="1.4 Fugitive Emission"/>
      <sheetName val="1.4.1 สารทำความเย็น"/>
      <sheetName val="1.4.2 สารดับเพลิง"/>
      <sheetName val="1.4.3 Septic tank"/>
      <sheetName val="1.4.4 ปุ๋ย"/>
      <sheetName val="1.4.5 ระบบบำบัดน้ำเสีย WWTP"/>
      <sheetName val="Scope 2.1 Purchased Electricity"/>
      <sheetName val="Scope 3.1.1 วัตถุดิบผลิต"/>
      <sheetName val="Scope 3.1.2 น้ำประปา"/>
      <sheetName val="Scope 3.1.3 กระดาษ A4"/>
      <sheetName val="Scope 3.1.4 จ้างเหมารถพนักงาน"/>
      <sheetName val="Scope 3.4"/>
      <sheetName val="Scope 3.5"/>
      <sheetName val="Scope 3.7"/>
      <sheetName val="Scope 3.9"/>
      <sheetName val="Scope 3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9">
          <cell r="H59">
            <v>1300</v>
          </cell>
        </row>
        <row r="61">
          <cell r="H61">
            <v>4800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เอกสารทั่วไป"/>
      <sheetName val="1.1 stationary"/>
      <sheetName val="1.2 Mobile"/>
      <sheetName val="1.3 Air_Dryer_Cooling "/>
      <sheetName val="1.4 Air _เครื่องปรับอากาศ"/>
      <sheetName val="1.5 ตู้เย็น ตู้กดน้ำ"/>
      <sheetName val="1.4 ถังดับเพลิง"/>
      <sheetName val="1.4 Septic"/>
      <sheetName val="1.4 ปุ๋ย"/>
      <sheetName val="Scope2"/>
      <sheetName val="Scope 3"/>
      <sheetName val="CAT 1-วัตถุดิบผลิต"/>
      <sheetName val="CAT 1 -กระดาษ"/>
      <sheetName val="CAT 1-น้ำประปา"/>
      <sheetName val="CAT2"/>
      <sheetName val="CAT4"/>
      <sheetName val="CAT5"/>
      <sheetName val="CAT7"/>
      <sheetName val="CAT9"/>
      <sheetName val="CA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F16">
            <v>298</v>
          </cell>
        </row>
        <row r="34">
          <cell r="F34">
            <v>247</v>
          </cell>
        </row>
      </sheetData>
      <sheetData sheetId="8"/>
      <sheetData sheetId="9"/>
      <sheetData sheetId="10"/>
      <sheetData sheetId="11">
        <row r="5">
          <cell r="F5">
            <v>1262250</v>
          </cell>
        </row>
        <row r="6">
          <cell r="F6">
            <v>2625000</v>
          </cell>
        </row>
        <row r="8">
          <cell r="F8">
            <v>1559250</v>
          </cell>
        </row>
        <row r="9">
          <cell r="F9">
            <v>2103750</v>
          </cell>
        </row>
        <row r="10">
          <cell r="F10">
            <v>60000</v>
          </cell>
        </row>
        <row r="11">
          <cell r="F11">
            <v>30000</v>
          </cell>
        </row>
        <row r="13">
          <cell r="F13">
            <v>74250</v>
          </cell>
        </row>
        <row r="14">
          <cell r="F14">
            <v>795000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id="1" name="tblScope11Stationary" displayName="tblScope11Stationary" ref="A1:W201" headerRowCount="1">
  <autoFilter ref="A1:W201"/>
  <tableColumns count="23">
    <tableColumn id="1" name="RowId"/>
    <tableColumn id="2" name="ItemLabel"/>
    <tableColumn id="3" name="FuelType"/>
    <tableColumn id="4" name="Evidence"/>
    <tableColumn id="5" name="Unit"/>
    <tableColumn id="6" name="M1"/>
    <tableColumn id="7" name="M2"/>
    <tableColumn id="8" name="M3"/>
    <tableColumn id="9" name="M4"/>
    <tableColumn id="10" name="M5"/>
    <tableColumn id="11" name="M6"/>
    <tableColumn id="12" name="M7"/>
    <tableColumn id="13" name="M8"/>
    <tableColumn id="14" name="M9"/>
    <tableColumn id="15" name="M10"/>
    <tableColumn id="16" name="M11"/>
    <tableColumn id="17" name="M12"/>
    <tableColumn id="18" name="OtherDieselPct"/>
    <tableColumn id="19" name="OtherBiodieselPct"/>
    <tableColumn id="20" name="OtherGasolinePct"/>
    <tableColumn id="21" name="OtherEthanolPct"/>
    <tableColumn id="22" name="OtherBiodieselDensityKgPerL"/>
    <tableColumn id="23" name="OtherEthanolDensityKgPe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FuelBlendRegistry" displayName="tblFuelBlendRegistry" ref="A1:G8" headerRowCount="1">
  <autoFilter ref="A1:G8"/>
  <tableColumns count="7">
    <tableColumn id="1" name="FuelType"/>
    <tableColumn id="2" name="DieselPct"/>
    <tableColumn id="3" name="BiodieselPct"/>
    <tableColumn id="4" name="GasolinePct"/>
    <tableColumn id="5" name="EthanolPct"/>
    <tableColumn id="6" name="BiodieselDensityKgPerL"/>
    <tableColumn id="7" name="EthanolDensityKgPe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://thaicarbonlabel.tgo.or.th/products_emission/products_emission.pnc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hgprotocol.org/sites/default/files/ghgp/Global-Warming-Potential-Values%20%28Feb%2016%202016%29_1.pdf" TargetMode="External" Id="rId1" /><Relationship Type="http://schemas.openxmlformats.org/officeDocument/2006/relationships/hyperlink" Target="https://www.ipcc-nggip.iges.or.jp/public/2006gl/pdf/2_Volume2/V2_1_Ch1_Introduction.pdf" TargetMode="External" Id="rId2" /><Relationship Type="http://schemas.openxmlformats.org/officeDocument/2006/relationships/hyperlink" Target="https://www.ipcc-nggip.iges.or.jp/public/2006gl/pdf/2_Volume2/V2_2_Ch2_Stationary_Combustion.pdf" TargetMode="External" Id="rId3" /><Relationship Type="http://schemas.openxmlformats.org/officeDocument/2006/relationships/hyperlink" Target="https://www.ipcc-nggip.iges.or.jp/public/2006gl/pdf/2_Volume2/V2_3_Ch3_Mobile_Combustion.pdf" TargetMode="External" Id="rId4" /><Relationship Type="http://schemas.openxmlformats.org/officeDocument/2006/relationships/hyperlink" Target="https://www.epa.gov/system/files/documents/2024-02/ghg-emission-factors-hub-2024.pdf" TargetMode="External" Id="rId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8.xml.rels><Relationships xmlns="http://schemas.openxmlformats.org/package/2006/relationships"><Relationship Type="http://schemas.openxmlformats.org/officeDocument/2006/relationships/hyperlink" Target="http://1-380003.pdf/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topLeftCell="A19" zoomScale="74" zoomScaleNormal="74" workbookViewId="0">
      <selection activeCell="M33" sqref="M33"/>
    </sheetView>
  </sheetViews>
  <sheetFormatPr baseColWidth="8" defaultRowHeight="13.8"/>
  <cols>
    <col width="10.09765625" bestFit="1" customWidth="1" min="2" max="2"/>
    <col width="16.296875" customWidth="1" min="3" max="4"/>
    <col width="2.59765625" customWidth="1" min="5" max="5"/>
    <col width="6.8984375" customWidth="1" min="6" max="6"/>
    <col width="9.09765625" customWidth="1" min="7" max="7"/>
    <col width="15.296875" customWidth="1" min="8" max="8"/>
    <col width="23.3984375" customWidth="1" min="9" max="9"/>
    <col width="10.8984375" customWidth="1" min="10" max="10"/>
  </cols>
  <sheetData>
    <row r="1" ht="18.75" customFormat="1" customHeight="1" s="225">
      <c r="A1" s="1407" t="n"/>
      <c r="B1" s="1408" t="inlineStr">
        <is>
          <t>รายละเอียดขององค์กร</t>
        </is>
      </c>
      <c r="C1" s="1409" t="n"/>
      <c r="D1" s="1409" t="n"/>
      <c r="E1" s="1409" t="n"/>
      <c r="F1" s="1409" t="n"/>
      <c r="G1" s="1409" t="n"/>
      <c r="H1" s="1410" t="n"/>
      <c r="I1" s="1411" t="inlineStr">
        <is>
          <t>TCFO_R_01
Version 04 : 21/2/2020</t>
        </is>
      </c>
      <c r="J1" s="1410" t="n"/>
      <c r="K1" s="116" t="n"/>
    </row>
    <row r="2" ht="18.75" customFormat="1" customHeight="1" s="225">
      <c r="A2" s="1412" t="n"/>
      <c r="B2" s="1413" t="n"/>
      <c r="C2" s="1414" t="n"/>
      <c r="D2" s="1414" t="n"/>
      <c r="E2" s="1414" t="n"/>
      <c r="F2" s="1414" t="n"/>
      <c r="G2" s="1414" t="n"/>
      <c r="H2" s="830" t="n"/>
      <c r="I2" s="1413" t="n"/>
      <c r="J2" s="830" t="n"/>
      <c r="K2" s="115" t="n"/>
    </row>
    <row r="3" ht="18.75" customFormat="1" customHeight="1" s="225">
      <c r="A3" s="1412" t="n"/>
      <c r="B3" s="217" t="inlineStr">
        <is>
          <t>ชื่อฟอร์ม</t>
        </is>
      </c>
      <c r="C3" s="951" t="inlineStr">
        <is>
          <t>บัญชีรายการก๊าซเรือนกระจก</t>
        </is>
      </c>
      <c r="D3" s="1415" t="n"/>
      <c r="E3" s="218" t="inlineStr">
        <is>
          <t>องค์กร</t>
        </is>
      </c>
      <c r="F3" s="1416" t="n"/>
      <c r="G3" s="951">
        <f>B6</f>
        <v/>
      </c>
      <c r="H3" s="1415" t="n"/>
      <c r="I3" s="218" t="inlineStr">
        <is>
          <t xml:space="preserve">หน้าที่ </t>
        </is>
      </c>
      <c r="J3" s="219" t="n">
        <v>1</v>
      </c>
      <c r="K3" s="995" t="n"/>
    </row>
    <row r="4" ht="18.75" customFormat="1" customHeight="1" s="225">
      <c r="A4" s="1417" t="n"/>
      <c r="B4" s="217" t="inlineStr">
        <is>
          <t>รหัสฟอร์ม</t>
        </is>
      </c>
      <c r="C4" s="951" t="inlineStr">
        <is>
          <t>Fr-01</t>
        </is>
      </c>
      <c r="D4" s="1415" t="n"/>
      <c r="E4" s="218" t="inlineStr">
        <is>
          <t>ผู้จัดทำ</t>
        </is>
      </c>
      <c r="F4" s="1416" t="n"/>
      <c r="G4" s="951" t="inlineStr">
        <is>
          <t>บริษัท อีโค เซ็นทริก คอร์ปอเรชั่น จำกัด</t>
        </is>
      </c>
      <c r="H4" s="1415" t="n"/>
      <c r="I4" s="218" t="inlineStr">
        <is>
          <t>วันที่จัดทำ</t>
        </is>
      </c>
      <c r="J4" s="812" t="n">
        <v>243820</v>
      </c>
      <c r="K4" s="995" t="n"/>
    </row>
    <row r="5" ht="18.75" customHeight="1">
      <c r="A5" s="118" t="n"/>
      <c r="B5" s="189" t="n"/>
      <c r="C5" s="189" t="n"/>
      <c r="D5" s="189" t="n"/>
      <c r="E5" s="189" t="n"/>
      <c r="F5" s="189" t="n"/>
      <c r="G5" s="189" t="n"/>
      <c r="H5" s="189" t="n"/>
      <c r="I5" s="189" t="n"/>
      <c r="J5" s="119" t="n"/>
      <c r="K5" s="116" t="n"/>
    </row>
    <row r="6">
      <c r="A6" s="120" t="n"/>
      <c r="B6" s="1418" t="inlineStr">
        <is>
          <t>บริษัท มัลติแบกซ์ จำกัด (มหาชน)</t>
        </is>
      </c>
      <c r="C6" s="1415" t="n"/>
      <c r="D6" s="1415" t="n"/>
      <c r="E6" s="1415" t="n"/>
      <c r="F6" s="1415" t="n"/>
      <c r="G6" s="1415" t="n"/>
      <c r="H6" s="1415" t="n"/>
      <c r="I6" s="1416" t="n"/>
      <c r="J6" s="121" t="n"/>
      <c r="K6" s="115" t="n"/>
    </row>
    <row r="7">
      <c r="A7" s="118" t="n"/>
      <c r="B7" s="189" t="n"/>
      <c r="C7" s="189" t="n"/>
      <c r="D7" s="189" t="n"/>
      <c r="E7" s="189" t="n"/>
      <c r="F7" s="189" t="n"/>
      <c r="G7" s="189" t="n"/>
      <c r="H7" s="189" t="n"/>
      <c r="I7" s="189" t="n"/>
      <c r="J7" s="119" t="n"/>
      <c r="K7" s="995" t="n"/>
    </row>
    <row r="8" ht="12" customHeight="1">
      <c r="A8" s="1418" t="inlineStr">
        <is>
          <t>รูปขององค์กร</t>
        </is>
      </c>
      <c r="B8" s="1409" t="n"/>
      <c r="C8" s="1409" t="n"/>
      <c r="D8" s="1410" t="n"/>
      <c r="E8" s="984" t="n"/>
      <c r="F8" s="962" t="inlineStr">
        <is>
          <t xml:space="preserve">ขอบเขตขององค์กร </t>
        </is>
      </c>
      <c r="G8" s="1415" t="n"/>
      <c r="H8" s="1415" t="n"/>
      <c r="I8" s="1415" t="n"/>
      <c r="J8" s="1416" t="n"/>
      <c r="K8" s="995" t="n"/>
    </row>
    <row r="9" ht="18" customHeight="1">
      <c r="A9" s="1419" t="n"/>
      <c r="D9" s="1420" t="n"/>
      <c r="E9" s="1421" t="n"/>
      <c r="F9" s="962" t="inlineStr">
        <is>
          <t xml:space="preserve">ประเภท 1 </t>
        </is>
      </c>
      <c r="G9" s="1410" t="n"/>
      <c r="H9" s="1422">
        <f>'Fr-04.1'!B10</f>
        <v/>
      </c>
      <c r="I9" s="1415" t="n"/>
      <c r="J9" s="1416" t="n"/>
      <c r="K9" s="995" t="n"/>
    </row>
    <row r="10" ht="18" customHeight="1">
      <c r="A10" s="1419" t="n"/>
      <c r="D10" s="1420" t="n"/>
      <c r="E10" s="1421" t="n"/>
      <c r="F10" s="1419" t="n"/>
      <c r="G10" s="1420" t="n"/>
      <c r="H10" s="1423">
        <f>'Fr-04.1'!B11</f>
        <v/>
      </c>
      <c r="I10" s="1415" t="n"/>
      <c r="J10" s="1416" t="n"/>
      <c r="K10" s="995" t="n"/>
    </row>
    <row r="11" ht="18" customHeight="1">
      <c r="A11" s="1419" t="n"/>
      <c r="D11" s="1420" t="n"/>
      <c r="E11" s="1421" t="n"/>
      <c r="F11" s="1419" t="n"/>
      <c r="G11" s="1420" t="n"/>
      <c r="H11" s="1423">
        <f>'Fr-04.1'!B12</f>
        <v/>
      </c>
      <c r="I11" s="1415" t="n"/>
      <c r="J11" s="1416" t="n"/>
      <c r="K11" s="995" t="n"/>
    </row>
    <row r="12" ht="18" customHeight="1">
      <c r="A12" s="1419" t="n"/>
      <c r="D12" s="1420" t="n"/>
      <c r="E12" s="1421" t="n"/>
      <c r="F12" s="1419" t="n"/>
      <c r="G12" s="1420" t="n"/>
      <c r="H12" s="1423">
        <f>'Fr-04.1'!B13</f>
        <v/>
      </c>
      <c r="I12" s="1415" t="n"/>
      <c r="J12" s="1416" t="n"/>
      <c r="K12" s="995" t="n"/>
    </row>
    <row r="13" ht="18" customHeight="1">
      <c r="A13" s="1419" t="n"/>
      <c r="D13" s="1420" t="n"/>
      <c r="E13" s="1421" t="n"/>
      <c r="F13" s="1419" t="n"/>
      <c r="G13" s="1420" t="n"/>
      <c r="H13" s="1423">
        <f>'Fr-04.1'!B14</f>
        <v/>
      </c>
      <c r="I13" s="1415" t="n"/>
      <c r="J13" s="1416" t="n"/>
      <c r="K13" s="995" t="n"/>
    </row>
    <row r="14" ht="18" customHeight="1">
      <c r="A14" s="1419" t="n"/>
      <c r="D14" s="1420" t="n"/>
      <c r="E14" s="1421" t="n"/>
      <c r="F14" s="1419" t="n"/>
      <c r="G14" s="1420" t="n"/>
      <c r="H14" s="1423">
        <f>'Fr-04.1'!B15</f>
        <v/>
      </c>
      <c r="I14" s="1415" t="n"/>
      <c r="J14" s="1416" t="n"/>
      <c r="K14" s="995" t="n"/>
    </row>
    <row r="15" ht="18" customHeight="1">
      <c r="A15" s="1419" t="n"/>
      <c r="D15" s="1420" t="n"/>
      <c r="E15" s="1421" t="n"/>
      <c r="F15" s="1419" t="n"/>
      <c r="G15" s="1420" t="n"/>
      <c r="H15" s="1422">
        <f>'Fr-04.1'!B16</f>
        <v/>
      </c>
      <c r="I15" s="1415" t="n"/>
      <c r="J15" s="1416" t="n"/>
      <c r="K15" s="995" t="n"/>
    </row>
    <row r="16" ht="18" customHeight="1">
      <c r="A16" s="1419" t="n"/>
      <c r="D16" s="1420" t="n"/>
      <c r="E16" s="1421" t="n"/>
      <c r="F16" s="1419" t="n"/>
      <c r="G16" s="1420" t="n"/>
      <c r="H16" s="1423">
        <f>'Fr-04.1'!B17</f>
        <v/>
      </c>
      <c r="I16" s="1415" t="n"/>
      <c r="J16" s="1416" t="n"/>
      <c r="K16" s="995" t="n"/>
    </row>
    <row r="17" ht="18" customHeight="1">
      <c r="A17" s="1419" t="n"/>
      <c r="D17" s="1420" t="n"/>
      <c r="E17" s="1421" t="n"/>
      <c r="F17" s="1419" t="n"/>
      <c r="G17" s="1420" t="n"/>
      <c r="H17" s="1423">
        <f>'Fr-04.1'!B19</f>
        <v/>
      </c>
      <c r="I17" s="1415" t="n"/>
      <c r="J17" s="1416" t="n"/>
      <c r="K17" s="995" t="n"/>
    </row>
    <row r="18" ht="18" customHeight="1">
      <c r="A18" s="1419" t="n"/>
      <c r="D18" s="1420" t="n"/>
      <c r="E18" s="1421" t="n"/>
      <c r="F18" s="1419" t="n"/>
      <c r="G18" s="1420" t="n"/>
      <c r="H18" s="1423">
        <f>'Fr-04.1'!B21</f>
        <v/>
      </c>
      <c r="I18" s="1415" t="n"/>
      <c r="J18" s="1416" t="n"/>
      <c r="K18" s="995" t="n"/>
    </row>
    <row r="19" ht="18" customHeight="1">
      <c r="A19" s="1419" t="n"/>
      <c r="D19" s="1420" t="n"/>
      <c r="E19" s="1421" t="n"/>
      <c r="F19" s="1419" t="n"/>
      <c r="G19" s="1420" t="n"/>
      <c r="H19" s="1423">
        <f>'Fr-04.1'!B22</f>
        <v/>
      </c>
      <c r="I19" s="1415" t="n"/>
      <c r="J19" s="1416" t="n"/>
      <c r="K19" s="995" t="n"/>
    </row>
    <row r="20" ht="18" customHeight="1">
      <c r="A20" s="1419" t="n"/>
      <c r="D20" s="1420" t="n"/>
      <c r="E20" s="1421" t="n"/>
      <c r="F20" s="1419" t="n"/>
      <c r="G20" s="1420" t="n"/>
      <c r="H20" s="1423">
        <f>'Fr-04.1'!B24</f>
        <v/>
      </c>
      <c r="I20" s="1415" t="n"/>
      <c r="J20" s="1416" t="n"/>
      <c r="K20" s="995" t="n"/>
    </row>
    <row r="21" ht="18" customHeight="1">
      <c r="A21" s="1419" t="n"/>
      <c r="D21" s="1420" t="n"/>
      <c r="E21" s="1421" t="n"/>
      <c r="F21" s="1419" t="n"/>
      <c r="G21" s="1420" t="n"/>
      <c r="H21" s="1422">
        <f>'Fr-04.1'!B25</f>
        <v/>
      </c>
      <c r="I21" s="1415" t="n"/>
      <c r="J21" s="1416" t="n"/>
      <c r="K21" s="995" t="n"/>
    </row>
    <row r="22" ht="18" customHeight="1">
      <c r="A22" s="1419" t="n"/>
      <c r="D22" s="1420" t="n"/>
      <c r="E22" s="1421" t="n"/>
      <c r="F22" s="1419" t="n"/>
      <c r="G22" s="1420" t="n"/>
      <c r="H22" s="1423">
        <f>'Fr-04.1'!B26</f>
        <v/>
      </c>
      <c r="I22" s="1415" t="n"/>
      <c r="J22" s="1416" t="n"/>
      <c r="K22" s="995" t="n"/>
    </row>
    <row r="23" ht="18" customHeight="1">
      <c r="A23" s="1419" t="n"/>
      <c r="D23" s="1420" t="n"/>
      <c r="E23" s="1421" t="n"/>
      <c r="F23" s="1419" t="n"/>
      <c r="G23" s="1420" t="n"/>
      <c r="H23" s="1423">
        <f>'Fr-04.1'!B27</f>
        <v/>
      </c>
      <c r="I23" s="1415" t="n"/>
      <c r="J23" s="1416" t="n"/>
      <c r="K23" s="995" t="n"/>
    </row>
    <row r="24" ht="18" customHeight="1">
      <c r="A24" s="1419" t="n"/>
      <c r="D24" s="1420" t="n"/>
      <c r="E24" s="1421" t="n"/>
      <c r="F24" s="1419" t="n"/>
      <c r="G24" s="1420" t="n"/>
      <c r="H24" s="1423">
        <f>'Fr-04.1'!B28</f>
        <v/>
      </c>
      <c r="I24" s="1415" t="n"/>
      <c r="J24" s="1416" t="n"/>
      <c r="K24" s="995" t="n"/>
    </row>
    <row r="25" ht="18" customHeight="1">
      <c r="A25" s="1419" t="n"/>
      <c r="D25" s="1420" t="n"/>
      <c r="E25" s="1421" t="n"/>
      <c r="F25" s="1419" t="n"/>
      <c r="G25" s="1420" t="n"/>
      <c r="H25" s="1423">
        <f>'Fr-04.1'!B29</f>
        <v/>
      </c>
      <c r="I25" s="1415" t="n"/>
      <c r="J25" s="1416" t="n"/>
      <c r="K25" s="995" t="n"/>
    </row>
    <row r="26" ht="18" customHeight="1">
      <c r="A26" s="1419" t="n"/>
      <c r="D26" s="1420" t="n"/>
      <c r="E26" s="1421" t="n"/>
      <c r="F26" s="1419" t="n"/>
      <c r="G26" s="1420" t="n"/>
      <c r="H26" s="1423">
        <f>'Fr-04.1'!B30</f>
        <v/>
      </c>
      <c r="I26" s="1415" t="n"/>
      <c r="J26" s="1416" t="n"/>
      <c r="K26" s="995" t="n"/>
    </row>
    <row r="27" ht="18" customHeight="1">
      <c r="A27" s="1419" t="n"/>
      <c r="D27" s="1420" t="n"/>
      <c r="E27" s="1421" t="n"/>
      <c r="F27" s="1419" t="n"/>
      <c r="G27" s="1420" t="n"/>
      <c r="H27" s="1423">
        <f>'Fr-04.1'!B31</f>
        <v/>
      </c>
      <c r="I27" s="1415" t="n"/>
      <c r="J27" s="1416" t="n"/>
      <c r="K27" s="995" t="n"/>
    </row>
    <row r="28" ht="18" customHeight="1">
      <c r="A28" s="1419" t="n"/>
      <c r="D28" s="1420" t="n"/>
      <c r="E28" s="1421" t="n"/>
      <c r="F28" s="1413" t="n"/>
      <c r="G28" s="830" t="n"/>
      <c r="H28" s="1423">
        <f>'Fr-04.1'!B32</f>
        <v/>
      </c>
      <c r="I28" s="1415" t="n"/>
      <c r="J28" s="1416" t="n"/>
      <c r="K28" s="995" t="n"/>
    </row>
    <row r="29" ht="17.25" customHeight="1">
      <c r="A29" s="1419" t="n"/>
      <c r="D29" s="1420" t="n"/>
      <c r="E29" s="1421" t="n"/>
      <c r="F29" s="962" t="inlineStr">
        <is>
          <t>ประเภท 2</t>
        </is>
      </c>
      <c r="G29" s="1410" t="n"/>
      <c r="H29" s="1423">
        <f>'Fr-04.1'!B45</f>
        <v/>
      </c>
      <c r="I29" s="1415" t="n"/>
      <c r="J29" s="1416" t="n"/>
      <c r="K29" s="995" t="n"/>
    </row>
    <row r="30" ht="17.25" customHeight="1">
      <c r="A30" s="1419" t="n"/>
      <c r="D30" s="1420" t="n"/>
      <c r="E30" s="1421" t="n"/>
      <c r="F30" s="1419" t="n"/>
      <c r="G30" s="1420" t="n"/>
      <c r="H30" s="1423" t="n"/>
      <c r="I30" s="1415" t="n"/>
      <c r="J30" s="1416" t="n"/>
      <c r="K30" s="995" t="n"/>
    </row>
    <row r="31" ht="17.25" customHeight="1">
      <c r="A31" s="1419" t="n"/>
      <c r="D31" s="1420" t="n"/>
      <c r="E31" s="1421" t="n"/>
      <c r="F31" s="1413" t="n"/>
      <c r="G31" s="830" t="n"/>
      <c r="H31" s="195" t="n"/>
      <c r="I31" s="196" t="n"/>
      <c r="J31" s="197" t="n"/>
      <c r="K31" s="995" t="n"/>
    </row>
    <row r="32">
      <c r="A32" s="1419" t="n"/>
      <c r="D32" s="1420" t="n"/>
      <c r="E32" s="1421" t="n"/>
      <c r="F32" s="962" t="inlineStr">
        <is>
          <t>ประเภท 3</t>
        </is>
      </c>
      <c r="G32" s="1410" t="n"/>
      <c r="H32" s="1424">
        <f>'Fr-04.1'!B50</f>
        <v/>
      </c>
      <c r="I32" s="1415" t="n"/>
      <c r="J32" s="1416" t="n"/>
      <c r="K32" s="989" t="n"/>
    </row>
    <row r="33">
      <c r="A33" s="1419" t="n"/>
      <c r="D33" s="1420" t="n"/>
      <c r="E33" s="1421" t="n"/>
      <c r="F33" s="1419" t="n"/>
      <c r="G33" s="1420" t="n"/>
      <c r="H33" s="1425">
        <f>'Fr-04.1'!B51</f>
        <v/>
      </c>
      <c r="I33" s="1415" t="n"/>
      <c r="J33" s="1416" t="n"/>
      <c r="K33" s="989" t="n"/>
    </row>
    <row r="34">
      <c r="A34" s="1419" t="n"/>
      <c r="D34" s="1420" t="n"/>
      <c r="E34" s="1421" t="n"/>
      <c r="F34" s="1419" t="n"/>
      <c r="G34" s="1420" t="n"/>
      <c r="H34" s="1425">
        <f>'Fr-04.1'!B52</f>
        <v/>
      </c>
      <c r="I34" s="1415" t="n"/>
      <c r="J34" s="1416" t="n"/>
      <c r="K34" s="989" t="n"/>
    </row>
    <row r="35">
      <c r="A35" s="1419" t="n"/>
      <c r="D35" s="1420" t="n"/>
      <c r="E35" s="1421" t="n"/>
      <c r="F35" s="1413" t="n"/>
      <c r="G35" s="830" t="n"/>
      <c r="H35" s="1425">
        <f>'Fr-04.1'!B53</f>
        <v/>
      </c>
      <c r="I35" s="1415" t="n"/>
      <c r="J35" s="1416" t="n"/>
      <c r="K35" s="989" t="n"/>
    </row>
    <row r="36">
      <c r="A36" s="1419" t="n"/>
      <c r="D36" s="1420" t="n"/>
      <c r="E36" s="1421" t="n"/>
      <c r="F36" s="962" t="inlineStr">
        <is>
          <t>ระยะเวลาเก็บข้อมูล</t>
        </is>
      </c>
      <c r="G36" s="1416" t="n"/>
      <c r="H36" s="190" t="inlineStr">
        <is>
          <t>1 มกราคม - 31 ธันวาคม 2566</t>
        </is>
      </c>
      <c r="I36" s="1415" t="n"/>
      <c r="J36" s="1416" t="n"/>
      <c r="K36" s="989" t="n"/>
    </row>
    <row r="37">
      <c r="A37" s="1419" t="n"/>
      <c r="D37" s="1420" t="n"/>
      <c r="E37" s="1421" t="n"/>
      <c r="F37" s="962" t="inlineStr">
        <is>
          <t>ผลผลิต</t>
        </is>
      </c>
      <c r="G37" s="1416" t="n"/>
      <c r="H37" s="1426" t="n">
        <v>9586</v>
      </c>
      <c r="I37" s="1416" t="n"/>
      <c r="J37" s="190" t="inlineStr">
        <is>
          <t>ตัน</t>
        </is>
      </c>
      <c r="K37" s="989" t="n"/>
    </row>
    <row r="38">
      <c r="A38" s="1419" t="n"/>
      <c r="D38" s="1420" t="n"/>
      <c r="E38" s="1421" t="n"/>
      <c r="F38" s="962" t="inlineStr">
        <is>
          <t>ปีฐาน</t>
        </is>
      </c>
      <c r="G38" s="1416" t="n"/>
      <c r="H38" s="190" t="inlineStr">
        <is>
          <t>1 มกราคม - 31 ธันวาคม 2566</t>
        </is>
      </c>
      <c r="I38" s="1415" t="n"/>
      <c r="J38" s="1416" t="n"/>
      <c r="K38" s="989" t="n"/>
    </row>
    <row r="39">
      <c r="A39" s="1419" t="n"/>
      <c r="D39" s="1420" t="n"/>
      <c r="E39" s="1421" t="n"/>
      <c r="F39" s="962" t="inlineStr">
        <is>
          <t>ผลผลิตปีฐาน</t>
        </is>
      </c>
      <c r="G39" s="1416" t="n"/>
      <c r="H39" s="1426" t="n">
        <v>9586</v>
      </c>
      <c r="I39" s="1416" t="n"/>
      <c r="J39" s="190">
        <f>J37</f>
        <v/>
      </c>
      <c r="K39" s="989" t="n"/>
    </row>
    <row r="40">
      <c r="A40" s="1419" t="n"/>
      <c r="D40" s="1420" t="n"/>
      <c r="E40" s="1421" t="n"/>
      <c r="F40" s="1427" t="inlineStr">
        <is>
          <t>ข้อมูลองค์กร</t>
        </is>
      </c>
      <c r="G40" s="1414" t="n"/>
      <c r="H40" s="1414" t="n"/>
      <c r="I40" s="1414" t="n"/>
      <c r="J40" s="830" t="n"/>
      <c r="K40" s="989" t="n"/>
    </row>
    <row r="41">
      <c r="A41" s="1419" t="n"/>
      <c r="D41" s="1420" t="n"/>
      <c r="E41" s="1421" t="n"/>
      <c r="F41" s="122" t="n">
        <v>1</v>
      </c>
      <c r="G41" s="977" t="inlineStr">
        <is>
          <t>ผลิตสินค้าเม็ดพลาสติก</t>
        </is>
      </c>
      <c r="H41" s="1415" t="n"/>
      <c r="I41" s="1415" t="n"/>
      <c r="J41" s="1416" t="n"/>
      <c r="K41" s="989" t="n"/>
    </row>
    <row r="42">
      <c r="A42" s="1419" t="n"/>
      <c r="D42" s="1420" t="n"/>
      <c r="E42" s="1421" t="n"/>
      <c r="F42" s="122" t="n">
        <v>2</v>
      </c>
      <c r="G42" s="977" t="inlineStr">
        <is>
          <t>ผลิตสินค้าถุงพลาสติก</t>
        </is>
      </c>
      <c r="H42" s="1415" t="n"/>
      <c r="I42" s="1415" t="n"/>
      <c r="J42" s="1416" t="n"/>
      <c r="K42" s="115" t="n"/>
    </row>
    <row r="43">
      <c r="A43" s="1419" t="n"/>
      <c r="D43" s="1420" t="n"/>
      <c r="E43" s="1421" t="n"/>
      <c r="F43" s="122" t="n">
        <v>3</v>
      </c>
      <c r="G43" s="977" t="n"/>
      <c r="H43" s="1415" t="n"/>
      <c r="I43" s="1415" t="n"/>
      <c r="J43" s="1416" t="n"/>
      <c r="K43" s="115" t="n"/>
    </row>
    <row r="44">
      <c r="A44" s="1419" t="n"/>
      <c r="D44" s="1420" t="n"/>
      <c r="E44" s="1421" t="n"/>
      <c r="F44" s="122" t="n">
        <v>4</v>
      </c>
      <c r="G44" s="977" t="n"/>
      <c r="H44" s="1415" t="n"/>
      <c r="I44" s="1415" t="n"/>
      <c r="J44" s="1416" t="n"/>
      <c r="K44" s="989" t="n"/>
    </row>
    <row r="45">
      <c r="A45" s="1419" t="n"/>
      <c r="D45" s="1420" t="n"/>
      <c r="E45" s="1421" t="n"/>
      <c r="F45" s="122" t="n">
        <v>5</v>
      </c>
      <c r="G45" s="977" t="n"/>
      <c r="H45" s="1415" t="n"/>
      <c r="I45" s="1415" t="n"/>
      <c r="J45" s="1416" t="n"/>
      <c r="K45" s="989" t="n"/>
    </row>
    <row r="46">
      <c r="A46" s="1419" t="n"/>
      <c r="D46" s="1420" t="n"/>
      <c r="E46" s="1421" t="n"/>
      <c r="F46" s="940" t="inlineStr">
        <is>
          <t>สถานที่ติดต่อ</t>
        </is>
      </c>
      <c r="G46" s="1415" t="n"/>
      <c r="H46" s="957" t="n"/>
      <c r="I46" s="924" t="inlineStr">
        <is>
          <t>211 หมู่ที่ 3 ต.ทุ่งสุขลา อ.ศรีราชา จ.ชลบุรี</t>
        </is>
      </c>
      <c r="J46" s="1416" t="n"/>
      <c r="K46" s="995" t="n"/>
    </row>
    <row r="47">
      <c r="A47" s="1413" t="n"/>
      <c r="B47" s="1414" t="n"/>
      <c r="C47" s="1414" t="n"/>
      <c r="D47" s="830" t="n"/>
      <c r="E47" s="1421" t="n"/>
      <c r="F47" s="940" t="inlineStr">
        <is>
          <t>วันที่ขอขึ้นทะเบียน</t>
        </is>
      </c>
      <c r="G47" s="1415" t="n"/>
      <c r="H47" s="957" t="n"/>
      <c r="I47" s="1428" t="n">
        <v>243865</v>
      </c>
      <c r="J47" s="1416" t="n"/>
      <c r="K47" s="989" t="n"/>
    </row>
    <row r="48">
      <c r="A48" s="1429" t="n"/>
      <c r="J48" s="1420" t="n"/>
      <c r="K48" s="989" t="n"/>
    </row>
    <row r="49">
      <c r="A49" s="1430" t="inlineStr">
        <is>
          <t>การแสดงเครื่องหมาย</t>
        </is>
      </c>
      <c r="B49" s="1409" t="n"/>
      <c r="C49" s="1409" t="n"/>
      <c r="D49" s="1410" t="n"/>
      <c r="E49" s="1431" t="n"/>
      <c r="F49" s="1430" t="inlineStr">
        <is>
          <t>กราฟแท่งแสดงการปล่อย GHG แต่ละขอบเขต</t>
        </is>
      </c>
      <c r="G49" s="1409" t="n"/>
      <c r="H49" s="1409" t="n"/>
      <c r="I49" s="1409" t="n"/>
      <c r="J49" s="1410" t="n"/>
      <c r="K49" s="989" t="n"/>
    </row>
    <row r="50">
      <c r="A50" s="1432" t="n"/>
      <c r="D50" s="1420" t="n"/>
      <c r="E50" s="1421" t="n"/>
      <c r="F50" s="1432" t="n"/>
      <c r="J50" s="1420" t="n"/>
      <c r="K50" s="989" t="n"/>
    </row>
    <row r="51">
      <c r="A51" s="1419" t="n"/>
      <c r="D51" s="1420" t="n"/>
      <c r="E51" s="1421" t="n"/>
      <c r="F51" s="1419" t="n"/>
      <c r="J51" s="1420" t="n"/>
      <c r="K51" s="989" t="n"/>
    </row>
    <row r="52">
      <c r="A52" s="1419" t="n"/>
      <c r="D52" s="1420" t="n"/>
      <c r="E52" s="1421" t="n"/>
      <c r="F52" s="1419" t="n"/>
      <c r="J52" s="1420" t="n"/>
      <c r="K52" s="989" t="n"/>
    </row>
    <row r="53">
      <c r="A53" s="1419" t="n"/>
      <c r="D53" s="1420" t="n"/>
      <c r="E53" s="1421" t="n"/>
      <c r="F53" s="1419" t="n"/>
      <c r="J53" s="1420" t="n"/>
      <c r="K53" s="989" t="n"/>
    </row>
    <row r="54">
      <c r="A54" s="1419" t="n"/>
      <c r="D54" s="1420" t="n"/>
      <c r="E54" s="1421" t="n"/>
      <c r="F54" s="1419" t="n"/>
      <c r="J54" s="1420" t="n"/>
      <c r="K54" s="989" t="n"/>
    </row>
    <row r="55">
      <c r="A55" s="1419" t="n"/>
      <c r="D55" s="1420" t="n"/>
      <c r="E55" s="1421" t="n"/>
      <c r="F55" s="1419" t="n"/>
      <c r="J55" s="1420" t="n"/>
      <c r="K55" s="989" t="n"/>
    </row>
    <row r="56">
      <c r="A56" s="1419" t="n"/>
      <c r="D56" s="1420" t="n"/>
      <c r="E56" s="1421" t="n"/>
      <c r="F56" s="1419" t="n"/>
      <c r="J56" s="1420" t="n"/>
      <c r="K56" s="989" t="n"/>
    </row>
    <row r="57">
      <c r="A57" s="1419" t="n"/>
      <c r="D57" s="1420" t="n"/>
      <c r="E57" s="1421" t="n"/>
      <c r="F57" s="1419" t="n"/>
      <c r="J57" s="1420" t="n"/>
      <c r="K57" s="989" t="n"/>
    </row>
    <row r="58">
      <c r="A58" s="1419" t="n"/>
      <c r="D58" s="1420" t="n"/>
      <c r="E58" s="1421" t="n"/>
      <c r="F58" s="1419" t="n"/>
      <c r="J58" s="1420" t="n"/>
      <c r="K58" s="989" t="n"/>
    </row>
    <row r="59">
      <c r="A59" s="1419" t="n"/>
      <c r="D59" s="1420" t="n"/>
      <c r="E59" s="1421" t="n"/>
      <c r="F59" s="1419" t="n"/>
      <c r="J59" s="1420" t="n"/>
      <c r="K59" s="989" t="n"/>
    </row>
    <row r="60">
      <c r="A60" s="1419" t="n"/>
      <c r="D60" s="1420" t="n"/>
      <c r="E60" s="1421" t="n"/>
      <c r="F60" s="1419" t="n"/>
      <c r="J60" s="1420" t="n"/>
      <c r="K60" s="989" t="n"/>
    </row>
    <row r="61">
      <c r="A61" s="1419" t="n"/>
      <c r="D61" s="1420" t="n"/>
      <c r="E61" s="1421" t="n"/>
      <c r="F61" s="1419" t="n"/>
      <c r="J61" s="1420" t="n"/>
      <c r="K61" s="989" t="n"/>
    </row>
    <row r="62" ht="9.75" customHeight="1">
      <c r="A62" s="1419" t="n"/>
      <c r="D62" s="1420" t="n"/>
      <c r="E62" s="1421" t="n"/>
      <c r="F62" s="1419" t="n"/>
      <c r="J62" s="1420" t="n"/>
      <c r="K62" s="115" t="n"/>
    </row>
    <row r="63">
      <c r="A63" s="1419" t="n"/>
      <c r="D63" s="1420" t="n"/>
      <c r="E63" s="1421" t="n"/>
      <c r="F63" s="1419" t="n"/>
      <c r="J63" s="1420" t="n"/>
      <c r="K63" s="989" t="n"/>
    </row>
    <row r="64" ht="8.25" customHeight="1">
      <c r="A64" s="1413" t="n"/>
      <c r="B64" s="1414" t="n"/>
      <c r="C64" s="1414" t="n"/>
      <c r="D64" s="830" t="n"/>
      <c r="E64" s="1433" t="n"/>
      <c r="F64" s="1413" t="n"/>
      <c r="G64" s="1414" t="n"/>
      <c r="H64" s="1414" t="n"/>
      <c r="I64" s="1414" t="n"/>
      <c r="J64" s="830" t="n"/>
      <c r="K64" s="989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989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989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989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989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989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989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989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989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989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989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</row>
  </sheetData>
  <mergeCells count="66">
    <mergeCell ref="E49:E64"/>
    <mergeCell ref="F29:G31"/>
    <mergeCell ref="H36:J36"/>
    <mergeCell ref="I46:J46"/>
    <mergeCell ref="F32:G35"/>
    <mergeCell ref="F50:J64"/>
    <mergeCell ref="F9:G28"/>
    <mergeCell ref="A1:A4"/>
    <mergeCell ref="H17:J17"/>
    <mergeCell ref="G41:J41"/>
    <mergeCell ref="H11:J11"/>
    <mergeCell ref="F40:J40"/>
    <mergeCell ref="C4:D4"/>
    <mergeCell ref="G44:J44"/>
    <mergeCell ref="A50:D64"/>
    <mergeCell ref="H39:I39"/>
    <mergeCell ref="H32:J32"/>
    <mergeCell ref="E4:F4"/>
    <mergeCell ref="H16:J16"/>
    <mergeCell ref="I47:J47"/>
    <mergeCell ref="A8:D47"/>
    <mergeCell ref="H22:J22"/>
    <mergeCell ref="H28:J28"/>
    <mergeCell ref="H13:J13"/>
    <mergeCell ref="H19:J19"/>
    <mergeCell ref="G43:J43"/>
    <mergeCell ref="H27:J27"/>
    <mergeCell ref="I1:J2"/>
    <mergeCell ref="A48:J48"/>
    <mergeCell ref="F36:G36"/>
    <mergeCell ref="H12:J12"/>
    <mergeCell ref="A49:D49"/>
    <mergeCell ref="F8:J8"/>
    <mergeCell ref="B1:H2"/>
    <mergeCell ref="G3:H3"/>
    <mergeCell ref="G42:J42"/>
    <mergeCell ref="H15:J15"/>
    <mergeCell ref="H33:J33"/>
    <mergeCell ref="H24:J24"/>
    <mergeCell ref="F47:G47"/>
    <mergeCell ref="H18:J18"/>
    <mergeCell ref="F38:G38"/>
    <mergeCell ref="H14:J14"/>
    <mergeCell ref="H23:J23"/>
    <mergeCell ref="H30:J30"/>
    <mergeCell ref="F46:G46"/>
    <mergeCell ref="E8:E47"/>
    <mergeCell ref="H37:I37"/>
    <mergeCell ref="H35:J35"/>
    <mergeCell ref="H26:J26"/>
    <mergeCell ref="H29:J29"/>
    <mergeCell ref="H20:J20"/>
    <mergeCell ref="H38:J38"/>
    <mergeCell ref="G4:H4"/>
    <mergeCell ref="F37:G37"/>
    <mergeCell ref="F39:G39"/>
    <mergeCell ref="H10:J10"/>
    <mergeCell ref="B6:I6"/>
    <mergeCell ref="H34:J34"/>
    <mergeCell ref="F49:J49"/>
    <mergeCell ref="H9:J9"/>
    <mergeCell ref="E3:F3"/>
    <mergeCell ref="C3:D3"/>
    <mergeCell ref="H25:J25"/>
    <mergeCell ref="H21:J21"/>
    <mergeCell ref="G45:J4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"/>
  <sheetViews>
    <sheetView zoomScale="130" zoomScaleNormal="130" workbookViewId="0">
      <selection activeCell="O84" sqref="O84"/>
    </sheetView>
  </sheetViews>
  <sheetFormatPr baseColWidth="8" defaultRowHeight="13.8"/>
  <cols>
    <col width="9.59765625" bestFit="1" customWidth="1" min="13" max="13"/>
  </cols>
  <sheetData>
    <row r="1" ht="18.75" customFormat="1" customHeight="1" s="99">
      <c r="A1" s="1434" t="n"/>
      <c r="B1" s="1435" t="inlineStr">
        <is>
          <t>แผนภาพองค์กร</t>
        </is>
      </c>
      <c r="C1" s="1409" t="n"/>
      <c r="D1" s="1409" t="n"/>
      <c r="E1" s="1409" t="n"/>
      <c r="F1" s="1409" t="n"/>
      <c r="G1" s="1409" t="n"/>
      <c r="H1" s="1409" t="n"/>
      <c r="I1" s="1409" t="n"/>
      <c r="J1" s="1409" t="n"/>
      <c r="K1" s="1410" t="n"/>
      <c r="L1" s="1411" t="inlineStr">
        <is>
          <t>TCFO_R_01
Version 04 : 21/2/2020</t>
        </is>
      </c>
      <c r="M1" s="1410" t="n"/>
    </row>
    <row r="2" ht="18.75" customFormat="1" customHeight="1" s="98">
      <c r="A2" s="1412" t="n"/>
      <c r="B2" s="1413" t="n"/>
      <c r="C2" s="1414" t="n"/>
      <c r="D2" s="1414" t="n"/>
      <c r="E2" s="1414" t="n"/>
      <c r="F2" s="1414" t="n"/>
      <c r="G2" s="1414" t="n"/>
      <c r="H2" s="1414" t="n"/>
      <c r="I2" s="1414" t="n"/>
      <c r="J2" s="1414" t="n"/>
      <c r="K2" s="830" t="n"/>
      <c r="L2" s="1413" t="n"/>
      <c r="M2" s="830" t="n"/>
      <c r="N2" s="99" t="n"/>
      <c r="O2" s="99" t="n"/>
    </row>
    <row r="3" ht="18.75" customFormat="1" customHeight="1" s="98">
      <c r="A3" s="1412" t="n"/>
      <c r="B3" s="243" t="inlineStr">
        <is>
          <t>ชื่อฟอร์ม</t>
        </is>
      </c>
      <c r="C3" s="1086" t="inlineStr">
        <is>
          <t>บัญชีรายการก๊าซเรือนกระจก</t>
        </is>
      </c>
      <c r="D3" s="1415" t="n"/>
      <c r="E3" s="1416" t="n"/>
      <c r="F3" s="244" t="inlineStr">
        <is>
          <t>องค์กร</t>
        </is>
      </c>
      <c r="G3" s="1086">
        <f>'Fr-01'!$B$6</f>
        <v/>
      </c>
      <c r="H3" s="1415" t="n"/>
      <c r="I3" s="1416" t="n"/>
      <c r="J3" s="1031" t="n"/>
      <c r="K3" s="1415" t="n"/>
      <c r="L3" s="245" t="inlineStr">
        <is>
          <t xml:space="preserve">หน้าที่ </t>
        </is>
      </c>
      <c r="M3" s="246" t="n">
        <v>2</v>
      </c>
      <c r="N3" s="99" t="n"/>
      <c r="O3" s="99" t="n"/>
    </row>
    <row r="4" ht="18.75" customFormat="1" customHeight="1" s="1056">
      <c r="A4" s="1417" t="n"/>
      <c r="B4" s="243" t="inlineStr">
        <is>
          <t>รหัสฟอร์ม</t>
        </is>
      </c>
      <c r="C4" s="1086" t="inlineStr">
        <is>
          <t>Fr-02</t>
        </is>
      </c>
      <c r="D4" s="1415" t="n"/>
      <c r="E4" s="1416" t="n"/>
      <c r="F4" s="244" t="inlineStr">
        <is>
          <t>ผู้จัดทำ</t>
        </is>
      </c>
      <c r="G4" s="1086">
        <f>'Fr-01'!$G$4</f>
        <v/>
      </c>
      <c r="H4" s="1415" t="n"/>
      <c r="I4" s="1416" t="n"/>
      <c r="J4" s="1031" t="n"/>
      <c r="K4" s="1415" t="n"/>
      <c r="L4" s="245" t="inlineStr">
        <is>
          <t>วันที่</t>
        </is>
      </c>
      <c r="M4" s="813">
        <f>'Fr-01'!J4</f>
        <v/>
      </c>
    </row>
    <row r="5" ht="18.75" customFormat="1" customHeight="1" s="1056">
      <c r="A5" s="123" t="n"/>
      <c r="B5" s="124" t="n"/>
      <c r="C5" s="124" t="n"/>
      <c r="D5" s="124" t="n"/>
      <c r="E5" s="124" t="n"/>
      <c r="F5" s="124" t="n"/>
      <c r="G5" s="124" t="n"/>
      <c r="H5" s="124" t="n"/>
      <c r="I5" s="124" t="n"/>
      <c r="J5" s="124" t="n"/>
      <c r="K5" s="124" t="n"/>
      <c r="L5" s="124" t="n"/>
      <c r="M5" s="125" t="n"/>
    </row>
    <row r="6">
      <c r="A6" s="1436" t="n"/>
      <c r="B6" s="1409" t="n"/>
      <c r="C6" s="1409" t="n"/>
      <c r="D6" s="1409" t="n"/>
      <c r="E6" s="1409" t="n"/>
      <c r="F6" s="1409" t="n"/>
      <c r="G6" s="1409" t="n"/>
      <c r="H6" s="1409" t="n"/>
      <c r="I6" s="1409" t="n"/>
      <c r="J6" s="1409" t="n"/>
      <c r="K6" s="1409" t="n"/>
      <c r="L6" s="1409" t="n"/>
      <c r="M6" s="1410" t="n"/>
    </row>
    <row r="7">
      <c r="A7" s="1419" t="n"/>
      <c r="M7" s="1420" t="n"/>
    </row>
    <row r="8">
      <c r="A8" s="1419" t="n"/>
      <c r="M8" s="1420" t="n"/>
    </row>
    <row r="9">
      <c r="A9" s="1419" t="n"/>
      <c r="M9" s="1420" t="n"/>
    </row>
    <row r="10">
      <c r="A10" s="1419" t="n"/>
      <c r="M10" s="1420" t="n"/>
    </row>
    <row r="11">
      <c r="A11" s="1419" t="n"/>
      <c r="M11" s="1420" t="n"/>
    </row>
    <row r="12">
      <c r="A12" s="1419" t="n"/>
      <c r="M12" s="1420" t="n"/>
    </row>
    <row r="13">
      <c r="A13" s="1419" t="n"/>
      <c r="M13" s="1420" t="n"/>
    </row>
    <row r="14">
      <c r="A14" s="1419" t="n"/>
      <c r="M14" s="1420" t="n"/>
    </row>
    <row r="15">
      <c r="A15" s="1419" t="n"/>
      <c r="M15" s="1420" t="n"/>
    </row>
    <row r="16">
      <c r="A16" s="1419" t="n"/>
      <c r="M16" s="1420" t="n"/>
    </row>
    <row r="17">
      <c r="A17" s="1419" t="n"/>
      <c r="M17" s="1420" t="n"/>
    </row>
    <row r="18">
      <c r="A18" s="1419" t="n"/>
      <c r="M18" s="1420" t="n"/>
    </row>
    <row r="19">
      <c r="A19" s="1419" t="n"/>
      <c r="M19" s="1420" t="n"/>
    </row>
    <row r="20">
      <c r="A20" s="1419" t="n"/>
      <c r="M20" s="1420" t="n"/>
    </row>
    <row r="21">
      <c r="A21" s="1419" t="n"/>
      <c r="M21" s="1420" t="n"/>
    </row>
    <row r="22">
      <c r="A22" s="1419" t="n"/>
      <c r="M22" s="1420" t="n"/>
    </row>
    <row r="23">
      <c r="A23" s="1419" t="n"/>
      <c r="M23" s="1420" t="n"/>
    </row>
    <row r="24">
      <c r="A24" s="1419" t="n"/>
      <c r="M24" s="1420" t="n"/>
    </row>
    <row r="25">
      <c r="A25" s="1419" t="n"/>
      <c r="M25" s="1420" t="n"/>
    </row>
    <row r="26">
      <c r="A26" s="1419" t="n"/>
      <c r="M26" s="1420" t="n"/>
    </row>
    <row r="27">
      <c r="A27" s="1419" t="n"/>
      <c r="M27" s="1420" t="n"/>
    </row>
    <row r="28">
      <c r="A28" s="1419" t="n"/>
      <c r="M28" s="1420" t="n"/>
    </row>
    <row r="29">
      <c r="A29" s="1419" t="n"/>
      <c r="M29" s="1420" t="n"/>
    </row>
    <row r="30">
      <c r="A30" s="1419" t="n"/>
      <c r="M30" s="1420" t="n"/>
    </row>
    <row r="31">
      <c r="A31" s="1419" t="n"/>
      <c r="M31" s="1420" t="n"/>
    </row>
    <row r="32">
      <c r="A32" s="1419" t="n"/>
      <c r="M32" s="1420" t="n"/>
    </row>
    <row r="33">
      <c r="A33" s="1419" t="n"/>
      <c r="M33" s="1420" t="n"/>
    </row>
    <row r="34">
      <c r="A34" s="1419" t="n"/>
      <c r="M34" s="1420" t="n"/>
    </row>
    <row r="35">
      <c r="A35" s="1419" t="n"/>
      <c r="M35" s="1420" t="n"/>
    </row>
    <row r="36">
      <c r="A36" s="1419" t="n"/>
      <c r="M36" s="1420" t="n"/>
    </row>
    <row r="37">
      <c r="A37" s="1419" t="n"/>
      <c r="M37" s="1420" t="n"/>
    </row>
    <row r="38">
      <c r="A38" s="1419" t="n"/>
      <c r="M38" s="1420" t="n"/>
    </row>
    <row r="39">
      <c r="A39" s="1419" t="n"/>
      <c r="M39" s="1420" t="n"/>
    </row>
    <row r="40">
      <c r="A40" s="1419" t="n"/>
      <c r="M40" s="1420" t="n"/>
    </row>
    <row r="41">
      <c r="A41" s="1419" t="n"/>
      <c r="M41" s="1420" t="n"/>
    </row>
    <row r="42">
      <c r="A42" s="1419" t="n"/>
      <c r="M42" s="1420" t="n"/>
    </row>
    <row r="43">
      <c r="A43" s="1419" t="n"/>
      <c r="M43" s="1420" t="n"/>
    </row>
    <row r="44">
      <c r="A44" s="1419" t="n"/>
      <c r="M44" s="1420" t="n"/>
    </row>
    <row r="45">
      <c r="A45" s="1419" t="n"/>
      <c r="M45" s="1420" t="n"/>
    </row>
    <row r="46">
      <c r="A46" s="1419" t="n"/>
      <c r="M46" s="1420" t="n"/>
    </row>
    <row r="47">
      <c r="A47" s="1419" t="n"/>
      <c r="M47" s="1420" t="n"/>
    </row>
    <row r="48">
      <c r="A48" s="1419" t="n"/>
      <c r="M48" s="1420" t="n"/>
    </row>
    <row r="49">
      <c r="A49" s="1419" t="n"/>
      <c r="M49" s="1420" t="n"/>
    </row>
    <row r="50">
      <c r="A50" s="1419" t="n"/>
      <c r="M50" s="1420" t="n"/>
    </row>
    <row r="51">
      <c r="A51" s="1419" t="n"/>
      <c r="M51" s="1420" t="n"/>
    </row>
    <row r="52">
      <c r="A52" s="1419" t="n"/>
      <c r="M52" s="1420" t="n"/>
    </row>
    <row r="53">
      <c r="A53" s="1419" t="n"/>
      <c r="M53" s="1420" t="n"/>
    </row>
    <row r="54">
      <c r="A54" s="1419" t="n"/>
      <c r="M54" s="1420" t="n"/>
    </row>
    <row r="55">
      <c r="A55" s="1419" t="n"/>
      <c r="M55" s="1420" t="n"/>
    </row>
    <row r="56">
      <c r="A56" s="1419" t="n"/>
      <c r="M56" s="1420" t="n"/>
    </row>
    <row r="57">
      <c r="A57" s="1419" t="n"/>
      <c r="M57" s="1420" t="n"/>
    </row>
    <row r="58">
      <c r="A58" s="1419" t="n"/>
      <c r="M58" s="1420" t="n"/>
    </row>
    <row r="59">
      <c r="A59" s="1419" t="n"/>
      <c r="M59" s="1420" t="n"/>
    </row>
    <row r="60">
      <c r="A60" s="1419" t="n"/>
      <c r="M60" s="1420" t="n"/>
    </row>
    <row r="61">
      <c r="A61" s="1419" t="n"/>
      <c r="M61" s="1420" t="n"/>
    </row>
    <row r="62">
      <c r="A62" s="1419" t="n"/>
      <c r="M62" s="1420" t="n"/>
    </row>
    <row r="63">
      <c r="A63" s="1419" t="n"/>
      <c r="M63" s="1420" t="n"/>
    </row>
    <row r="64">
      <c r="A64" s="1419" t="n"/>
      <c r="M64" s="1420" t="n"/>
    </row>
    <row r="65">
      <c r="A65" s="1419" t="n"/>
      <c r="M65" s="1420" t="n"/>
    </row>
    <row r="66">
      <c r="A66" s="1419" t="n"/>
      <c r="M66" s="1420" t="n"/>
    </row>
    <row r="67">
      <c r="A67" s="1419" t="n"/>
      <c r="M67" s="1420" t="n"/>
    </row>
    <row r="68">
      <c r="A68" s="1419" t="n"/>
      <c r="M68" s="1420" t="n"/>
    </row>
    <row r="69">
      <c r="A69" s="1419" t="n"/>
      <c r="M69" s="1420" t="n"/>
    </row>
    <row r="70">
      <c r="A70" s="1419" t="n"/>
      <c r="M70" s="1420" t="n"/>
    </row>
    <row r="71">
      <c r="A71" s="1419" t="n"/>
      <c r="M71" s="1420" t="n"/>
    </row>
    <row r="72">
      <c r="A72" s="1419" t="n"/>
      <c r="M72" s="1420" t="n"/>
    </row>
    <row r="73">
      <c r="A73" s="1419" t="n"/>
      <c r="M73" s="1420" t="n"/>
    </row>
    <row r="74">
      <c r="A74" s="1419" t="n"/>
      <c r="M74" s="1420" t="n"/>
    </row>
    <row r="75">
      <c r="A75" s="1419" t="n"/>
      <c r="M75" s="1420" t="n"/>
    </row>
    <row r="76">
      <c r="A76" s="1419" t="n"/>
      <c r="M76" s="1420" t="n"/>
    </row>
    <row r="77">
      <c r="A77" s="1419" t="n"/>
      <c r="M77" s="1420" t="n"/>
    </row>
    <row r="78">
      <c r="A78" s="1419" t="n"/>
      <c r="M78" s="1420" t="n"/>
    </row>
    <row r="79">
      <c r="A79" s="1419" t="n"/>
      <c r="M79" s="1420" t="n"/>
    </row>
    <row r="80">
      <c r="A80" s="1419" t="n"/>
      <c r="M80" s="1420" t="n"/>
    </row>
    <row r="81">
      <c r="A81" s="1419" t="n"/>
      <c r="M81" s="1420" t="n"/>
    </row>
    <row r="82">
      <c r="A82" s="1419" t="n"/>
      <c r="M82" s="1420" t="n"/>
    </row>
    <row r="83">
      <c r="A83" s="1419" t="n"/>
      <c r="M83" s="1420" t="n"/>
    </row>
    <row r="84">
      <c r="A84" s="1419" t="n"/>
      <c r="M84" s="1420" t="n"/>
    </row>
    <row r="85">
      <c r="A85" s="1419" t="n"/>
      <c r="M85" s="1420" t="n"/>
    </row>
    <row r="86">
      <c r="A86" s="1419" t="n"/>
      <c r="M86" s="1420" t="n"/>
    </row>
    <row r="87">
      <c r="A87" s="1419" t="n"/>
      <c r="M87" s="1420" t="n"/>
    </row>
    <row r="88">
      <c r="A88" s="1419" t="n"/>
      <c r="M88" s="1420" t="n"/>
    </row>
    <row r="89">
      <c r="A89" s="1419" t="n"/>
      <c r="M89" s="1420" t="n"/>
    </row>
    <row r="90">
      <c r="A90" s="1419" t="n"/>
      <c r="M90" s="1420" t="n"/>
    </row>
    <row r="91">
      <c r="A91" s="1419" t="n"/>
      <c r="M91" s="1420" t="n"/>
    </row>
    <row r="92">
      <c r="A92" s="1419" t="n"/>
      <c r="M92" s="1420" t="n"/>
    </row>
    <row r="93">
      <c r="A93" s="1419" t="n"/>
      <c r="M93" s="1420" t="n"/>
    </row>
    <row r="94">
      <c r="A94" s="1419" t="n"/>
      <c r="M94" s="1420" t="n"/>
    </row>
    <row r="95">
      <c r="A95" s="1419" t="n"/>
      <c r="M95" s="1420" t="n"/>
    </row>
    <row r="96">
      <c r="A96" s="1419" t="n"/>
      <c r="M96" s="1420" t="n"/>
    </row>
    <row r="97">
      <c r="A97" s="1419" t="n"/>
      <c r="M97" s="1420" t="n"/>
    </row>
    <row r="98">
      <c r="A98" s="1419" t="n"/>
      <c r="M98" s="1420" t="n"/>
    </row>
    <row r="99">
      <c r="A99" s="1419" t="n"/>
      <c r="M99" s="1420" t="n"/>
    </row>
    <row r="100">
      <c r="A100" s="1419" t="n"/>
      <c r="M100" s="1420" t="n"/>
    </row>
    <row r="101">
      <c r="A101" s="1419" t="n"/>
      <c r="M101" s="1420" t="n"/>
    </row>
    <row r="102">
      <c r="A102" s="1419" t="n"/>
      <c r="M102" s="1420" t="n"/>
    </row>
    <row r="103">
      <c r="A103" s="1419" t="n"/>
      <c r="M103" s="1420" t="n"/>
    </row>
    <row r="104">
      <c r="A104" s="1419" t="n"/>
      <c r="M104" s="1420" t="n"/>
    </row>
    <row r="105">
      <c r="A105" s="1419" t="n"/>
      <c r="M105" s="1420" t="n"/>
    </row>
    <row r="106">
      <c r="A106" s="1419" t="n"/>
      <c r="M106" s="1420" t="n"/>
    </row>
    <row r="107">
      <c r="A107" s="1419" t="n"/>
      <c r="M107" s="1420" t="n"/>
    </row>
    <row r="108">
      <c r="A108" s="1419" t="n"/>
      <c r="M108" s="1420" t="n"/>
    </row>
    <row r="109">
      <c r="A109" s="1419" t="n"/>
      <c r="M109" s="1420" t="n"/>
    </row>
    <row r="110">
      <c r="A110" s="1419" t="n"/>
      <c r="M110" s="1420" t="n"/>
    </row>
    <row r="111">
      <c r="A111" s="1419" t="n"/>
      <c r="M111" s="1420" t="n"/>
    </row>
    <row r="112">
      <c r="A112" s="1419" t="n"/>
      <c r="M112" s="1420" t="n"/>
    </row>
    <row r="113">
      <c r="A113" s="1419" t="n"/>
      <c r="M113" s="1420" t="n"/>
    </row>
    <row r="114">
      <c r="A114" s="1419" t="n"/>
      <c r="M114" s="1420" t="n"/>
    </row>
    <row r="115">
      <c r="A115" s="1419" t="n"/>
      <c r="M115" s="1420" t="n"/>
    </row>
    <row r="116">
      <c r="A116" s="1419" t="n"/>
      <c r="M116" s="1420" t="n"/>
    </row>
    <row r="117">
      <c r="A117" s="1419" t="n"/>
      <c r="M117" s="1420" t="n"/>
    </row>
    <row r="118">
      <c r="A118" s="1419" t="n"/>
      <c r="M118" s="1420" t="n"/>
    </row>
    <row r="119">
      <c r="A119" s="1413" t="n"/>
      <c r="B119" s="1414" t="n"/>
      <c r="C119" s="1414" t="n"/>
      <c r="D119" s="1414" t="n"/>
      <c r="E119" s="1414" t="n"/>
      <c r="F119" s="1414" t="n"/>
      <c r="G119" s="1414" t="n"/>
      <c r="H119" s="1414" t="n"/>
      <c r="I119" s="1414" t="n"/>
      <c r="J119" s="1414" t="n"/>
      <c r="K119" s="1414" t="n"/>
      <c r="L119" s="1414" t="n"/>
      <c r="M119" s="830" t="n"/>
    </row>
  </sheetData>
  <mergeCells count="10">
    <mergeCell ref="B1:K2"/>
    <mergeCell ref="J3:K3"/>
    <mergeCell ref="J4:K4"/>
    <mergeCell ref="A6:M119"/>
    <mergeCell ref="C4:E4"/>
    <mergeCell ref="C3:E3"/>
    <mergeCell ref="L1:M2"/>
    <mergeCell ref="G3:I3"/>
    <mergeCell ref="A1:A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topLeftCell="A3" workbookViewId="0">
      <selection activeCell="O19" sqref="O19"/>
    </sheetView>
  </sheetViews>
  <sheetFormatPr baseColWidth="8" defaultColWidth="11" defaultRowHeight="13.2"/>
  <cols>
    <col width="10.09765625" customWidth="1" style="1056" min="1" max="9"/>
    <col width="11" customWidth="1" style="1056" min="10" max="256"/>
    <col width="10.09765625" customWidth="1" style="1056" min="257" max="265"/>
    <col width="11" customWidth="1" style="1056" min="266" max="512"/>
    <col width="10.09765625" customWidth="1" style="1056" min="513" max="521"/>
    <col width="11" customWidth="1" style="1056" min="522" max="768"/>
    <col width="10.09765625" customWidth="1" style="1056" min="769" max="777"/>
    <col width="11" customWidth="1" style="1056" min="778" max="1024"/>
    <col width="10.09765625" customWidth="1" style="1056" min="1025" max="1033"/>
    <col width="11" customWidth="1" style="1056" min="1034" max="1280"/>
    <col width="10.09765625" customWidth="1" style="1056" min="1281" max="1289"/>
    <col width="11" customWidth="1" style="1056" min="1290" max="1536"/>
    <col width="10.09765625" customWidth="1" style="1056" min="1537" max="1545"/>
    <col width="11" customWidth="1" style="1056" min="1546" max="1792"/>
    <col width="10.09765625" customWidth="1" style="1056" min="1793" max="1801"/>
    <col width="11" customWidth="1" style="1056" min="1802" max="2048"/>
    <col width="10.09765625" customWidth="1" style="1056" min="2049" max="2057"/>
    <col width="11" customWidth="1" style="1056" min="2058" max="2304"/>
    <col width="10.09765625" customWidth="1" style="1056" min="2305" max="2313"/>
    <col width="11" customWidth="1" style="1056" min="2314" max="2560"/>
    <col width="10.09765625" customWidth="1" style="1056" min="2561" max="2569"/>
    <col width="11" customWidth="1" style="1056" min="2570" max="2816"/>
    <col width="10.09765625" customWidth="1" style="1056" min="2817" max="2825"/>
    <col width="11" customWidth="1" style="1056" min="2826" max="3072"/>
    <col width="10.09765625" customWidth="1" style="1056" min="3073" max="3081"/>
    <col width="11" customWidth="1" style="1056" min="3082" max="3328"/>
    <col width="10.09765625" customWidth="1" style="1056" min="3329" max="3337"/>
    <col width="11" customWidth="1" style="1056" min="3338" max="3584"/>
    <col width="10.09765625" customWidth="1" style="1056" min="3585" max="3593"/>
    <col width="11" customWidth="1" style="1056" min="3594" max="3840"/>
    <col width="10.09765625" customWidth="1" style="1056" min="3841" max="3849"/>
    <col width="11" customWidth="1" style="1056" min="3850" max="4096"/>
    <col width="10.09765625" customWidth="1" style="1056" min="4097" max="4105"/>
    <col width="11" customWidth="1" style="1056" min="4106" max="4352"/>
    <col width="10.09765625" customWidth="1" style="1056" min="4353" max="4361"/>
    <col width="11" customWidth="1" style="1056" min="4362" max="4608"/>
    <col width="10.09765625" customWidth="1" style="1056" min="4609" max="4617"/>
    <col width="11" customWidth="1" style="1056" min="4618" max="4864"/>
    <col width="10.09765625" customWidth="1" style="1056" min="4865" max="4873"/>
    <col width="11" customWidth="1" style="1056" min="4874" max="5120"/>
    <col width="10.09765625" customWidth="1" style="1056" min="5121" max="5129"/>
    <col width="11" customWidth="1" style="1056" min="5130" max="5376"/>
    <col width="10.09765625" customWidth="1" style="1056" min="5377" max="5385"/>
    <col width="11" customWidth="1" style="1056" min="5386" max="5632"/>
    <col width="10.09765625" customWidth="1" style="1056" min="5633" max="5641"/>
    <col width="11" customWidth="1" style="1056" min="5642" max="5888"/>
    <col width="10.09765625" customWidth="1" style="1056" min="5889" max="5897"/>
    <col width="11" customWidth="1" style="1056" min="5898" max="6144"/>
    <col width="10.09765625" customWidth="1" style="1056" min="6145" max="6153"/>
    <col width="11" customWidth="1" style="1056" min="6154" max="6400"/>
    <col width="10.09765625" customWidth="1" style="1056" min="6401" max="6409"/>
    <col width="11" customWidth="1" style="1056" min="6410" max="6656"/>
    <col width="10.09765625" customWidth="1" style="1056" min="6657" max="6665"/>
    <col width="11" customWidth="1" style="1056" min="6666" max="6912"/>
    <col width="10.09765625" customWidth="1" style="1056" min="6913" max="6921"/>
    <col width="11" customWidth="1" style="1056" min="6922" max="7168"/>
    <col width="10.09765625" customWidth="1" style="1056" min="7169" max="7177"/>
    <col width="11" customWidth="1" style="1056" min="7178" max="7424"/>
    <col width="10.09765625" customWidth="1" style="1056" min="7425" max="7433"/>
    <col width="11" customWidth="1" style="1056" min="7434" max="7680"/>
    <col width="10.09765625" customWidth="1" style="1056" min="7681" max="7689"/>
    <col width="11" customWidth="1" style="1056" min="7690" max="7936"/>
    <col width="10.09765625" customWidth="1" style="1056" min="7937" max="7945"/>
    <col width="11" customWidth="1" style="1056" min="7946" max="8192"/>
    <col width="10.09765625" customWidth="1" style="1056" min="8193" max="8201"/>
    <col width="11" customWidth="1" style="1056" min="8202" max="8448"/>
    <col width="10.09765625" customWidth="1" style="1056" min="8449" max="8457"/>
    <col width="11" customWidth="1" style="1056" min="8458" max="8704"/>
    <col width="10.09765625" customWidth="1" style="1056" min="8705" max="8713"/>
    <col width="11" customWidth="1" style="1056" min="8714" max="8960"/>
    <col width="10.09765625" customWidth="1" style="1056" min="8961" max="8969"/>
    <col width="11" customWidth="1" style="1056" min="8970" max="9216"/>
    <col width="10.09765625" customWidth="1" style="1056" min="9217" max="9225"/>
    <col width="11" customWidth="1" style="1056" min="9226" max="9472"/>
    <col width="10.09765625" customWidth="1" style="1056" min="9473" max="9481"/>
    <col width="11" customWidth="1" style="1056" min="9482" max="9728"/>
    <col width="10.09765625" customWidth="1" style="1056" min="9729" max="9737"/>
    <col width="11" customWidth="1" style="1056" min="9738" max="9984"/>
    <col width="10.09765625" customWidth="1" style="1056" min="9985" max="9993"/>
    <col width="11" customWidth="1" style="1056" min="9994" max="10240"/>
    <col width="10.09765625" customWidth="1" style="1056" min="10241" max="10249"/>
    <col width="11" customWidth="1" style="1056" min="10250" max="10496"/>
    <col width="10.09765625" customWidth="1" style="1056" min="10497" max="10505"/>
    <col width="11" customWidth="1" style="1056" min="10506" max="10752"/>
    <col width="10.09765625" customWidth="1" style="1056" min="10753" max="10761"/>
    <col width="11" customWidth="1" style="1056" min="10762" max="11008"/>
    <col width="10.09765625" customWidth="1" style="1056" min="11009" max="11017"/>
    <col width="11" customWidth="1" style="1056" min="11018" max="11264"/>
    <col width="10.09765625" customWidth="1" style="1056" min="11265" max="11273"/>
    <col width="11" customWidth="1" style="1056" min="11274" max="11520"/>
    <col width="10.09765625" customWidth="1" style="1056" min="11521" max="11529"/>
    <col width="11" customWidth="1" style="1056" min="11530" max="11776"/>
    <col width="10.09765625" customWidth="1" style="1056" min="11777" max="11785"/>
    <col width="11" customWidth="1" style="1056" min="11786" max="12032"/>
    <col width="10.09765625" customWidth="1" style="1056" min="12033" max="12041"/>
    <col width="11" customWidth="1" style="1056" min="12042" max="12288"/>
    <col width="10.09765625" customWidth="1" style="1056" min="12289" max="12297"/>
    <col width="11" customWidth="1" style="1056" min="12298" max="12544"/>
    <col width="10.09765625" customWidth="1" style="1056" min="12545" max="12553"/>
    <col width="11" customWidth="1" style="1056" min="12554" max="12800"/>
    <col width="10.09765625" customWidth="1" style="1056" min="12801" max="12809"/>
    <col width="11" customWidth="1" style="1056" min="12810" max="13056"/>
    <col width="10.09765625" customWidth="1" style="1056" min="13057" max="13065"/>
    <col width="11" customWidth="1" style="1056" min="13066" max="13312"/>
    <col width="10.09765625" customWidth="1" style="1056" min="13313" max="13321"/>
    <col width="11" customWidth="1" style="1056" min="13322" max="13568"/>
    <col width="10.09765625" customWidth="1" style="1056" min="13569" max="13577"/>
    <col width="11" customWidth="1" style="1056" min="13578" max="13824"/>
    <col width="10.09765625" customWidth="1" style="1056" min="13825" max="13833"/>
    <col width="11" customWidth="1" style="1056" min="13834" max="14080"/>
    <col width="10.09765625" customWidth="1" style="1056" min="14081" max="14089"/>
    <col width="11" customWidth="1" style="1056" min="14090" max="14336"/>
    <col width="10.09765625" customWidth="1" style="1056" min="14337" max="14345"/>
    <col width="11" customWidth="1" style="1056" min="14346" max="14592"/>
    <col width="10.09765625" customWidth="1" style="1056" min="14593" max="14601"/>
    <col width="11" customWidth="1" style="1056" min="14602" max="14848"/>
    <col width="10.09765625" customWidth="1" style="1056" min="14849" max="14857"/>
    <col width="11" customWidth="1" style="1056" min="14858" max="15104"/>
    <col width="10.09765625" customWidth="1" style="1056" min="15105" max="15113"/>
    <col width="11" customWidth="1" style="1056" min="15114" max="15360"/>
    <col width="10.09765625" customWidth="1" style="1056" min="15361" max="15369"/>
    <col width="11" customWidth="1" style="1056" min="15370" max="15616"/>
    <col width="10.09765625" customWidth="1" style="1056" min="15617" max="15625"/>
    <col width="11" customWidth="1" style="1056" min="15626" max="15872"/>
    <col width="10.09765625" customWidth="1" style="1056" min="15873" max="15881"/>
    <col width="11" customWidth="1" style="1056" min="15882" max="16128"/>
    <col width="10.09765625" customWidth="1" style="1056" min="16129" max="16137"/>
    <col width="11" customWidth="1" style="1056" min="16138" max="16384"/>
  </cols>
  <sheetData>
    <row r="1" ht="18.75" customFormat="1" customHeight="1" s="99">
      <c r="A1" s="1437" t="n"/>
      <c r="B1" s="1438" t="inlineStr">
        <is>
          <t>แผนภาพแสดงโครงสร้างขององค์กรและหน้าที่ความรับผิดชอบ</t>
        </is>
      </c>
      <c r="C1" s="1409" t="n"/>
      <c r="D1" s="1409" t="n"/>
      <c r="E1" s="1409" t="n"/>
      <c r="F1" s="1409" t="n"/>
      <c r="G1" s="1409" t="n"/>
      <c r="H1" s="1409" t="n"/>
      <c r="I1" s="1409" t="n"/>
      <c r="J1" s="1409" t="n"/>
      <c r="K1" s="1410" t="n"/>
      <c r="L1" s="1411" t="inlineStr">
        <is>
          <t>TCFO_R_01
Version 04 : 21/2/2020</t>
        </is>
      </c>
      <c r="M1" s="1410" t="n"/>
    </row>
    <row r="2" ht="18.75" customFormat="1" customHeight="1" s="98">
      <c r="A2" s="1412" t="n"/>
      <c r="B2" s="1413" t="n"/>
      <c r="C2" s="1414" t="n"/>
      <c r="D2" s="1414" t="n"/>
      <c r="E2" s="1414" t="n"/>
      <c r="F2" s="1414" t="n"/>
      <c r="G2" s="1414" t="n"/>
      <c r="H2" s="1414" t="n"/>
      <c r="I2" s="1414" t="n"/>
      <c r="J2" s="1414" t="n"/>
      <c r="K2" s="830" t="n"/>
      <c r="L2" s="1413" t="n"/>
      <c r="M2" s="830" t="n"/>
      <c r="N2" s="99" t="n"/>
      <c r="O2" s="99" t="n"/>
    </row>
    <row r="3" ht="18.75" customFormat="1" customHeight="1" s="98">
      <c r="A3" s="1412" t="n"/>
      <c r="B3" s="247" t="inlineStr">
        <is>
          <t>ชื่อฟอร์ม</t>
        </is>
      </c>
      <c r="C3" s="1086" t="inlineStr">
        <is>
          <t>บัญชีรายการก๊าซเรือนกระจก</t>
        </is>
      </c>
      <c r="D3" s="1415" t="n"/>
      <c r="E3" s="1416" t="n"/>
      <c r="F3" s="248" t="inlineStr">
        <is>
          <t>องค์กร</t>
        </is>
      </c>
      <c r="G3" s="1087">
        <f>'Fr-01'!$B$6</f>
        <v/>
      </c>
      <c r="H3" s="1415" t="n"/>
      <c r="I3" s="1415" t="n"/>
      <c r="J3" s="1415" t="n"/>
      <c r="K3" s="1416" t="n"/>
      <c r="L3" s="247" t="inlineStr">
        <is>
          <t xml:space="preserve">หน้าที่ </t>
        </is>
      </c>
      <c r="M3" s="249" t="n">
        <v>3</v>
      </c>
      <c r="N3" s="99" t="n"/>
      <c r="O3" s="99" t="n"/>
    </row>
    <row r="4" ht="18.75" customHeight="1">
      <c r="A4" s="1417" t="n"/>
      <c r="B4" s="247" t="inlineStr">
        <is>
          <t>รหัสฟอร์ม</t>
        </is>
      </c>
      <c r="C4" s="1086" t="inlineStr">
        <is>
          <t>Fr-03.1</t>
        </is>
      </c>
      <c r="D4" s="1415" t="n"/>
      <c r="E4" s="1416" t="n"/>
      <c r="F4" s="248" t="inlineStr">
        <is>
          <t>ผู้จัดทำ</t>
        </is>
      </c>
      <c r="G4" s="1087">
        <f>'Fr-01'!$G$4</f>
        <v/>
      </c>
      <c r="H4" s="1415" t="n"/>
      <c r="I4" s="1415" t="n"/>
      <c r="J4" s="1415" t="n"/>
      <c r="K4" s="1416" t="n"/>
      <c r="L4" s="247" t="inlineStr">
        <is>
          <t>วันที่</t>
        </is>
      </c>
      <c r="M4" s="814">
        <f>'Fr-01'!J4</f>
        <v/>
      </c>
    </row>
    <row r="5" ht="18.75" customHeight="1">
      <c r="A5" s="1439" t="n"/>
      <c r="B5" s="1409" t="n"/>
      <c r="C5" s="1409" t="n"/>
      <c r="D5" s="1409" t="n"/>
      <c r="E5" s="1409" t="n"/>
      <c r="F5" s="1409" t="n"/>
      <c r="G5" s="1409" t="n"/>
      <c r="H5" s="1409" t="n"/>
      <c r="I5" s="1409" t="n"/>
      <c r="J5" s="1409" t="n"/>
      <c r="K5" s="1409" t="n"/>
      <c r="L5" s="1409" t="n"/>
      <c r="M5" s="1410" t="n"/>
    </row>
    <row r="6" ht="12" customHeight="1">
      <c r="A6" s="1440" t="n"/>
      <c r="B6" s="1409" t="n"/>
      <c r="C6" s="1409" t="n"/>
      <c r="D6" s="1409" t="n"/>
      <c r="E6" s="1409" t="n"/>
      <c r="F6" s="1409" t="n"/>
      <c r="G6" s="1409" t="n"/>
      <c r="H6" s="1409" t="n"/>
      <c r="I6" s="1409" t="n"/>
      <c r="J6" s="1409" t="n"/>
      <c r="K6" s="1409" t="n"/>
      <c r="L6" s="1409" t="n"/>
      <c r="M6" s="1410" t="n"/>
    </row>
    <row r="7" ht="12.75" customHeight="1">
      <c r="A7" s="1441" t="n"/>
      <c r="B7" s="1409" t="n"/>
      <c r="C7" s="1409" t="n"/>
      <c r="D7" s="1409" t="n"/>
      <c r="E7" s="1409" t="n"/>
      <c r="F7" s="1409" t="n"/>
      <c r="G7" s="1409" t="n"/>
      <c r="H7" s="1409" t="n"/>
      <c r="I7" s="1409" t="n"/>
      <c r="J7" s="1409" t="n"/>
      <c r="K7" s="1409" t="n"/>
      <c r="L7" s="1409" t="n"/>
      <c r="M7" s="1410" t="n"/>
    </row>
    <row r="8" ht="12.75" customHeight="1">
      <c r="M8" s="1420" t="n"/>
    </row>
    <row r="9" ht="12.75" customHeight="1">
      <c r="M9" s="1420" t="n"/>
    </row>
    <row r="10" ht="12.75" customHeight="1">
      <c r="M10" s="1420" t="n"/>
    </row>
    <row r="11" ht="12.75" customHeight="1">
      <c r="M11" s="1420" t="n"/>
    </row>
    <row r="12" ht="12.75" customHeight="1">
      <c r="M12" s="1420" t="n"/>
    </row>
    <row r="13" ht="12.75" customHeight="1">
      <c r="M13" s="1420" t="n"/>
    </row>
    <row r="14" ht="12.75" customHeight="1">
      <c r="M14" s="1420" t="n"/>
    </row>
    <row r="15" ht="12.75" customHeight="1">
      <c r="M15" s="1420" t="n"/>
    </row>
    <row r="16" ht="12.75" customHeight="1">
      <c r="M16" s="1420" t="n"/>
    </row>
    <row r="17" ht="12.75" customHeight="1">
      <c r="M17" s="1420" t="n"/>
    </row>
    <row r="18" ht="12.75" customHeight="1">
      <c r="M18" s="1420" t="n"/>
    </row>
    <row r="19" ht="12.75" customHeight="1">
      <c r="M19" s="1420" t="n"/>
    </row>
    <row r="20" ht="12.75" customHeight="1">
      <c r="M20" s="1420" t="n"/>
    </row>
    <row r="21" ht="12.75" customHeight="1">
      <c r="M21" s="1420" t="n"/>
    </row>
    <row r="22" ht="12.75" customHeight="1">
      <c r="M22" s="1420" t="n"/>
    </row>
    <row r="23" ht="12.75" customHeight="1">
      <c r="M23" s="1420" t="n"/>
    </row>
    <row r="24" ht="12.75" customHeight="1">
      <c r="M24" s="1420" t="n"/>
    </row>
    <row r="25" ht="12.75" customHeight="1">
      <c r="M25" s="1420" t="n"/>
    </row>
    <row r="26" ht="12.75" customHeight="1">
      <c r="M26" s="1420" t="n"/>
    </row>
    <row r="27" ht="12.75" customHeight="1">
      <c r="M27" s="1420" t="n"/>
    </row>
    <row r="28" ht="12.75" customHeight="1">
      <c r="M28" s="1420" t="n"/>
    </row>
    <row r="29" ht="12.75" customHeight="1">
      <c r="M29" s="1420" t="n"/>
    </row>
    <row r="30" ht="12.75" customHeight="1">
      <c r="M30" s="1420" t="n"/>
    </row>
    <row r="31" ht="12.75" customHeight="1">
      <c r="M31" s="1420" t="n"/>
    </row>
    <row r="32" ht="12.75" customHeight="1">
      <c r="M32" s="1420" t="n"/>
    </row>
    <row r="33" ht="12.75" customHeight="1">
      <c r="M33" s="1420" t="n"/>
    </row>
    <row r="34" ht="12.75" customHeight="1">
      <c r="A34" s="1414" t="n"/>
      <c r="B34" s="1414" t="n"/>
      <c r="C34" s="1414" t="n"/>
      <c r="D34" s="1414" t="n"/>
      <c r="E34" s="1414" t="n"/>
      <c r="F34" s="1414" t="n"/>
      <c r="G34" s="1414" t="n"/>
      <c r="H34" s="1414" t="n"/>
      <c r="I34" s="1414" t="n"/>
      <c r="J34" s="1414" t="n"/>
      <c r="K34" s="1414" t="n"/>
      <c r="L34" s="1414" t="n"/>
      <c r="M34" s="830" t="n"/>
    </row>
    <row r="35" ht="13.5" customHeight="1">
      <c r="A35" s="91" t="inlineStr">
        <is>
          <t>จัดทำโดย</t>
        </is>
      </c>
      <c r="B35" s="1442">
        <f>'Fr-01'!G4</f>
        <v/>
      </c>
      <c r="C35" s="1415" t="n"/>
      <c r="D35" s="1415" t="n"/>
      <c r="E35" s="1415" t="n"/>
      <c r="F35" s="1415" t="n"/>
      <c r="G35" s="1415" t="n"/>
      <c r="H35" s="1415" t="n"/>
      <c r="I35" s="1416" t="n"/>
      <c r="J35" s="91" t="inlineStr">
        <is>
          <t>เสร็จสิ้นวันที่</t>
        </is>
      </c>
      <c r="K35" s="1443" t="n">
        <v>243829</v>
      </c>
      <c r="L35" s="1415" t="n"/>
      <c r="M35" s="1416" t="n"/>
    </row>
    <row r="36" ht="21.75" customFormat="1" customHeight="1" s="97">
      <c r="A36" s="1056" t="n"/>
      <c r="B36" s="1056" t="n"/>
      <c r="C36" s="1056" t="n"/>
      <c r="D36" s="1056" t="n"/>
      <c r="E36" s="1056" t="n"/>
      <c r="F36" s="1056" t="n"/>
      <c r="G36" s="1056" t="n"/>
      <c r="H36" s="1056" t="n"/>
      <c r="I36" s="1056" t="n"/>
      <c r="J36" s="1056" t="n"/>
      <c r="K36" s="1056" t="n"/>
      <c r="L36" s="1056" t="n"/>
      <c r="M36" s="1056" t="n"/>
    </row>
    <row r="39" ht="18.75" customHeight="1"/>
  </sheetData>
  <mergeCells count="12">
    <mergeCell ref="B1:K2"/>
    <mergeCell ref="G3:K3"/>
    <mergeCell ref="A5:M5"/>
    <mergeCell ref="A6:M6"/>
    <mergeCell ref="C4:E4"/>
    <mergeCell ref="L1:M2"/>
    <mergeCell ref="K35:M35"/>
    <mergeCell ref="C3:E3"/>
    <mergeCell ref="A1:A4"/>
    <mergeCell ref="A7:M34"/>
    <mergeCell ref="B35:I35"/>
    <mergeCell ref="G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P86"/>
  <sheetViews>
    <sheetView topLeftCell="A13" zoomScale="72" zoomScaleNormal="72" workbookViewId="0">
      <selection activeCell="S25" sqref="S25"/>
    </sheetView>
  </sheetViews>
  <sheetFormatPr baseColWidth="8" defaultColWidth="11" defaultRowHeight="13.2"/>
  <cols>
    <col width="10.09765625" customWidth="1" style="1056" min="1" max="1"/>
    <col width="13.296875" customWidth="1" style="1056" min="2" max="2"/>
    <col width="43" customWidth="1" style="1056" min="3" max="3"/>
    <col width="12.3984375" customWidth="1" style="1056" min="4" max="13"/>
    <col width="12.8984375" bestFit="1" customWidth="1" style="1056" min="14" max="14"/>
    <col width="11" customWidth="1" style="1056" min="15" max="18"/>
    <col width="13.69921875" bestFit="1" customWidth="1" style="1056" min="19" max="19"/>
    <col width="11" customWidth="1" style="1056" min="20" max="244"/>
    <col width="10.09765625" customWidth="1" style="1056" min="245" max="253"/>
    <col width="11" customWidth="1" style="1056" min="254" max="500"/>
    <col width="10.09765625" customWidth="1" style="1056" min="501" max="509"/>
    <col width="11" customWidth="1" style="1056" min="510" max="756"/>
    <col width="10.09765625" customWidth="1" style="1056" min="757" max="765"/>
    <col width="11" customWidth="1" style="1056" min="766" max="1012"/>
    <col width="10.09765625" customWidth="1" style="1056" min="1013" max="1021"/>
    <col width="11" customWidth="1" style="1056" min="1022" max="1268"/>
    <col width="10.09765625" customWidth="1" style="1056" min="1269" max="1277"/>
    <col width="11" customWidth="1" style="1056" min="1278" max="1524"/>
    <col width="10.09765625" customWidth="1" style="1056" min="1525" max="1533"/>
    <col width="11" customWidth="1" style="1056" min="1534" max="1780"/>
    <col width="10.09765625" customWidth="1" style="1056" min="1781" max="1789"/>
    <col width="11" customWidth="1" style="1056" min="1790" max="2036"/>
    <col width="10.09765625" customWidth="1" style="1056" min="2037" max="2045"/>
    <col width="11" customWidth="1" style="1056" min="2046" max="2292"/>
    <col width="10.09765625" customWidth="1" style="1056" min="2293" max="2301"/>
    <col width="11" customWidth="1" style="1056" min="2302" max="2548"/>
    <col width="10.09765625" customWidth="1" style="1056" min="2549" max="2557"/>
    <col width="11" customWidth="1" style="1056" min="2558" max="2804"/>
    <col width="10.09765625" customWidth="1" style="1056" min="2805" max="2813"/>
    <col width="11" customWidth="1" style="1056" min="2814" max="3060"/>
    <col width="10.09765625" customWidth="1" style="1056" min="3061" max="3069"/>
    <col width="11" customWidth="1" style="1056" min="3070" max="3316"/>
    <col width="10.09765625" customWidth="1" style="1056" min="3317" max="3325"/>
    <col width="11" customWidth="1" style="1056" min="3326" max="3572"/>
    <col width="10.09765625" customWidth="1" style="1056" min="3573" max="3581"/>
    <col width="11" customWidth="1" style="1056" min="3582" max="3828"/>
    <col width="10.09765625" customWidth="1" style="1056" min="3829" max="3837"/>
    <col width="11" customWidth="1" style="1056" min="3838" max="4084"/>
    <col width="10.09765625" customWidth="1" style="1056" min="4085" max="4093"/>
    <col width="11" customWidth="1" style="1056" min="4094" max="4340"/>
    <col width="10.09765625" customWidth="1" style="1056" min="4341" max="4349"/>
    <col width="11" customWidth="1" style="1056" min="4350" max="4596"/>
    <col width="10.09765625" customWidth="1" style="1056" min="4597" max="4605"/>
    <col width="11" customWidth="1" style="1056" min="4606" max="4852"/>
    <col width="10.09765625" customWidth="1" style="1056" min="4853" max="4861"/>
    <col width="11" customWidth="1" style="1056" min="4862" max="5108"/>
    <col width="10.09765625" customWidth="1" style="1056" min="5109" max="5117"/>
    <col width="11" customWidth="1" style="1056" min="5118" max="5364"/>
    <col width="10.09765625" customWidth="1" style="1056" min="5365" max="5373"/>
    <col width="11" customWidth="1" style="1056" min="5374" max="5620"/>
    <col width="10.09765625" customWidth="1" style="1056" min="5621" max="5629"/>
    <col width="11" customWidth="1" style="1056" min="5630" max="5876"/>
    <col width="10.09765625" customWidth="1" style="1056" min="5877" max="5885"/>
    <col width="11" customWidth="1" style="1056" min="5886" max="6132"/>
    <col width="10.09765625" customWidth="1" style="1056" min="6133" max="6141"/>
    <col width="11" customWidth="1" style="1056" min="6142" max="6388"/>
    <col width="10.09765625" customWidth="1" style="1056" min="6389" max="6397"/>
    <col width="11" customWidth="1" style="1056" min="6398" max="6644"/>
    <col width="10.09765625" customWidth="1" style="1056" min="6645" max="6653"/>
    <col width="11" customWidth="1" style="1056" min="6654" max="6900"/>
    <col width="10.09765625" customWidth="1" style="1056" min="6901" max="6909"/>
    <col width="11" customWidth="1" style="1056" min="6910" max="7156"/>
    <col width="10.09765625" customWidth="1" style="1056" min="7157" max="7165"/>
    <col width="11" customWidth="1" style="1056" min="7166" max="7412"/>
    <col width="10.09765625" customWidth="1" style="1056" min="7413" max="7421"/>
    <col width="11" customWidth="1" style="1056" min="7422" max="7668"/>
    <col width="10.09765625" customWidth="1" style="1056" min="7669" max="7677"/>
    <col width="11" customWidth="1" style="1056" min="7678" max="7924"/>
    <col width="10.09765625" customWidth="1" style="1056" min="7925" max="7933"/>
    <col width="11" customWidth="1" style="1056" min="7934" max="8180"/>
    <col width="10.09765625" customWidth="1" style="1056" min="8181" max="8189"/>
    <col width="11" customWidth="1" style="1056" min="8190" max="8436"/>
    <col width="10.09765625" customWidth="1" style="1056" min="8437" max="8445"/>
    <col width="11" customWidth="1" style="1056" min="8446" max="8692"/>
    <col width="10.09765625" customWidth="1" style="1056" min="8693" max="8701"/>
    <col width="11" customWidth="1" style="1056" min="8702" max="8948"/>
    <col width="10.09765625" customWidth="1" style="1056" min="8949" max="8957"/>
    <col width="11" customWidth="1" style="1056" min="8958" max="9204"/>
    <col width="10.09765625" customWidth="1" style="1056" min="9205" max="9213"/>
    <col width="11" customWidth="1" style="1056" min="9214" max="9460"/>
    <col width="10.09765625" customWidth="1" style="1056" min="9461" max="9469"/>
    <col width="11" customWidth="1" style="1056" min="9470" max="9716"/>
    <col width="10.09765625" customWidth="1" style="1056" min="9717" max="9725"/>
    <col width="11" customWidth="1" style="1056" min="9726" max="9972"/>
    <col width="10.09765625" customWidth="1" style="1056" min="9973" max="9981"/>
    <col width="11" customWidth="1" style="1056" min="9982" max="10228"/>
    <col width="10.09765625" customWidth="1" style="1056" min="10229" max="10237"/>
    <col width="11" customWidth="1" style="1056" min="10238" max="10484"/>
    <col width="10.09765625" customWidth="1" style="1056" min="10485" max="10493"/>
    <col width="11" customWidth="1" style="1056" min="10494" max="10740"/>
    <col width="10.09765625" customWidth="1" style="1056" min="10741" max="10749"/>
    <col width="11" customWidth="1" style="1056" min="10750" max="10996"/>
    <col width="10.09765625" customWidth="1" style="1056" min="10997" max="11005"/>
    <col width="11" customWidth="1" style="1056" min="11006" max="11252"/>
    <col width="10.09765625" customWidth="1" style="1056" min="11253" max="11261"/>
    <col width="11" customWidth="1" style="1056" min="11262" max="11508"/>
    <col width="10.09765625" customWidth="1" style="1056" min="11509" max="11517"/>
    <col width="11" customWidth="1" style="1056" min="11518" max="11764"/>
    <col width="10.09765625" customWidth="1" style="1056" min="11765" max="11773"/>
    <col width="11" customWidth="1" style="1056" min="11774" max="12020"/>
    <col width="10.09765625" customWidth="1" style="1056" min="12021" max="12029"/>
    <col width="11" customWidth="1" style="1056" min="12030" max="12276"/>
    <col width="10.09765625" customWidth="1" style="1056" min="12277" max="12285"/>
    <col width="11" customWidth="1" style="1056" min="12286" max="12532"/>
    <col width="10.09765625" customWidth="1" style="1056" min="12533" max="12541"/>
    <col width="11" customWidth="1" style="1056" min="12542" max="12788"/>
    <col width="10.09765625" customWidth="1" style="1056" min="12789" max="12797"/>
    <col width="11" customWidth="1" style="1056" min="12798" max="13044"/>
    <col width="10.09765625" customWidth="1" style="1056" min="13045" max="13053"/>
    <col width="11" customWidth="1" style="1056" min="13054" max="13300"/>
    <col width="10.09765625" customWidth="1" style="1056" min="13301" max="13309"/>
    <col width="11" customWidth="1" style="1056" min="13310" max="13556"/>
    <col width="10.09765625" customWidth="1" style="1056" min="13557" max="13565"/>
    <col width="11" customWidth="1" style="1056" min="13566" max="13812"/>
    <col width="10.09765625" customWidth="1" style="1056" min="13813" max="13821"/>
    <col width="11" customWidth="1" style="1056" min="13822" max="14068"/>
    <col width="10.09765625" customWidth="1" style="1056" min="14069" max="14077"/>
    <col width="11" customWidth="1" style="1056" min="14078" max="14324"/>
    <col width="10.09765625" customWidth="1" style="1056" min="14325" max="14333"/>
    <col width="11" customWidth="1" style="1056" min="14334" max="14580"/>
    <col width="10.09765625" customWidth="1" style="1056" min="14581" max="14589"/>
    <col width="11" customWidth="1" style="1056" min="14590" max="14836"/>
    <col width="10.09765625" customWidth="1" style="1056" min="14837" max="14845"/>
    <col width="11" customWidth="1" style="1056" min="14846" max="15092"/>
    <col width="10.09765625" customWidth="1" style="1056" min="15093" max="15101"/>
    <col width="11" customWidth="1" style="1056" min="15102" max="15348"/>
    <col width="10.09765625" customWidth="1" style="1056" min="15349" max="15357"/>
    <col width="11" customWidth="1" style="1056" min="15358" max="15604"/>
    <col width="10.09765625" customWidth="1" style="1056" min="15605" max="15613"/>
    <col width="11" customWidth="1" style="1056" min="15614" max="15860"/>
    <col width="10.09765625" customWidth="1" style="1056" min="15861" max="15869"/>
    <col width="11" customWidth="1" style="1056" min="15870" max="16116"/>
    <col width="10.09765625" customWidth="1" style="1056" min="16117" max="16125"/>
    <col width="11" customWidth="1" style="1056" min="16126" max="16384"/>
  </cols>
  <sheetData>
    <row r="1" customFormat="1" s="99">
      <c r="A1" s="1437" t="n"/>
      <c r="B1" s="1083" t="inlineStr">
        <is>
          <t>ประเมินความมีนัยสำคัญของการปล่อยก๊าซเรือนกระจกทางอ้อม (SCOPE 3)</t>
        </is>
      </c>
      <c r="C1" s="1409" t="n"/>
      <c r="D1" s="1409" t="n"/>
      <c r="E1" s="1409" t="n"/>
      <c r="F1" s="1409" t="n"/>
      <c r="G1" s="1409" t="n"/>
      <c r="H1" s="1409" t="n"/>
      <c r="I1" s="1409" t="n"/>
      <c r="J1" s="1409" t="n"/>
      <c r="K1" s="1409" t="n"/>
      <c r="L1" s="1409" t="n"/>
      <c r="M1" s="1409" t="n"/>
      <c r="N1" s="1410" t="n"/>
      <c r="O1" s="1444" t="inlineStr">
        <is>
          <t>TCFO_R_01
Version 04 : 21/2/2020</t>
        </is>
      </c>
      <c r="P1" s="1410" t="n"/>
    </row>
    <row r="2" customFormat="1" s="98">
      <c r="A2" s="1412" t="n"/>
      <c r="B2" s="1413" t="n"/>
      <c r="C2" s="1414" t="n"/>
      <c r="D2" s="1414" t="n"/>
      <c r="E2" s="1414" t="n"/>
      <c r="F2" s="1414" t="n"/>
      <c r="G2" s="1414" t="n"/>
      <c r="H2" s="1414" t="n"/>
      <c r="I2" s="1414" t="n"/>
      <c r="J2" s="1414" t="n"/>
      <c r="K2" s="1414" t="n"/>
      <c r="L2" s="1414" t="n"/>
      <c r="M2" s="1414" t="n"/>
      <c r="N2" s="830" t="n"/>
      <c r="O2" s="1414" t="n"/>
      <c r="P2" s="830" t="n"/>
    </row>
    <row r="3" customFormat="1" s="98">
      <c r="A3" s="1412" t="n"/>
      <c r="B3" s="247" t="inlineStr">
        <is>
          <t>ชื่อฟอร์ม</t>
        </is>
      </c>
      <c r="C3" s="1086" t="inlineStr">
        <is>
          <t>ประเมินความมีนัยสำคัญ Scope3</t>
        </is>
      </c>
      <c r="D3" s="1416" t="n"/>
      <c r="E3" s="248" t="inlineStr">
        <is>
          <t>องค์กร</t>
        </is>
      </c>
      <c r="F3" s="1087">
        <f>'Fr-01'!G3</f>
        <v/>
      </c>
      <c r="G3" s="1415" t="n"/>
      <c r="H3" s="1415" t="n"/>
      <c r="I3" s="1415" t="n"/>
      <c r="J3" s="1415" t="n"/>
      <c r="K3" s="1415" t="n"/>
      <c r="L3" s="1415" t="n"/>
      <c r="M3" s="1415" t="n"/>
      <c r="N3" s="1416" t="n"/>
      <c r="O3" s="247" t="inlineStr">
        <is>
          <t xml:space="preserve">หน้าที่ </t>
        </is>
      </c>
      <c r="P3" s="249" t="n">
        <v>3</v>
      </c>
    </row>
    <row r="4">
      <c r="A4" s="1417" t="n"/>
      <c r="B4" s="247" t="inlineStr">
        <is>
          <t>รหัสฟอร์ม</t>
        </is>
      </c>
      <c r="C4" s="1087" t="inlineStr">
        <is>
          <t>Fr-03.2</t>
        </is>
      </c>
      <c r="D4" s="1416" t="n"/>
      <c r="E4" s="248" t="inlineStr">
        <is>
          <t>ผู้จัดทำ</t>
        </is>
      </c>
      <c r="F4" s="1087">
        <f>'Fr-01'!G4</f>
        <v/>
      </c>
      <c r="G4" s="1415" t="n"/>
      <c r="H4" s="1415" t="n"/>
      <c r="I4" s="1415" t="n"/>
      <c r="J4" s="1415" t="n"/>
      <c r="K4" s="1415" t="n"/>
      <c r="L4" s="1415" t="n"/>
      <c r="M4" s="1415" t="n"/>
      <c r="N4" s="1416" t="n"/>
      <c r="O4" s="247" t="inlineStr">
        <is>
          <t>วันที่</t>
        </is>
      </c>
      <c r="P4" s="814">
        <f>'Fr-01'!J4</f>
        <v/>
      </c>
    </row>
    <row r="5">
      <c r="A5" s="1445" t="n"/>
      <c r="B5" s="1415" t="n"/>
      <c r="C5" s="1415" t="n"/>
      <c r="D5" s="1415" t="n"/>
      <c r="E5" s="1415" t="n"/>
      <c r="F5" s="1415" t="n"/>
      <c r="G5" s="1415" t="n"/>
      <c r="H5" s="1415" t="n"/>
      <c r="I5" s="1415" t="n"/>
      <c r="J5" s="1415" t="n"/>
      <c r="K5" s="1415" t="n"/>
      <c r="L5" s="1415" t="n"/>
      <c r="M5" s="1415" t="n"/>
      <c r="N5" s="1415" t="n"/>
      <c r="O5" s="1415" t="n"/>
      <c r="P5" s="1416" t="n"/>
    </row>
    <row r="6">
      <c r="A6" s="250" t="inlineStr">
        <is>
          <t>คำอธิบาย</t>
        </is>
      </c>
      <c r="B6" s="1092" t="inlineStr">
        <is>
      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      </is>
      </c>
      <c r="C6" s="1409" t="n"/>
      <c r="D6" s="1409" t="n"/>
      <c r="E6" s="1409" t="n"/>
      <c r="F6" s="1409" t="n"/>
      <c r="G6" s="1409" t="n"/>
      <c r="H6" s="1409" t="n"/>
      <c r="I6" s="1409" t="n"/>
      <c r="J6" s="1409" t="n"/>
      <c r="K6" s="1409" t="n"/>
      <c r="L6" s="1409" t="n"/>
      <c r="M6" s="1409" t="n"/>
      <c r="N6" s="1409" t="n"/>
      <c r="O6" s="1409" t="n"/>
      <c r="P6" s="1410" t="n"/>
    </row>
    <row r="7">
      <c r="A7" s="1446" t="n"/>
      <c r="B7" s="1409" t="n"/>
      <c r="C7" s="1409" t="n"/>
      <c r="D7" s="1409" t="n"/>
      <c r="E7" s="1409" t="n"/>
      <c r="F7" s="1409" t="n"/>
      <c r="G7" s="1409" t="n"/>
      <c r="H7" s="1409" t="n"/>
      <c r="I7" s="1409" t="n"/>
      <c r="J7" s="1409" t="n"/>
      <c r="K7" s="1409" t="n"/>
      <c r="L7" s="1409" t="n"/>
      <c r="M7" s="1409" t="n"/>
      <c r="N7" s="1409" t="n"/>
      <c r="O7" s="1409" t="n"/>
      <c r="P7" s="1410" t="n"/>
    </row>
    <row r="8">
      <c r="A8" s="1096" t="inlineStr">
        <is>
          <t>ประเด็นที่ต้องพิจารณา</t>
        </is>
      </c>
      <c r="B8" s="1416" t="n"/>
      <c r="C8" s="1096" t="inlineStr">
        <is>
          <t>คำอธิบาย</t>
        </is>
      </c>
      <c r="D8" s="1415" t="n"/>
      <c r="E8" s="1415" t="n"/>
      <c r="F8" s="1415" t="n"/>
      <c r="G8" s="1415" t="n"/>
      <c r="H8" s="1415" t="n"/>
      <c r="I8" s="1415" t="n"/>
      <c r="J8" s="1415" t="n"/>
      <c r="K8" s="1415" t="n"/>
      <c r="L8" s="1415" t="n"/>
      <c r="M8" s="1415" t="n"/>
      <c r="N8" s="1415" t="n"/>
      <c r="O8" s="1415" t="n"/>
      <c r="P8" s="1416" t="n"/>
    </row>
    <row r="9" ht="51" customHeight="1">
      <c r="A9" s="1081" t="inlineStr">
        <is>
          <t>Source of GHG</t>
        </is>
      </c>
      <c r="B9" s="1416" t="n"/>
      <c r="C9" s="1082" t="inlineStr">
        <is>
          <t>องค์กรมีแหล่งปล่อยก๊าซเรือนกระจกนี้หรือไม่</t>
        </is>
      </c>
      <c r="D9" s="1415" t="n"/>
      <c r="E9" s="1415" t="n"/>
      <c r="F9" s="1415" t="n"/>
      <c r="G9" s="1415" t="n"/>
      <c r="H9" s="1415" t="n"/>
      <c r="I9" s="1415" t="n"/>
      <c r="J9" s="1415" t="n"/>
      <c r="K9" s="1415" t="n"/>
      <c r="L9" s="1415" t="n"/>
      <c r="M9" s="1415" t="n"/>
      <c r="N9" s="1415" t="n"/>
      <c r="O9" s="1415" t="n"/>
      <c r="P9" s="1416" t="n"/>
    </row>
    <row r="10" ht="51" customHeight="1">
      <c r="A10" s="1081" t="inlineStr">
        <is>
          <t>ขนาด (Magnitude or Size)</t>
        </is>
      </c>
      <c r="B10" s="1416" t="n"/>
      <c r="C10" s="1082" t="inlineStr">
        <is>
      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      </is>
      </c>
      <c r="D10" s="1415" t="n"/>
      <c r="E10" s="1415" t="n"/>
      <c r="F10" s="1415" t="n"/>
      <c r="G10" s="1415" t="n"/>
      <c r="H10" s="1415" t="n"/>
      <c r="I10" s="1415" t="n"/>
      <c r="J10" s="1415" t="n"/>
      <c r="K10" s="1415" t="n"/>
      <c r="L10" s="1415" t="n"/>
      <c r="M10" s="1415" t="n"/>
      <c r="N10" s="1415" t="n"/>
      <c r="O10" s="1415" t="n"/>
      <c r="P10" s="1416" t="n"/>
    </row>
    <row r="11" ht="51" customHeight="1">
      <c r="A11" s="1097" t="inlineStr">
        <is>
          <t>ระดับของแรงจูงใจ (Level of influence (Reduction of potential))</t>
        </is>
      </c>
      <c r="B11" s="1416" t="n"/>
      <c r="C11" s="1447" t="inlineStr">
        <is>
      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      </is>
      </c>
      <c r="D11" s="1415" t="n"/>
      <c r="E11" s="1415" t="n"/>
      <c r="F11" s="1415" t="n"/>
      <c r="G11" s="1415" t="n"/>
      <c r="H11" s="1415" t="n"/>
      <c r="I11" s="1415" t="n"/>
      <c r="J11" s="1415" t="n"/>
      <c r="K11" s="1415" t="n"/>
      <c r="L11" s="1415" t="n"/>
      <c r="M11" s="1415" t="n"/>
      <c r="N11" s="1415" t="n"/>
      <c r="O11" s="1415" t="n"/>
      <c r="P11" s="1416" t="n"/>
    </row>
    <row r="12" ht="51" customHeight="1">
      <c r="A12" s="1097" t="inlineStr">
        <is>
          <t>ความเสี่ยง หรือ โอกาส Risk or opportunity</t>
        </is>
      </c>
      <c r="B12" s="1416" t="n"/>
      <c r="C12" s="1447" t="inlineStr">
        <is>
      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      </is>
      </c>
      <c r="D12" s="1415" t="n"/>
      <c r="E12" s="1415" t="n"/>
      <c r="F12" s="1415" t="n"/>
      <c r="G12" s="1415" t="n"/>
      <c r="H12" s="1415" t="n"/>
      <c r="I12" s="1415" t="n"/>
      <c r="J12" s="1415" t="n"/>
      <c r="K12" s="1415" t="n"/>
      <c r="L12" s="1415" t="n"/>
      <c r="M12" s="1415" t="n"/>
      <c r="N12" s="1415" t="n"/>
      <c r="O12" s="1415" t="n"/>
      <c r="P12" s="1416" t="n"/>
    </row>
    <row r="13" ht="51" customHeight="1">
      <c r="A13" s="1081" t="inlineStr">
        <is>
          <t xml:space="preserve">Sector Guidance </t>
        </is>
      </c>
      <c r="B13" s="1416" t="n"/>
      <c r="C13" s="1082" t="inlineStr">
        <is>
      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      </is>
      </c>
      <c r="D13" s="1415" t="n"/>
      <c r="E13" s="1415" t="n"/>
      <c r="F13" s="1415" t="n"/>
      <c r="G13" s="1415" t="n"/>
      <c r="H13" s="1415" t="n"/>
      <c r="I13" s="1415" t="n"/>
      <c r="J13" s="1415" t="n"/>
      <c r="K13" s="1415" t="n"/>
      <c r="L13" s="1415" t="n"/>
      <c r="M13" s="1415" t="n"/>
      <c r="N13" s="1415" t="n"/>
      <c r="O13" s="1415" t="n"/>
      <c r="P13" s="1416" t="n"/>
    </row>
    <row r="14" ht="51" customHeight="1">
      <c r="A14" s="1081" t="inlineStr">
        <is>
          <t>Outsourcing</t>
        </is>
      </c>
      <c r="B14" s="1416" t="n"/>
      <c r="C14" s="1082" t="inlineStr">
        <is>
      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      </is>
      </c>
      <c r="D14" s="1415" t="n"/>
      <c r="E14" s="1415" t="n"/>
      <c r="F14" s="1415" t="n"/>
      <c r="G14" s="1415" t="n"/>
      <c r="H14" s="1415" t="n"/>
      <c r="I14" s="1415" t="n"/>
      <c r="J14" s="1415" t="n"/>
      <c r="K14" s="1415" t="n"/>
      <c r="L14" s="1415" t="n"/>
      <c r="M14" s="1415" t="n"/>
      <c r="N14" s="1415" t="n"/>
      <c r="O14" s="1415" t="n"/>
      <c r="P14" s="1416" t="n"/>
    </row>
    <row r="15" ht="51" customHeight="1">
      <c r="A15" s="1081" t="inlineStr">
        <is>
          <t>Employee engagement</t>
        </is>
      </c>
      <c r="B15" s="1416" t="n"/>
      <c r="C15" s="1082" t="inlineStr">
        <is>
      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      </is>
      </c>
      <c r="D15" s="1415" t="n"/>
      <c r="E15" s="1415" t="n"/>
      <c r="F15" s="1415" t="n"/>
      <c r="G15" s="1415" t="n"/>
      <c r="H15" s="1415" t="n"/>
      <c r="I15" s="1415" t="n"/>
      <c r="J15" s="1415" t="n"/>
      <c r="K15" s="1415" t="n"/>
      <c r="L15" s="1415" t="n"/>
      <c r="M15" s="1415" t="n"/>
      <c r="N15" s="1415" t="n"/>
      <c r="O15" s="1415" t="n"/>
      <c r="P15" s="1416" t="n"/>
    </row>
    <row r="16">
      <c r="A16" s="251" t="inlineStr">
        <is>
      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      </is>
      </c>
      <c r="B16" s="252" t="n"/>
      <c r="C16" s="252" t="n"/>
      <c r="D16" s="252" t="n"/>
      <c r="E16" s="252" t="n"/>
      <c r="F16" s="252" t="n"/>
      <c r="G16" s="252" t="n"/>
      <c r="H16" s="252" t="n"/>
      <c r="I16" s="252" t="n"/>
      <c r="J16" s="252" t="n"/>
      <c r="K16" s="252" t="n"/>
      <c r="L16" s="252" t="n"/>
      <c r="M16" s="252" t="n"/>
      <c r="N16" s="1260" t="n"/>
      <c r="O16" s="1260" t="n"/>
      <c r="P16" s="211" t="n"/>
    </row>
    <row r="17">
      <c r="A17" s="212" t="n"/>
      <c r="B17" s="1260" t="n"/>
      <c r="C17" s="1260" t="n"/>
      <c r="D17" s="1260" t="n"/>
      <c r="E17" s="1260" t="n"/>
      <c r="F17" s="1260" t="n"/>
      <c r="G17" s="1260" t="n"/>
      <c r="H17" s="1260" t="n"/>
      <c r="I17" s="1260" t="n"/>
      <c r="J17" s="1260" t="n"/>
      <c r="K17" s="1260" t="n"/>
      <c r="L17" s="1260" t="n"/>
      <c r="M17" s="1260" t="n"/>
      <c r="N17" s="1260" t="n"/>
      <c r="O17" s="1260" t="n"/>
      <c r="P17" s="211" t="n"/>
    </row>
    <row r="19">
      <c r="A19" s="478" t="n"/>
      <c r="B19" s="478" t="n"/>
      <c r="C19" s="479" t="inlineStr">
        <is>
          <t>น้ำหนักประเด็นที่พิจารณา</t>
        </is>
      </c>
      <c r="F19" s="480" t="n">
        <v>0.6</v>
      </c>
      <c r="G19" s="480" t="n">
        <v>0.2</v>
      </c>
      <c r="H19" s="480" t="n">
        <v>0.1</v>
      </c>
      <c r="I19" s="480" t="n">
        <v>0.1</v>
      </c>
      <c r="J19" s="478" t="n"/>
      <c r="K19" s="478" t="n"/>
      <c r="L19" s="478" t="n"/>
      <c r="M19" s="478" t="n"/>
      <c r="N19" s="478" t="n"/>
      <c r="O19" s="1260" t="n"/>
    </row>
    <row r="20" ht="52.8" customHeight="1">
      <c r="A20" s="253" t="inlineStr">
        <is>
          <t>No. TGO</t>
        </is>
      </c>
      <c r="B20" s="253" t="inlineStr">
        <is>
          <t>Scope in ISO 14064-1</t>
        </is>
      </c>
      <c r="C20" s="254" t="inlineStr">
        <is>
          <t>Category</t>
        </is>
      </c>
      <c r="D20" s="255" t="inlineStr">
        <is>
          <t>Source of GHG</t>
        </is>
      </c>
      <c r="E20" s="255" t="inlineStr">
        <is>
          <t>Source of EF</t>
        </is>
      </c>
      <c r="F20" s="256" t="inlineStr">
        <is>
          <t>Magnitude</t>
        </is>
      </c>
      <c r="G20" s="481" t="inlineStr">
        <is>
          <t>Level of influence (Reduction of potential)</t>
        </is>
      </c>
      <c r="H20" s="481" t="inlineStr">
        <is>
          <t xml:space="preserve">Risk </t>
        </is>
      </c>
      <c r="I20" s="482" t="inlineStr">
        <is>
          <t>Oppoturnity</t>
        </is>
      </c>
      <c r="J20" s="483" t="inlineStr">
        <is>
          <t>ผลคะแนน</t>
        </is>
      </c>
      <c r="K20" s="484" t="inlineStr">
        <is>
          <t>ผลการประเมิน</t>
        </is>
      </c>
      <c r="L20" s="484" t="inlineStr">
        <is>
          <t xml:space="preserve">ผลการคัดเลือก </t>
        </is>
      </c>
      <c r="M20" s="485" t="inlineStr">
        <is>
          <t>GHG 
(tCO2eq.)</t>
        </is>
      </c>
      <c r="N20" s="486" t="inlineStr">
        <is>
          <t>%</t>
        </is>
      </c>
    </row>
    <row r="21">
      <c r="A21" s="487" t="n">
        <v>3.1</v>
      </c>
      <c r="B21" s="487" t="n">
        <v>4.1</v>
      </c>
      <c r="C21" s="488" t="inlineStr">
        <is>
          <t>Purchased Goods &amp; Services</t>
        </is>
      </c>
      <c r="D21" s="489" t="n"/>
      <c r="E21" s="489" t="n"/>
      <c r="F21" s="490" t="n"/>
      <c r="G21" s="491" t="n"/>
      <c r="H21" s="491" t="n"/>
      <c r="I21" s="491" t="n"/>
      <c r="J21" s="492" t="n"/>
      <c r="K21" s="493" t="n"/>
      <c r="L21" s="493" t="n"/>
      <c r="M21" s="1448" t="n"/>
      <c r="N21" s="495" t="n"/>
    </row>
    <row r="22">
      <c r="A22" s="487" t="n"/>
      <c r="B22" s="487" t="n"/>
      <c r="C22" s="496">
        <f>'Screen scope 3'!C3</f>
        <v/>
      </c>
      <c r="D22" s="489" t="n">
        <v>1</v>
      </c>
      <c r="E22" s="489" t="n">
        <v>1</v>
      </c>
      <c r="F22" s="490" t="n">
        <v>3</v>
      </c>
      <c r="G22" s="491" t="n">
        <v>3</v>
      </c>
      <c r="H22" s="491" t="n">
        <v>3</v>
      </c>
      <c r="I22" s="491" t="n">
        <v>5</v>
      </c>
      <c r="J22" s="492">
        <f>D22+E22+(F22*$F$19)+(G22*$G$19)+(H22*$H$19)+(I22*$I$19)</f>
        <v/>
      </c>
      <c r="K22" s="493" t="inlineStr">
        <is>
          <t>มีนัยสำคัญ</t>
        </is>
      </c>
      <c r="L22" s="493" t="inlineStr">
        <is>
          <t>เลือกประเมิน</t>
        </is>
      </c>
      <c r="M22" s="1448">
        <f>'Screen scope 3'!I3</f>
        <v/>
      </c>
      <c r="N22" s="1448">
        <f>'Screen scope 3'!J3</f>
        <v/>
      </c>
    </row>
    <row r="23">
      <c r="A23" s="487" t="n"/>
      <c r="B23" s="487" t="n"/>
      <c r="C23" s="496">
        <f>'Screen scope 3'!C4</f>
        <v/>
      </c>
      <c r="D23" s="489" t="n">
        <v>1</v>
      </c>
      <c r="E23" s="489" t="n">
        <v>1</v>
      </c>
      <c r="F23" s="490" t="n">
        <v>3</v>
      </c>
      <c r="G23" s="491" t="n">
        <v>3</v>
      </c>
      <c r="H23" s="491" t="n">
        <v>3</v>
      </c>
      <c r="I23" s="491" t="n">
        <v>5</v>
      </c>
      <c r="J23" s="492">
        <f>D23+E23+(F23*$F$19)+(G23*$G$19)+(H23*$H$19)+(I23*$I$19)</f>
        <v/>
      </c>
      <c r="K23" s="493" t="inlineStr">
        <is>
          <t>มีนัยสำคัญ</t>
        </is>
      </c>
      <c r="L23" s="493" t="inlineStr">
        <is>
          <t>เลือกประเมิน</t>
        </is>
      </c>
      <c r="M23" s="1448">
        <f>'Screen scope 3'!I4</f>
        <v/>
      </c>
      <c r="N23" s="1448">
        <f>'Screen scope 3'!J4</f>
        <v/>
      </c>
    </row>
    <row r="24">
      <c r="A24" s="487" t="n"/>
      <c r="B24" s="487" t="n"/>
      <c r="C24" s="496">
        <f>'Screen scope 3'!C5</f>
        <v/>
      </c>
      <c r="D24" s="489" t="n">
        <v>1</v>
      </c>
      <c r="E24" s="489" t="n">
        <v>1</v>
      </c>
      <c r="F24" s="490" t="n">
        <v>3</v>
      </c>
      <c r="G24" s="491" t="n">
        <v>3</v>
      </c>
      <c r="H24" s="491" t="n">
        <v>3</v>
      </c>
      <c r="I24" s="491" t="n">
        <v>5</v>
      </c>
      <c r="J24" s="492">
        <f>D24+E24+(F24*$F$19)+(G24*$G$19)+(H24*$H$19)+(I24*$I$19)</f>
        <v/>
      </c>
      <c r="K24" s="493" t="inlineStr">
        <is>
          <t>มีนัยสำคัญ</t>
        </is>
      </c>
      <c r="L24" s="493" t="inlineStr">
        <is>
          <t>เลือกประเมิน</t>
        </is>
      </c>
      <c r="M24" s="1448">
        <f>'Screen scope 3'!I5</f>
        <v/>
      </c>
      <c r="N24" s="1448">
        <f>'Screen scope 3'!J5</f>
        <v/>
      </c>
    </row>
    <row r="25">
      <c r="A25" s="487" t="n"/>
      <c r="B25" s="487" t="n"/>
      <c r="C25" s="1383">
        <f>'Screen scope 3'!C6</f>
        <v/>
      </c>
      <c r="D25" s="489" t="n">
        <v>1</v>
      </c>
      <c r="E25" s="489" t="n">
        <v>1</v>
      </c>
      <c r="F25" s="490" t="n">
        <v>1</v>
      </c>
      <c r="G25" s="491" t="n">
        <v>1</v>
      </c>
      <c r="H25" s="491" t="n">
        <v>1</v>
      </c>
      <c r="I25" s="491" t="n">
        <v>1</v>
      </c>
      <c r="J25" s="492">
        <f>D25+E25+(F25*$F$19)+(G25*$G$19)+(H25*$H$19)+(I25*$I$19)</f>
        <v/>
      </c>
      <c r="K25" s="493" t="inlineStr">
        <is>
          <t>ไม่มีนัยสำคัญ</t>
        </is>
      </c>
      <c r="L25" s="498" t="n"/>
      <c r="M25" s="1448">
        <f>'Screen scope 3'!I6</f>
        <v/>
      </c>
      <c r="N25" s="497">
        <f>'Screen scope 3'!J6</f>
        <v/>
      </c>
    </row>
    <row r="26">
      <c r="A26" s="487" t="n"/>
      <c r="B26" s="487" t="n"/>
      <c r="C26" s="1383">
        <f>'Screen scope 3'!C7</f>
        <v/>
      </c>
      <c r="D26" s="489" t="n">
        <v>1</v>
      </c>
      <c r="E26" s="489" t="n">
        <v>1</v>
      </c>
      <c r="F26" s="490" t="n">
        <v>1</v>
      </c>
      <c r="G26" s="491" t="n">
        <v>1</v>
      </c>
      <c r="H26" s="491" t="n">
        <v>1</v>
      </c>
      <c r="I26" s="491" t="n">
        <v>1</v>
      </c>
      <c r="J26" s="492">
        <f>D26+E26+(F26*$F$19)+(G26*$G$19)+(H26*$H$19)+(I26*$I$19)</f>
        <v/>
      </c>
      <c r="K26" s="493" t="inlineStr">
        <is>
          <t>ไม่มีนัยสำคัญ</t>
        </is>
      </c>
      <c r="L26" s="498" t="n"/>
      <c r="M26" s="1448">
        <f>'Screen scope 3'!I7</f>
        <v/>
      </c>
      <c r="N26" s="497">
        <f>'Screen scope 3'!J7</f>
        <v/>
      </c>
    </row>
    <row r="27">
      <c r="A27" s="487" t="n"/>
      <c r="B27" s="487" t="n"/>
      <c r="C27" s="1383">
        <f>'Screen scope 3'!C8</f>
        <v/>
      </c>
      <c r="D27" s="489" t="n">
        <v>1</v>
      </c>
      <c r="E27" s="489" t="n">
        <v>1</v>
      </c>
      <c r="F27" s="490" t="n">
        <v>1</v>
      </c>
      <c r="G27" s="491" t="n">
        <v>1</v>
      </c>
      <c r="H27" s="491" t="n">
        <v>1</v>
      </c>
      <c r="I27" s="491" t="n">
        <v>1</v>
      </c>
      <c r="J27" s="492">
        <f>D27+E27+(F27*$F$19)+(G27*$G$19)+(H27*$H$19)+(I27*$I$19)</f>
        <v/>
      </c>
      <c r="K27" s="493" t="inlineStr">
        <is>
          <t>ไม่มีนัยสำคัญ</t>
        </is>
      </c>
      <c r="L27" s="498" t="n"/>
      <c r="M27" s="1448">
        <f>'Screen scope 3'!I8</f>
        <v/>
      </c>
      <c r="N27" s="1448">
        <f>'Screen scope 3'!J8</f>
        <v/>
      </c>
    </row>
    <row r="28">
      <c r="A28" s="487" t="n"/>
      <c r="B28" s="487" t="n"/>
      <c r="C28" s="1383">
        <f>'Screen scope 3'!C9</f>
        <v/>
      </c>
      <c r="D28" s="489" t="n">
        <v>1</v>
      </c>
      <c r="E28" s="489" t="n">
        <v>1</v>
      </c>
      <c r="F28" s="490" t="n">
        <v>1</v>
      </c>
      <c r="G28" s="491" t="n">
        <v>1</v>
      </c>
      <c r="H28" s="491" t="n">
        <v>1</v>
      </c>
      <c r="I28" s="491" t="n">
        <v>1</v>
      </c>
      <c r="J28" s="492">
        <f>D28+E28+(F28*$F$19)+(G28*$G$19)+(H28*$H$19)+(I28*$I$19)</f>
        <v/>
      </c>
      <c r="K28" s="493" t="inlineStr">
        <is>
          <t>ไม่มีนัยสำคัญ</t>
        </is>
      </c>
      <c r="L28" s="498" t="n"/>
      <c r="M28" s="1448">
        <f>'Screen scope 3'!I9</f>
        <v/>
      </c>
      <c r="N28" s="1448">
        <f>'Screen scope 3'!J9</f>
        <v/>
      </c>
    </row>
    <row r="29">
      <c r="A29" s="487" t="n"/>
      <c r="B29" s="487" t="n"/>
      <c r="C29" s="1383">
        <f>'Screen scope 3'!C10</f>
        <v/>
      </c>
      <c r="D29" s="489" t="n">
        <v>1</v>
      </c>
      <c r="E29" s="489" t="n">
        <v>1</v>
      </c>
      <c r="F29" s="490" t="n">
        <v>1</v>
      </c>
      <c r="G29" s="491" t="n">
        <v>1</v>
      </c>
      <c r="H29" s="491" t="n">
        <v>1</v>
      </c>
      <c r="I29" s="491" t="n">
        <v>1</v>
      </c>
      <c r="J29" s="492">
        <f>D29+E29+(F29*$F$19)+(G29*$G$19)+(H29*$H$19)+(I29*$I$19)</f>
        <v/>
      </c>
      <c r="K29" s="493" t="inlineStr">
        <is>
          <t>ไม่มีนัยสำคัญ</t>
        </is>
      </c>
      <c r="L29" s="498" t="n"/>
      <c r="M29" s="1448">
        <f>'Screen scope 3'!I10</f>
        <v/>
      </c>
      <c r="N29" s="1448">
        <f>'Screen scope 3'!J10</f>
        <v/>
      </c>
    </row>
    <row r="30">
      <c r="A30" s="487" t="n"/>
      <c r="B30" s="487" t="n"/>
      <c r="C30" s="1383">
        <f>'Screen scope 3'!C11</f>
        <v/>
      </c>
      <c r="D30" s="489" t="n">
        <v>1</v>
      </c>
      <c r="E30" s="489" t="n">
        <v>1</v>
      </c>
      <c r="F30" s="490" t="n">
        <v>1</v>
      </c>
      <c r="G30" s="491" t="n">
        <v>1</v>
      </c>
      <c r="H30" s="491" t="n">
        <v>1</v>
      </c>
      <c r="I30" s="491" t="n">
        <v>1</v>
      </c>
      <c r="J30" s="492">
        <f>D30+E30+(F30*$F$19)+(G30*$G$19)+(H30*$H$19)+(I30*$I$19)</f>
        <v/>
      </c>
      <c r="K30" s="493" t="inlineStr">
        <is>
          <t>ไม่มีนัยสำคัญ</t>
        </is>
      </c>
      <c r="L30" s="498" t="n"/>
      <c r="M30" s="1448">
        <f>'Screen scope 3'!I11</f>
        <v/>
      </c>
      <c r="N30" s="1448">
        <f>'Screen scope 3'!J11</f>
        <v/>
      </c>
    </row>
    <row r="31">
      <c r="A31" s="487" t="n"/>
      <c r="B31" s="487" t="n"/>
      <c r="C31" s="1383">
        <f>'Screen scope 3'!C12</f>
        <v/>
      </c>
      <c r="D31" s="489" t="n">
        <v>1</v>
      </c>
      <c r="E31" s="489" t="n">
        <v>1</v>
      </c>
      <c r="F31" s="490" t="n">
        <v>1</v>
      </c>
      <c r="G31" s="491" t="n">
        <v>1</v>
      </c>
      <c r="H31" s="491" t="n">
        <v>1</v>
      </c>
      <c r="I31" s="491" t="n">
        <v>1</v>
      </c>
      <c r="J31" s="492">
        <f>D31+E31+(F31*$F$19)+(G31*$G$19)+(H31*$H$19)+(I31*$I$19)</f>
        <v/>
      </c>
      <c r="K31" s="493" t="inlineStr">
        <is>
          <t>ไม่มีนัยสำคัญ</t>
        </is>
      </c>
      <c r="L31" s="498" t="n"/>
      <c r="M31" s="1448">
        <f>'Screen scope 3'!I12</f>
        <v/>
      </c>
      <c r="N31" s="1448">
        <f>'Screen scope 3'!J12</f>
        <v/>
      </c>
    </row>
    <row r="32">
      <c r="A32" s="487" t="n"/>
      <c r="B32" s="487" t="n"/>
      <c r="C32" s="1383">
        <f>'Screen scope 3'!C13</f>
        <v/>
      </c>
      <c r="D32" s="489" t="n">
        <v>1</v>
      </c>
      <c r="E32" s="489" t="n">
        <v>1</v>
      </c>
      <c r="F32" s="490" t="n">
        <v>1</v>
      </c>
      <c r="G32" s="491" t="n">
        <v>1</v>
      </c>
      <c r="H32" s="491" t="n">
        <v>1</v>
      </c>
      <c r="I32" s="491" t="n">
        <v>1</v>
      </c>
      <c r="J32" s="492">
        <f>D32+E32+(F32*$F$19)+(G32*$G$19)+(H32*$H$19)+(I32*$I$19)</f>
        <v/>
      </c>
      <c r="K32" s="493" t="inlineStr">
        <is>
          <t>ไม่มีนัยสำคัญ</t>
        </is>
      </c>
      <c r="L32" s="498" t="n"/>
      <c r="M32" s="1448">
        <f>'Screen scope 3'!I13+'Screen scope 3'!I14</f>
        <v/>
      </c>
      <c r="N32" s="1448">
        <f>'Screen scope 3'!J13+'Screen scope 3'!J14</f>
        <v/>
      </c>
    </row>
    <row r="33">
      <c r="A33" s="487" t="n">
        <v>3.2</v>
      </c>
      <c r="B33" s="487" t="n">
        <v>4.2</v>
      </c>
      <c r="C33" s="499" t="inlineStr">
        <is>
          <t>Capital goods</t>
        </is>
      </c>
      <c r="D33" s="489" t="n">
        <v>1</v>
      </c>
      <c r="E33" s="489" t="n">
        <v>0</v>
      </c>
      <c r="F33" s="500" t="n"/>
      <c r="G33" s="501" t="n"/>
      <c r="H33" s="501" t="n"/>
      <c r="I33" s="501" t="n"/>
      <c r="J33" s="502">
        <f>D33+E33+(F33*$F$19)+(G33*$G$19)+(H33*$H$19)+(I33*$I$19)</f>
        <v/>
      </c>
      <c r="K33" s="503" t="inlineStr">
        <is>
          <t>ไม่มีนัยสำคัญ/มีนัยสำคัญ</t>
        </is>
      </c>
      <c r="L33" s="503" t="n"/>
      <c r="M33" s="1449" t="n"/>
      <c r="N33" s="505" t="n"/>
    </row>
    <row r="34">
      <c r="A34" s="487" t="n">
        <v>3.3</v>
      </c>
      <c r="B34" s="487" t="n">
        <v>2.2</v>
      </c>
      <c r="C34" s="488" t="inlineStr">
        <is>
          <t>Fuel- and energy related activities</t>
        </is>
      </c>
      <c r="D34" s="489" t="n"/>
      <c r="E34" s="489" t="n"/>
      <c r="F34" s="506" t="n"/>
      <c r="G34" s="491" t="n"/>
      <c r="H34" s="491" t="n"/>
      <c r="I34" s="491" t="n"/>
      <c r="J34" s="492" t="n"/>
      <c r="K34" s="493" t="n"/>
      <c r="L34" s="493" t="n"/>
      <c r="M34" s="1448" t="n"/>
      <c r="N34" s="495" t="n"/>
    </row>
    <row r="35">
      <c r="A35" s="487" t="n"/>
      <c r="B35" s="487" t="n"/>
      <c r="C35" s="1383">
        <f>'Screen scope 3'!C16</f>
        <v/>
      </c>
      <c r="D35" s="489" t="n">
        <v>1</v>
      </c>
      <c r="E35" s="489" t="n">
        <v>1</v>
      </c>
      <c r="F35" s="490" t="n">
        <v>1</v>
      </c>
      <c r="G35" s="491" t="n">
        <v>1</v>
      </c>
      <c r="H35" s="491" t="n">
        <v>1</v>
      </c>
      <c r="I35" s="491" t="n">
        <v>1</v>
      </c>
      <c r="J35" s="492">
        <f>D35+E35+(F35*$F$19)+(G35*$G$19)+(H35*$H$19)+(I35*$I$19)</f>
        <v/>
      </c>
      <c r="K35" s="493" t="inlineStr">
        <is>
          <t>ไม่มีนัยสำคัญ</t>
        </is>
      </c>
      <c r="L35" s="498" t="n"/>
      <c r="M35" s="1448">
        <f>'Screen scope 3'!I16</f>
        <v/>
      </c>
      <c r="N35" s="1448">
        <f>'Screen scope 3'!J16</f>
        <v/>
      </c>
    </row>
    <row r="36">
      <c r="A36" s="487" t="n"/>
      <c r="B36" s="487" t="n"/>
      <c r="C36" s="1383">
        <f>'Screen scope 3'!C17</f>
        <v/>
      </c>
      <c r="D36" s="489" t="n">
        <v>1</v>
      </c>
      <c r="E36" s="489" t="n">
        <v>1</v>
      </c>
      <c r="F36" s="490" t="n">
        <v>1</v>
      </c>
      <c r="G36" s="491" t="n">
        <v>1</v>
      </c>
      <c r="H36" s="491" t="n">
        <v>1</v>
      </c>
      <c r="I36" s="491" t="n">
        <v>1</v>
      </c>
      <c r="J36" s="492">
        <f>D36+E36+(F36*$F$19)+(G36*$G$19)+(H36*$H$19)+(I36*$I$19)</f>
        <v/>
      </c>
      <c r="K36" s="493" t="inlineStr">
        <is>
          <t>ไม่มีนัยสำคัญ</t>
        </is>
      </c>
      <c r="L36" s="498" t="n"/>
      <c r="M36" s="1448">
        <f>'Screen scope 3'!I17</f>
        <v/>
      </c>
      <c r="N36" s="1448">
        <f>'Screen scope 3'!J17</f>
        <v/>
      </c>
    </row>
    <row r="37">
      <c r="A37" s="487" t="n"/>
      <c r="B37" s="487" t="n"/>
      <c r="C37" s="1383">
        <f>'Screen scope 3'!C18</f>
        <v/>
      </c>
      <c r="D37" s="489" t="n">
        <v>1</v>
      </c>
      <c r="E37" s="489" t="n">
        <v>1</v>
      </c>
      <c r="F37" s="490" t="n">
        <v>1</v>
      </c>
      <c r="G37" s="491" t="n">
        <v>1</v>
      </c>
      <c r="H37" s="491" t="n">
        <v>1</v>
      </c>
      <c r="I37" s="491" t="n">
        <v>1</v>
      </c>
      <c r="J37" s="492">
        <f>D37+E37+(F37*$F$19)+(G37*$G$19)+(H37*$H$19)+(I37*$I$19)</f>
        <v/>
      </c>
      <c r="K37" s="493" t="inlineStr">
        <is>
          <t>ไม่มีนัยสำคัญ</t>
        </is>
      </c>
      <c r="L37" s="498" t="n"/>
      <c r="M37" s="1448">
        <f>'Screen scope 3'!I18</f>
        <v/>
      </c>
      <c r="N37" s="1448">
        <f>'Screen scope 3'!J18</f>
        <v/>
      </c>
    </row>
    <row r="38">
      <c r="A38" s="487" t="n"/>
      <c r="B38" s="487" t="n"/>
      <c r="C38" s="1383">
        <f>'Screen scope 3'!C19</f>
        <v/>
      </c>
      <c r="D38" s="489" t="n">
        <v>1</v>
      </c>
      <c r="E38" s="489" t="n">
        <v>1</v>
      </c>
      <c r="F38" s="490" t="n">
        <v>1</v>
      </c>
      <c r="G38" s="491" t="n">
        <v>1</v>
      </c>
      <c r="H38" s="491" t="n">
        <v>1</v>
      </c>
      <c r="I38" s="491" t="n">
        <v>1</v>
      </c>
      <c r="J38" s="492">
        <f>D38+E38+(F38*$F$19)+(G38*$G$19)+(H38*$H$19)+(I38*$I$19)</f>
        <v/>
      </c>
      <c r="K38" s="493" t="inlineStr">
        <is>
          <t>ไม่มีนัยสำคัญ</t>
        </is>
      </c>
      <c r="L38" s="498" t="n"/>
      <c r="M38" s="1448">
        <f>'Screen scope 3'!I19</f>
        <v/>
      </c>
      <c r="N38" s="1448">
        <f>'Screen scope 3'!J19</f>
        <v/>
      </c>
    </row>
    <row r="39">
      <c r="A39" s="487" t="n">
        <v>3.4</v>
      </c>
      <c r="B39" s="487" t="n">
        <v>3.1</v>
      </c>
      <c r="C39" s="488" t="inlineStr">
        <is>
          <t>Upstream transportation and distribution</t>
        </is>
      </c>
      <c r="D39" s="489" t="n"/>
      <c r="E39" s="489" t="n"/>
      <c r="F39" s="506" t="n"/>
      <c r="G39" s="491" t="n"/>
      <c r="H39" s="491" t="n"/>
      <c r="I39" s="491" t="n"/>
      <c r="J39" s="492" t="n"/>
      <c r="K39" s="493" t="n"/>
      <c r="L39" s="493" t="n"/>
      <c r="M39" s="1448" t="n"/>
      <c r="N39" s="507" t="n"/>
    </row>
    <row r="40">
      <c r="A40" s="487" t="n"/>
      <c r="B40" s="487" t="n"/>
      <c r="C40" s="1383">
        <f>'Screen scope 3'!C21</f>
        <v/>
      </c>
      <c r="D40" s="489" t="n">
        <v>1</v>
      </c>
      <c r="E40" s="489" t="n">
        <v>1</v>
      </c>
      <c r="F40" s="490" t="n">
        <v>1</v>
      </c>
      <c r="G40" s="491" t="n">
        <v>1</v>
      </c>
      <c r="H40" s="491" t="n">
        <v>1</v>
      </c>
      <c r="I40" s="491" t="n">
        <v>1</v>
      </c>
      <c r="J40" s="492">
        <f>D40+E40+(F40*$F$19)+(G40*$G$19)+(H40*$H$19)+(I40*$I$19)</f>
        <v/>
      </c>
      <c r="K40" s="493" t="inlineStr">
        <is>
          <t>ไม่มีนัยสำคัญ</t>
        </is>
      </c>
      <c r="L40" s="498" t="n"/>
      <c r="M40" s="1448">
        <f>'Screen scope 3'!I21</f>
        <v/>
      </c>
      <c r="N40" s="1448">
        <f>'Screen scope 3'!J21</f>
        <v/>
      </c>
    </row>
    <row r="41">
      <c r="A41" s="487" t="n"/>
      <c r="B41" s="487" t="n"/>
      <c r="C41" s="1383">
        <f>'Screen scope 3'!C22</f>
        <v/>
      </c>
      <c r="D41" s="489" t="n">
        <v>1</v>
      </c>
      <c r="E41" s="489" t="n">
        <v>1</v>
      </c>
      <c r="F41" s="490" t="n">
        <v>1</v>
      </c>
      <c r="G41" s="491" t="n">
        <v>1</v>
      </c>
      <c r="H41" s="491" t="n">
        <v>1</v>
      </c>
      <c r="I41" s="491" t="n">
        <v>1</v>
      </c>
      <c r="J41" s="492">
        <f>D41+E41+(F41*$F$19)+(G41*$G$19)+(H41*$H$19)+(I41*$I$19)</f>
        <v/>
      </c>
      <c r="K41" s="493" t="inlineStr">
        <is>
          <t>ไม่มีนัยสำคัญ</t>
        </is>
      </c>
      <c r="L41" s="498" t="n"/>
      <c r="M41" s="1448">
        <f>'Screen scope 3'!I22</f>
        <v/>
      </c>
      <c r="N41" s="1448">
        <f>'Screen scope 3'!J22</f>
        <v/>
      </c>
    </row>
    <row r="42">
      <c r="A42" s="487" t="n"/>
      <c r="B42" s="487" t="n"/>
      <c r="C42" s="1383">
        <f>'Screen scope 3'!C23</f>
        <v/>
      </c>
      <c r="D42" s="489" t="n">
        <v>1</v>
      </c>
      <c r="E42" s="489" t="n">
        <v>1</v>
      </c>
      <c r="F42" s="490" t="n">
        <v>1</v>
      </c>
      <c r="G42" s="491" t="n">
        <v>1</v>
      </c>
      <c r="H42" s="491" t="n">
        <v>1</v>
      </c>
      <c r="I42" s="491" t="n">
        <v>1</v>
      </c>
      <c r="J42" s="492">
        <f>D42+E42+(F42*$F$19)+(G42*$G$19)+(H42*$H$19)+(I42*$I$19)</f>
        <v/>
      </c>
      <c r="K42" s="493" t="inlineStr">
        <is>
          <t>ไม่มีนัยสำคัญ</t>
        </is>
      </c>
      <c r="L42" s="498" t="n"/>
      <c r="M42" s="1448">
        <f>'Screen scope 3'!I23</f>
        <v/>
      </c>
      <c r="N42" s="1448">
        <f>'Screen scope 3'!J23</f>
        <v/>
      </c>
    </row>
    <row r="43">
      <c r="A43" s="487" t="n"/>
      <c r="B43" s="487" t="n"/>
      <c r="C43" s="1383">
        <f>'Screen scope 3'!C24</f>
        <v/>
      </c>
      <c r="D43" s="489" t="n">
        <v>1</v>
      </c>
      <c r="E43" s="489" t="n">
        <v>1</v>
      </c>
      <c r="F43" s="490" t="n">
        <v>1</v>
      </c>
      <c r="G43" s="491" t="n">
        <v>1</v>
      </c>
      <c r="H43" s="491" t="n">
        <v>1</v>
      </c>
      <c r="I43" s="491" t="n">
        <v>1</v>
      </c>
      <c r="J43" s="492">
        <f>D43+E43+(F43*$F$19)+(G43*$G$19)+(H43*$H$19)+(I43*$I$19)</f>
        <v/>
      </c>
      <c r="K43" s="493" t="inlineStr">
        <is>
          <t>ไม่มีนัยสำคัญ</t>
        </is>
      </c>
      <c r="L43" s="498" t="n"/>
      <c r="M43" s="1448">
        <f>'Screen scope 3'!I24</f>
        <v/>
      </c>
      <c r="N43" s="1448">
        <f>'Screen scope 3'!J24</f>
        <v/>
      </c>
    </row>
    <row r="44">
      <c r="A44" s="487" t="n"/>
      <c r="B44" s="487" t="n"/>
      <c r="C44" s="1383">
        <f>'Screen scope 3'!C25</f>
        <v/>
      </c>
      <c r="D44" s="489" t="n">
        <v>1</v>
      </c>
      <c r="E44" s="489" t="n">
        <v>1</v>
      </c>
      <c r="F44" s="490" t="n">
        <v>1</v>
      </c>
      <c r="G44" s="491" t="n">
        <v>1</v>
      </c>
      <c r="H44" s="491" t="n">
        <v>1</v>
      </c>
      <c r="I44" s="491" t="n">
        <v>1</v>
      </c>
      <c r="J44" s="492">
        <f>D44+E44+(F44*$F$19)+(G44*$G$19)+(H44*$H$19)+(I44*$I$19)</f>
        <v/>
      </c>
      <c r="K44" s="493" t="inlineStr">
        <is>
          <t>ไม่มีนัยสำคัญ</t>
        </is>
      </c>
      <c r="L44" s="498" t="n"/>
      <c r="M44" s="1448">
        <f>'Screen scope 3'!I25</f>
        <v/>
      </c>
      <c r="N44" s="1448">
        <f>'Screen scope 3'!J25</f>
        <v/>
      </c>
    </row>
    <row r="45">
      <c r="A45" s="487" t="n"/>
      <c r="B45" s="487" t="n"/>
      <c r="C45" s="1383">
        <f>'Screen scope 3'!C26</f>
        <v/>
      </c>
      <c r="D45" s="489" t="n">
        <v>1</v>
      </c>
      <c r="E45" s="489" t="n">
        <v>1</v>
      </c>
      <c r="F45" s="490" t="n">
        <v>1</v>
      </c>
      <c r="G45" s="491" t="n">
        <v>1</v>
      </c>
      <c r="H45" s="491" t="n">
        <v>1</v>
      </c>
      <c r="I45" s="491" t="n">
        <v>1</v>
      </c>
      <c r="J45" s="492">
        <f>D45+E45+(F45*$F$19)+(G45*$G$19)+(H45*$H$19)+(I45*$I$19)</f>
        <v/>
      </c>
      <c r="K45" s="493" t="inlineStr">
        <is>
          <t>ไม่มีนัยสำคัญ</t>
        </is>
      </c>
      <c r="L45" s="498" t="n"/>
      <c r="M45" s="1448">
        <f>'Screen scope 3'!I26</f>
        <v/>
      </c>
      <c r="N45" s="1448">
        <f>'Screen scope 3'!J26</f>
        <v/>
      </c>
    </row>
    <row r="46">
      <c r="A46" s="487" t="n"/>
      <c r="B46" s="487" t="n"/>
      <c r="C46" s="1383">
        <f>'Screen scope 3'!C27</f>
        <v/>
      </c>
      <c r="D46" s="489" t="n">
        <v>1</v>
      </c>
      <c r="E46" s="489" t="n">
        <v>1</v>
      </c>
      <c r="F46" s="490" t="n">
        <v>1</v>
      </c>
      <c r="G46" s="491" t="n">
        <v>1</v>
      </c>
      <c r="H46" s="491" t="n">
        <v>1</v>
      </c>
      <c r="I46" s="491" t="n">
        <v>1</v>
      </c>
      <c r="J46" s="492">
        <f>D46+E46+(F46*$F$19)+(G46*$G$19)+(H46*$H$19)+(I46*$I$19)</f>
        <v/>
      </c>
      <c r="K46" s="493" t="inlineStr">
        <is>
          <t>ไม่มีนัยสำคัญ</t>
        </is>
      </c>
      <c r="L46" s="498" t="n"/>
      <c r="M46" s="1448">
        <f>'Screen scope 3'!I27</f>
        <v/>
      </c>
      <c r="N46" s="1448">
        <f>'Screen scope 3'!J27</f>
        <v/>
      </c>
    </row>
    <row r="47">
      <c r="A47" s="487" t="n">
        <v>3.5</v>
      </c>
      <c r="B47" s="487" t="n">
        <v>4.3</v>
      </c>
      <c r="C47" s="488" t="inlineStr">
        <is>
          <t>Waste generated in operations</t>
        </is>
      </c>
      <c r="D47" s="489" t="n"/>
      <c r="E47" s="489" t="n"/>
      <c r="F47" s="506" t="n"/>
      <c r="G47" s="491" t="n"/>
      <c r="H47" s="491" t="n"/>
      <c r="I47" s="491" t="n"/>
      <c r="J47" s="492" t="n"/>
      <c r="K47" s="493" t="n"/>
      <c r="L47" s="493" t="n"/>
      <c r="M47" s="1448" t="n"/>
      <c r="N47" s="507" t="n"/>
    </row>
    <row r="48">
      <c r="A48" s="487" t="n"/>
      <c r="B48" s="487" t="n"/>
      <c r="C48" s="508">
        <f>'Screen scope 3'!C29</f>
        <v/>
      </c>
      <c r="D48" s="489" t="n"/>
      <c r="E48" s="489" t="n"/>
      <c r="F48" s="506" t="n"/>
      <c r="G48" s="491" t="n"/>
      <c r="H48" s="491" t="n"/>
      <c r="I48" s="491" t="n"/>
      <c r="J48" s="492" t="n"/>
      <c r="K48" s="493" t="n"/>
      <c r="L48" s="493" t="n"/>
      <c r="M48" s="1448" t="n"/>
      <c r="N48" s="1448" t="n"/>
    </row>
    <row r="49">
      <c r="A49" s="487" t="n"/>
      <c r="B49" s="487" t="n"/>
      <c r="C49" s="1383">
        <f>'Screen scope 3'!C30</f>
        <v/>
      </c>
      <c r="D49" s="489" t="n">
        <v>1</v>
      </c>
      <c r="E49" s="489" t="n">
        <v>1</v>
      </c>
      <c r="F49" s="490" t="n">
        <v>1</v>
      </c>
      <c r="G49" s="491" t="n">
        <v>1</v>
      </c>
      <c r="H49" s="491" t="n">
        <v>1</v>
      </c>
      <c r="I49" s="491" t="n">
        <v>1</v>
      </c>
      <c r="J49" s="492">
        <f>D49+E49+(F49*$F$19)+(G49*$G$19)+(H49*$H$19)+(I49*$I$19)</f>
        <v/>
      </c>
      <c r="K49" s="493" t="inlineStr">
        <is>
          <t>ไม่มีนัยสำคัญ</t>
        </is>
      </c>
      <c r="L49" s="498" t="n"/>
      <c r="M49" s="1448">
        <f>'Screen scope 3'!I30</f>
        <v/>
      </c>
      <c r="N49" s="1448">
        <f>'Screen scope 3'!J30</f>
        <v/>
      </c>
    </row>
    <row r="50">
      <c r="A50" s="487" t="n"/>
      <c r="B50" s="487" t="n"/>
      <c r="C50" s="1383">
        <f>'Screen scope 3'!C31</f>
        <v/>
      </c>
      <c r="D50" s="489" t="n">
        <v>1</v>
      </c>
      <c r="E50" s="489" t="n">
        <v>1</v>
      </c>
      <c r="F50" s="490" t="n">
        <v>1</v>
      </c>
      <c r="G50" s="491" t="n">
        <v>1</v>
      </c>
      <c r="H50" s="491" t="n">
        <v>1</v>
      </c>
      <c r="I50" s="491" t="n">
        <v>1</v>
      </c>
      <c r="J50" s="492">
        <f>D50+E50+(F50*$F$19)+(G50*$G$19)+(H50*$H$19)+(I50*$I$19)</f>
        <v/>
      </c>
      <c r="K50" s="493" t="inlineStr">
        <is>
          <t>ไม่มีนัยสำคัญ</t>
        </is>
      </c>
      <c r="L50" s="498" t="n"/>
      <c r="M50" s="1448">
        <f>'Screen scope 3'!I31</f>
        <v/>
      </c>
      <c r="N50" s="1448">
        <f>'Screen scope 3'!J31</f>
        <v/>
      </c>
    </row>
    <row r="51">
      <c r="A51" s="257" t="n"/>
      <c r="B51" s="257" t="n"/>
      <c r="C51" s="508">
        <f>'Screen scope 3'!C32</f>
        <v/>
      </c>
      <c r="D51" s="489" t="n"/>
      <c r="E51" s="489" t="n"/>
      <c r="F51" s="506" t="n"/>
      <c r="G51" s="491" t="n"/>
      <c r="H51" s="491" t="n"/>
      <c r="I51" s="491" t="n"/>
      <c r="J51" s="492" t="n"/>
      <c r="K51" s="493" t="n"/>
      <c r="L51" s="493" t="n"/>
      <c r="M51" s="1448" t="n"/>
      <c r="N51" s="1448" t="n"/>
    </row>
    <row r="52">
      <c r="A52" s="257" t="n"/>
      <c r="B52" s="257" t="n"/>
      <c r="C52" s="1383">
        <f>'Screen scope 3'!C33</f>
        <v/>
      </c>
      <c r="D52" s="489" t="n">
        <v>1</v>
      </c>
      <c r="E52" s="489" t="n">
        <v>1</v>
      </c>
      <c r="F52" s="490" t="n">
        <v>1</v>
      </c>
      <c r="G52" s="491" t="n">
        <v>1</v>
      </c>
      <c r="H52" s="491" t="n">
        <v>1</v>
      </c>
      <c r="I52" s="491" t="n">
        <v>1</v>
      </c>
      <c r="J52" s="492">
        <f>D52+E52+(F52*$F$19)+(G52*$G$19)+(H52*$H$19)+(I52*$I$19)</f>
        <v/>
      </c>
      <c r="K52" s="493" t="inlineStr">
        <is>
          <t>ไม่มีนัยสำคัญ</t>
        </is>
      </c>
      <c r="L52" s="498" t="n"/>
      <c r="M52" s="1448">
        <f>'Screen scope 3'!H33</f>
        <v/>
      </c>
      <c r="N52" s="1448">
        <f>'Screen scope 3'!J33</f>
        <v/>
      </c>
    </row>
    <row r="53">
      <c r="A53" s="257" t="n"/>
      <c r="B53" s="257" t="n"/>
      <c r="C53" s="1383">
        <f>'Screen scope 3'!C34</f>
        <v/>
      </c>
      <c r="D53" s="489" t="n">
        <v>1</v>
      </c>
      <c r="E53" s="489" t="n">
        <v>1</v>
      </c>
      <c r="F53" s="490" t="n">
        <v>1</v>
      </c>
      <c r="G53" s="491" t="n">
        <v>1</v>
      </c>
      <c r="H53" s="491" t="n">
        <v>1</v>
      </c>
      <c r="I53" s="491" t="n">
        <v>1</v>
      </c>
      <c r="J53" s="492">
        <f>D53+E53+(F53*$F$19)+(G53*$G$19)+(H53*$H$19)+(I53*$I$19)</f>
        <v/>
      </c>
      <c r="K53" s="493" t="inlineStr">
        <is>
          <t>ไม่มีนัยสำคัญ</t>
        </is>
      </c>
      <c r="L53" s="498" t="n"/>
      <c r="M53" s="1448">
        <f>'Screen scope 3'!I34</f>
        <v/>
      </c>
      <c r="N53" s="1448">
        <f>'Screen scope 3'!J34</f>
        <v/>
      </c>
    </row>
    <row r="54">
      <c r="A54" s="257" t="n"/>
      <c r="B54" s="257" t="n"/>
      <c r="C54" s="1383">
        <f>'Screen scope 3'!C35</f>
        <v/>
      </c>
      <c r="D54" s="489" t="n">
        <v>1</v>
      </c>
      <c r="E54" s="489" t="n">
        <v>1</v>
      </c>
      <c r="F54" s="490" t="n">
        <v>1</v>
      </c>
      <c r="G54" s="491" t="n">
        <v>1</v>
      </c>
      <c r="H54" s="491" t="n">
        <v>1</v>
      </c>
      <c r="I54" s="491" t="n">
        <v>1</v>
      </c>
      <c r="J54" s="492">
        <f>D54+E54+(F54*$F$19)+(G54*$G$19)+(H54*$H$19)+(I54*$I$19)</f>
        <v/>
      </c>
      <c r="K54" s="493" t="inlineStr">
        <is>
          <t>ไม่มีนัยสำคัญ</t>
        </is>
      </c>
      <c r="L54" s="498" t="n"/>
      <c r="M54" s="1448">
        <f>'Screen scope 3'!I35</f>
        <v/>
      </c>
      <c r="N54" s="1448">
        <f>'Screen scope 3'!J35</f>
        <v/>
      </c>
    </row>
    <row r="55">
      <c r="A55" s="257" t="n"/>
      <c r="B55" s="257" t="n"/>
      <c r="C55" s="1383">
        <f>'Screen scope 3'!C36</f>
        <v/>
      </c>
      <c r="D55" s="489" t="n">
        <v>1</v>
      </c>
      <c r="E55" s="489" t="n">
        <v>1</v>
      </c>
      <c r="F55" s="490" t="n">
        <v>1</v>
      </c>
      <c r="G55" s="491" t="n">
        <v>1</v>
      </c>
      <c r="H55" s="491" t="n">
        <v>1</v>
      </c>
      <c r="I55" s="491" t="n">
        <v>1</v>
      </c>
      <c r="J55" s="492">
        <f>D55+E55+(F55*$F$19)+(G55*$G$19)+(H55*$H$19)+(I55*$I$19)</f>
        <v/>
      </c>
      <c r="K55" s="493" t="inlineStr">
        <is>
          <t>ไม่มีนัยสำคัญ</t>
        </is>
      </c>
      <c r="L55" s="498" t="n"/>
      <c r="M55" s="1448">
        <f>'Screen scope 3'!I36</f>
        <v/>
      </c>
      <c r="N55" s="1448">
        <f>'Screen scope 3'!J36</f>
        <v/>
      </c>
    </row>
    <row r="56">
      <c r="A56" s="487" t="n">
        <v>3.6</v>
      </c>
      <c r="B56" s="487" t="n">
        <v>3.5</v>
      </c>
      <c r="C56" s="488" t="inlineStr">
        <is>
          <t>Business travel</t>
        </is>
      </c>
      <c r="D56" s="489" t="n"/>
      <c r="E56" s="489" t="n"/>
      <c r="F56" s="506" t="n"/>
      <c r="G56" s="491" t="n"/>
      <c r="H56" s="491" t="n"/>
      <c r="I56" s="491" t="n"/>
      <c r="J56" s="492" t="n"/>
      <c r="K56" s="493" t="n"/>
      <c r="L56" s="493" t="n"/>
      <c r="M56" s="1448" t="n"/>
      <c r="N56" s="507" t="n"/>
    </row>
    <row r="57">
      <c r="A57" s="257" t="n"/>
      <c r="B57" s="257" t="n"/>
      <c r="C57" s="1383" t="inlineStr">
        <is>
          <t>ไม่มี</t>
        </is>
      </c>
      <c r="D57" s="489" t="n">
        <v>1</v>
      </c>
      <c r="E57" s="489" t="n">
        <v>1</v>
      </c>
      <c r="F57" s="490" t="n">
        <v>1</v>
      </c>
      <c r="G57" s="491" t="n">
        <v>1</v>
      </c>
      <c r="H57" s="491" t="n">
        <v>1</v>
      </c>
      <c r="I57" s="491" t="n">
        <v>1</v>
      </c>
      <c r="J57" s="492">
        <f>D57+E57+(F57*$F$19)+(G57*$G$19)+(H57*$H$19)+(I57*$I$19)</f>
        <v/>
      </c>
      <c r="K57" s="493" t="inlineStr">
        <is>
          <t>ไม่มีนัยสำคัญ</t>
        </is>
      </c>
      <c r="L57" s="498" t="n"/>
      <c r="M57" s="1448" t="n">
        <v>0</v>
      </c>
      <c r="N57" s="497" t="n">
        <v>0</v>
      </c>
    </row>
    <row r="58">
      <c r="A58" s="487" t="n">
        <v>3.7</v>
      </c>
      <c r="B58" s="487" t="n">
        <v>3.3</v>
      </c>
      <c r="C58" s="488" t="inlineStr">
        <is>
          <t>Employee commuting</t>
        </is>
      </c>
      <c r="D58" s="489" t="n"/>
      <c r="E58" s="489" t="n"/>
      <c r="F58" s="506" t="n"/>
      <c r="G58" s="491" t="n"/>
      <c r="H58" s="491" t="n"/>
      <c r="I58" s="491" t="n"/>
      <c r="J58" s="492" t="n"/>
      <c r="K58" s="493" t="n"/>
      <c r="L58" s="493" t="n"/>
      <c r="M58" s="1448" t="n"/>
      <c r="N58" s="507" t="n"/>
    </row>
    <row r="59">
      <c r="A59" s="257" t="n"/>
      <c r="B59" s="257" t="n"/>
      <c r="C59" s="1383">
        <f>'Screen scope 3'!C38</f>
        <v/>
      </c>
      <c r="D59" s="489" t="n">
        <v>1</v>
      </c>
      <c r="E59" s="489" t="n">
        <v>1</v>
      </c>
      <c r="F59" s="490" t="n">
        <v>1</v>
      </c>
      <c r="G59" s="491" t="n">
        <v>1</v>
      </c>
      <c r="H59" s="491" t="n">
        <v>1</v>
      </c>
      <c r="I59" s="491" t="n">
        <v>1</v>
      </c>
      <c r="J59" s="492">
        <f>D59+E59+(F59*$F$19)+(G59*$G$19)+(H59*$H$19)+(I59*$I$19)</f>
        <v/>
      </c>
      <c r="K59" s="493" t="inlineStr">
        <is>
          <t>ไม่มีนัยสำคัญ</t>
        </is>
      </c>
      <c r="L59" s="498" t="n"/>
      <c r="M59" s="1448">
        <f>'Screen scope 3'!I38</f>
        <v/>
      </c>
      <c r="N59" s="497">
        <f>'Screen scope 3'!J38</f>
        <v/>
      </c>
    </row>
    <row r="60">
      <c r="A60" s="257" t="n"/>
      <c r="B60" s="257" t="n"/>
      <c r="C60" s="1383">
        <f>'Screen scope 3'!C39</f>
        <v/>
      </c>
      <c r="D60" s="489" t="n">
        <v>1</v>
      </c>
      <c r="E60" s="489" t="n">
        <v>1</v>
      </c>
      <c r="F60" s="490" t="n">
        <v>1</v>
      </c>
      <c r="G60" s="491" t="n">
        <v>1</v>
      </c>
      <c r="H60" s="491" t="n">
        <v>1</v>
      </c>
      <c r="I60" s="491" t="n">
        <v>1</v>
      </c>
      <c r="J60" s="492">
        <f>D60+E60+(F60*$F$19)+(G60*$G$19)+(H60*$H$19)+(I60*$I$19)</f>
        <v/>
      </c>
      <c r="K60" s="493" t="inlineStr">
        <is>
          <t>ไม่มีนัยสำคัญ</t>
        </is>
      </c>
      <c r="L60" s="498" t="n"/>
      <c r="M60" s="1448">
        <f>'Screen scope 3'!I39</f>
        <v/>
      </c>
      <c r="N60" s="497">
        <f>'Screen scope 3'!J39</f>
        <v/>
      </c>
    </row>
    <row r="61">
      <c r="A61" s="487" t="n">
        <v>3.8</v>
      </c>
      <c r="B61" s="487" t="n">
        <v>4.4</v>
      </c>
      <c r="C61" s="488" t="inlineStr">
        <is>
          <t>Upstream leased assets</t>
        </is>
      </c>
      <c r="D61" s="489" t="n">
        <v>1</v>
      </c>
      <c r="E61" s="509" t="n"/>
      <c r="F61" s="501" t="n"/>
      <c r="G61" s="501" t="n"/>
      <c r="H61" s="501" t="n"/>
      <c r="I61" s="501" t="n"/>
      <c r="J61" s="502">
        <f>D61+E61+(F61*$F$19)+(G61*$G$19)+(H61*$H$19)+(I61*$I$19)</f>
        <v/>
      </c>
      <c r="K61" s="503" t="inlineStr">
        <is>
          <t>ไม่มีนัยสำคัญ/มีนัยสำคัญ</t>
        </is>
      </c>
      <c r="L61" s="503" t="n"/>
      <c r="M61" s="1449" t="n"/>
      <c r="N61" s="505" t="n"/>
    </row>
    <row r="62">
      <c r="A62" s="487" t="n">
        <v>3.9</v>
      </c>
      <c r="B62" s="487" t="n">
        <v>3.2</v>
      </c>
      <c r="C62" s="499" t="inlineStr">
        <is>
          <t>Downstream transportation and distribution</t>
        </is>
      </c>
      <c r="D62" s="489" t="n"/>
      <c r="E62" s="489" t="n"/>
      <c r="F62" s="506" t="n"/>
      <c r="G62" s="491" t="n"/>
      <c r="H62" s="491" t="n"/>
      <c r="I62" s="491" t="n"/>
      <c r="J62" s="492" t="n"/>
      <c r="K62" s="493" t="n"/>
      <c r="L62" s="493" t="n"/>
      <c r="M62" s="1448" t="n"/>
      <c r="N62" s="497" t="n"/>
    </row>
    <row r="63">
      <c r="A63" s="257" t="n"/>
      <c r="B63" s="257" t="n"/>
      <c r="C63" s="1383">
        <f>'Screen scope 3'!C41</f>
        <v/>
      </c>
      <c r="D63" s="489" t="n">
        <v>1</v>
      </c>
      <c r="E63" s="489" t="n">
        <v>1</v>
      </c>
      <c r="F63" s="490" t="n">
        <v>1</v>
      </c>
      <c r="G63" s="491" t="n">
        <v>1</v>
      </c>
      <c r="H63" s="491" t="n">
        <v>1</v>
      </c>
      <c r="I63" s="491" t="n">
        <v>1</v>
      </c>
      <c r="J63" s="492">
        <f>D63+E63+(F63*$F$19)+(G63*$G$19)+(H63*$H$19)+(I63*$I$19)</f>
        <v/>
      </c>
      <c r="K63" s="493" t="inlineStr">
        <is>
          <t>ไม่มีนัยสำคัญ</t>
        </is>
      </c>
      <c r="L63" s="493" t="n"/>
      <c r="M63" s="1448">
        <f>'Screen scope 3'!I41</f>
        <v/>
      </c>
      <c r="N63" s="1448">
        <f>'Screen scope 3'!J41</f>
        <v/>
      </c>
    </row>
    <row r="64">
      <c r="A64" s="257" t="n"/>
      <c r="B64" s="257" t="n"/>
      <c r="C64" s="1383">
        <f>'Screen scope 3'!C42</f>
        <v/>
      </c>
      <c r="D64" s="489" t="n">
        <v>1</v>
      </c>
      <c r="E64" s="489" t="n">
        <v>1</v>
      </c>
      <c r="F64" s="490" t="n">
        <v>1</v>
      </c>
      <c r="G64" s="491" t="n">
        <v>1</v>
      </c>
      <c r="H64" s="491" t="n">
        <v>1</v>
      </c>
      <c r="I64" s="491" t="n">
        <v>1</v>
      </c>
      <c r="J64" s="492">
        <f>D64+E64+(F64*$F$19)+(G64*$G$19)+(H64*$H$19)+(I64*$I$19)</f>
        <v/>
      </c>
      <c r="K64" s="493" t="inlineStr">
        <is>
          <t>ไม่มีนัยสำคัญ</t>
        </is>
      </c>
      <c r="L64" s="493" t="n"/>
      <c r="M64" s="1448">
        <f>'Screen scope 3'!I42</f>
        <v/>
      </c>
      <c r="N64" s="1448">
        <f>'Screen scope 3'!J42</f>
        <v/>
      </c>
    </row>
    <row r="65">
      <c r="A65" s="257" t="n"/>
      <c r="B65" s="257" t="n"/>
      <c r="C65" s="1383">
        <f>'Screen scope 3'!C43</f>
        <v/>
      </c>
      <c r="D65" s="489" t="n">
        <v>1</v>
      </c>
      <c r="E65" s="489" t="n">
        <v>1</v>
      </c>
      <c r="F65" s="490" t="n">
        <v>1</v>
      </c>
      <c r="G65" s="491" t="n">
        <v>1</v>
      </c>
      <c r="H65" s="491" t="n">
        <v>1</v>
      </c>
      <c r="I65" s="491" t="n">
        <v>1</v>
      </c>
      <c r="J65" s="492">
        <f>D65+E65+(F65*$F$19)+(G65*$G$19)+(H65*$H$19)+(I65*$I$19)</f>
        <v/>
      </c>
      <c r="K65" s="493" t="inlineStr">
        <is>
          <t>ไม่มีนัยสำคัญ</t>
        </is>
      </c>
      <c r="L65" s="493" t="n"/>
      <c r="M65" s="1448">
        <f>'Screen scope 3'!I43</f>
        <v/>
      </c>
      <c r="N65" s="1448">
        <f>'Screen scope 3'!J43</f>
        <v/>
      </c>
    </row>
    <row r="66">
      <c r="A66" s="487" t="inlineStr">
        <is>
          <t>*3.10</t>
        </is>
      </c>
      <c r="B66" s="487" t="n">
        <v>5</v>
      </c>
      <c r="C66" s="499" t="inlineStr">
        <is>
          <t>Processing of sold products</t>
        </is>
      </c>
      <c r="D66" s="489" t="n">
        <v>0</v>
      </c>
      <c r="E66" s="509" t="n"/>
      <c r="F66" s="501" t="n"/>
      <c r="G66" s="501" t="n"/>
      <c r="H66" s="501" t="n"/>
      <c r="I66" s="501" t="n"/>
      <c r="J66" s="502">
        <f>D66+E66+(F66*$F$19)+(G66*$G$19)+(H66*$H$19)+(I66*$I$19)</f>
        <v/>
      </c>
      <c r="K66" s="503" t="inlineStr">
        <is>
          <t>ไม่มีนัยสำคัญ/มีนัยสำคัญ</t>
        </is>
      </c>
      <c r="L66" s="503" t="n"/>
      <c r="M66" s="1449" t="n"/>
      <c r="N66" s="505" t="n"/>
    </row>
    <row r="67">
      <c r="A67" s="487" t="n">
        <v>3.11</v>
      </c>
      <c r="B67" s="487" t="n">
        <v>4.4</v>
      </c>
      <c r="C67" s="499" t="inlineStr">
        <is>
          <t>Use of sold products</t>
        </is>
      </c>
      <c r="D67" s="489" t="n">
        <v>0</v>
      </c>
      <c r="E67" s="509" t="n"/>
      <c r="F67" s="501" t="n"/>
      <c r="G67" s="501" t="n"/>
      <c r="H67" s="501" t="n"/>
      <c r="I67" s="501" t="n"/>
      <c r="J67" s="502">
        <f>D67+E67+(F67*$F$19)+(G67*$G$19)+(H67*$H$19)+(I67*$I$19)</f>
        <v/>
      </c>
      <c r="K67" s="503" t="inlineStr">
        <is>
          <t>ไม่มีนัยสำคัญ/มีนัยสำคัญ</t>
        </is>
      </c>
      <c r="L67" s="503" t="n"/>
      <c r="M67" s="1449" t="n"/>
      <c r="N67" s="505" t="n"/>
    </row>
    <row r="68">
      <c r="A68" s="487" t="n">
        <v>3.12</v>
      </c>
      <c r="B68" s="487" t="n">
        <v>5</v>
      </c>
      <c r="C68" s="499" t="inlineStr">
        <is>
          <t>End-of-life treatment of sold products</t>
        </is>
      </c>
      <c r="D68" s="489" t="n"/>
      <c r="E68" s="489" t="n"/>
      <c r="F68" s="506" t="n"/>
      <c r="G68" s="491" t="n"/>
      <c r="H68" s="491" t="n"/>
      <c r="I68" s="491" t="n"/>
      <c r="J68" s="492" t="n"/>
      <c r="K68" s="493" t="n"/>
      <c r="L68" s="493" t="n"/>
      <c r="M68" s="1448" t="n"/>
      <c r="N68" s="497" t="n"/>
    </row>
    <row r="69">
      <c r="A69" s="257" t="n"/>
      <c r="B69" s="257" t="n"/>
      <c r="C69" s="258">
        <f>'Screen scope 3'!C45</f>
        <v/>
      </c>
      <c r="D69" s="489" t="n">
        <v>1</v>
      </c>
      <c r="E69" s="489" t="n">
        <v>1</v>
      </c>
      <c r="F69" s="490" t="n">
        <v>3</v>
      </c>
      <c r="G69" s="491" t="n">
        <v>1</v>
      </c>
      <c r="H69" s="491" t="n">
        <v>1</v>
      </c>
      <c r="I69" s="491" t="n">
        <v>1</v>
      </c>
      <c r="J69" s="492">
        <f>D69+E69+(F69*$F$19)+(G69*$G$19)+(H69*$H$19)+(I69*$I$19)</f>
        <v/>
      </c>
      <c r="K69" s="493" t="inlineStr">
        <is>
          <t>ไม่มีนัยสำคัญ</t>
        </is>
      </c>
      <c r="L69" s="493" t="n"/>
      <c r="M69" s="1448">
        <f>'Screen scope 3'!I45</f>
        <v/>
      </c>
      <c r="N69" s="1448">
        <f>'Screen scope 3'!J45</f>
        <v/>
      </c>
    </row>
    <row r="70">
      <c r="A70" s="487" t="n">
        <v>3.13</v>
      </c>
      <c r="B70" s="487" t="n">
        <v>6</v>
      </c>
      <c r="C70" s="499" t="inlineStr">
        <is>
          <t>Downstream leased assets</t>
        </is>
      </c>
      <c r="D70" s="489" t="n">
        <v>0</v>
      </c>
      <c r="E70" s="509" t="n"/>
      <c r="F70" s="501" t="n"/>
      <c r="G70" s="501" t="n"/>
      <c r="H70" s="501" t="n"/>
      <c r="I70" s="501" t="n"/>
      <c r="J70" s="502">
        <f>D70+E70+(F70*$F$19)+(G70*$G$19)+(H70*$H$19)+(I70*$I$19)</f>
        <v/>
      </c>
      <c r="K70" s="503" t="inlineStr">
        <is>
          <t>ไม่มีนัยสำคัญ/มีนัยสำคัญ</t>
        </is>
      </c>
      <c r="L70" s="503" t="n"/>
      <c r="M70" s="1449" t="n"/>
      <c r="N70" s="505" t="n"/>
    </row>
    <row r="71">
      <c r="A71" s="487" t="n">
        <v>3.14</v>
      </c>
      <c r="B71" s="487" t="n">
        <v>6</v>
      </c>
      <c r="C71" s="499" t="inlineStr">
        <is>
          <t>Franchises</t>
        </is>
      </c>
      <c r="D71" s="489" t="n">
        <v>0</v>
      </c>
      <c r="E71" s="509" t="n"/>
      <c r="F71" s="501" t="n"/>
      <c r="G71" s="501" t="n"/>
      <c r="H71" s="501" t="n"/>
      <c r="I71" s="501" t="n"/>
      <c r="J71" s="502">
        <f>D71+E71+(F71*$F$19)+(G71*$G$19)+(H71*$H$19)+(I71*$I$19)</f>
        <v/>
      </c>
      <c r="K71" s="503" t="inlineStr">
        <is>
          <t>ไม่มีนัยสำคัญ/มีนัยสำคัญ</t>
        </is>
      </c>
      <c r="L71" s="503" t="n"/>
      <c r="M71" s="1449" t="n"/>
      <c r="N71" s="505" t="n"/>
    </row>
    <row r="72">
      <c r="A72" s="487" t="n">
        <v>3.15</v>
      </c>
      <c r="B72" s="487" t="n">
        <v>6</v>
      </c>
      <c r="C72" s="499" t="inlineStr">
        <is>
          <t>Investments</t>
        </is>
      </c>
      <c r="D72" s="489" t="n">
        <v>0</v>
      </c>
      <c r="E72" s="509" t="n"/>
      <c r="F72" s="501" t="n"/>
      <c r="G72" s="501" t="n"/>
      <c r="H72" s="501" t="n"/>
      <c r="I72" s="501" t="n"/>
      <c r="J72" s="502">
        <f>D72+E72+(F72*$F$19)+(G72*$G$19)+(H72*$H$19)+(I72*$I$19)</f>
        <v/>
      </c>
      <c r="K72" s="503" t="inlineStr">
        <is>
          <t>ไม่มีนัยสำคัญ/มีนัยสำคัญ</t>
        </is>
      </c>
      <c r="L72" s="503" t="n"/>
      <c r="M72" s="1449" t="n"/>
      <c r="N72" s="505" t="n"/>
    </row>
    <row r="73">
      <c r="A73" s="212" t="n"/>
      <c r="B73" s="1260" t="n"/>
      <c r="C73" s="1260" t="n"/>
      <c r="D73" s="1260" t="n"/>
      <c r="E73" s="1260" t="n"/>
      <c r="F73" s="1260" t="n"/>
      <c r="G73" s="1260" t="n"/>
      <c r="H73" s="1260" t="n"/>
      <c r="I73" s="1260" t="n"/>
      <c r="J73" s="1260" t="n"/>
      <c r="L73" s="1260" t="n"/>
      <c r="M73" s="1260" t="n"/>
      <c r="N73" s="1260" t="n"/>
    </row>
    <row r="74">
      <c r="A74" s="213" t="inlineStr">
        <is>
          <t>อธิบาย หลักเกณฑ์ในการประเมินความมีนัยสำคัญ</t>
        </is>
      </c>
      <c r="B74" s="1260" t="n"/>
      <c r="C74" s="1260" t="n"/>
      <c r="D74" s="1260" t="n"/>
      <c r="E74" s="1260" t="n"/>
      <c r="F74" s="1260" t="n"/>
      <c r="G74" s="1260" t="n"/>
      <c r="H74" s="1260" t="n"/>
      <c r="I74" s="1260" t="n"/>
      <c r="J74" s="1260" t="n"/>
      <c r="K74" s="1260" t="n"/>
      <c r="L74" s="1260" t="n"/>
      <c r="M74" s="1260" t="n"/>
      <c r="N74" s="1260" t="n"/>
    </row>
    <row r="75">
      <c r="A75" s="213" t="n"/>
      <c r="C75" s="1260" t="n"/>
      <c r="D75" s="1260" t="n"/>
      <c r="E75" s="1260" t="n"/>
      <c r="F75" s="1260" t="n"/>
      <c r="G75" s="1260" t="n"/>
      <c r="H75" s="1260" t="n"/>
      <c r="I75" s="1260" t="n"/>
      <c r="J75" s="1260" t="n"/>
      <c r="K75" s="1260" t="n"/>
      <c r="L75" s="1260" t="n"/>
      <c r="M75" s="1260" t="n"/>
      <c r="N75" s="1260" t="n"/>
    </row>
    <row r="76" ht="13.8" customHeight="1">
      <c r="A76" s="187" t="n"/>
      <c r="B76" s="225" t="n"/>
      <c r="C76" s="510" t="inlineStr">
        <is>
          <t xml:space="preserve">เกณฑ์การประเมินความมีนัยสำคัญ </t>
        </is>
      </c>
      <c r="D76" s="510" t="n"/>
      <c r="E76" s="511" t="n"/>
      <c r="F76" s="185" t="n"/>
      <c r="G76" s="185" t="n"/>
      <c r="H76" s="185" t="n"/>
      <c r="I76" s="185" t="n"/>
      <c r="J76" s="185" t="n"/>
      <c r="K76" s="185" t="n"/>
      <c r="L76" s="185" t="n"/>
      <c r="M76" s="185" t="n"/>
      <c r="N76" s="188" t="n"/>
    </row>
    <row r="77">
      <c r="A77" s="187" t="n"/>
      <c r="B77" s="1450" t="inlineStr">
        <is>
          <t>ประเด็นที่ต้องพิจารณา</t>
        </is>
      </c>
      <c r="C77" s="1451" t="n"/>
      <c r="D77" s="1452" t="inlineStr">
        <is>
          <t>ระดับคะแนน</t>
        </is>
      </c>
      <c r="E77" s="1415" t="n"/>
      <c r="F77" s="1415" t="n"/>
      <c r="G77" s="1416" t="n"/>
      <c r="H77" s="1453" t="inlineStr">
        <is>
          <t>น้ำหนักประเด็นที่พิจารณา</t>
        </is>
      </c>
      <c r="I77" s="185" t="n"/>
      <c r="J77" s="185" t="n"/>
      <c r="K77" s="185" t="n"/>
      <c r="L77" s="185" t="n"/>
      <c r="M77" s="185" t="n"/>
      <c r="N77" s="188" t="n"/>
    </row>
    <row r="78">
      <c r="A78" s="187" t="n"/>
      <c r="B78" s="1454" t="n"/>
      <c r="C78" s="830" t="n"/>
      <c r="D78" s="512" t="n">
        <v>0</v>
      </c>
      <c r="E78" s="512" t="n">
        <v>1</v>
      </c>
      <c r="F78" s="512" t="n">
        <v>3</v>
      </c>
      <c r="G78" s="512" t="n">
        <v>5</v>
      </c>
      <c r="H78" s="1417" t="n"/>
    </row>
    <row r="79">
      <c r="A79" s="187" t="n"/>
      <c r="B79" s="1065" t="inlineStr">
        <is>
          <t>Source of GHG</t>
        </is>
      </c>
      <c r="C79" s="1416" t="n"/>
      <c r="D79" s="513" t="inlineStr">
        <is>
          <t>ไม่มี</t>
        </is>
      </c>
      <c r="E79" s="513" t="inlineStr">
        <is>
          <t>มี</t>
        </is>
      </c>
      <c r="F79" s="1455" t="n"/>
      <c r="G79" s="1451" t="n"/>
      <c r="H79" s="1079" t="inlineStr">
        <is>
          <t>ถ้า Source of GHG and Source of Ef อันใดอันหนึ่งไม่มี จะไม่ทำการประเมินต่อ</t>
        </is>
      </c>
    </row>
    <row r="80">
      <c r="A80" s="187" t="n"/>
      <c r="B80" s="1065" t="inlineStr">
        <is>
          <t>Source of EF</t>
        </is>
      </c>
      <c r="C80" s="1416" t="n"/>
      <c r="D80" s="513" t="inlineStr">
        <is>
          <t>ไม่ได้</t>
        </is>
      </c>
      <c r="E80" s="513" t="inlineStr">
        <is>
          <t>ได้</t>
        </is>
      </c>
      <c r="F80" s="1454" t="n"/>
      <c r="G80" s="830" t="n"/>
      <c r="H80" s="1417" t="n"/>
    </row>
    <row r="81">
      <c r="A81" s="187" t="n"/>
      <c r="B81" s="1065" t="inlineStr">
        <is>
          <t>Magnitude/ Size</t>
        </is>
      </c>
      <c r="C81" s="1416" t="n"/>
      <c r="D81" s="514" t="n"/>
      <c r="E81" s="513" t="inlineStr">
        <is>
          <t>0&lt;GHG of Scope 3&lt;5%</t>
        </is>
      </c>
      <c r="F81" s="513" t="inlineStr">
        <is>
          <t>5%≤GHG of Scope 3≤40%</t>
        </is>
      </c>
      <c r="G81" s="515" t="inlineStr">
        <is>
          <t>&gt;40% of Scope 3</t>
        </is>
      </c>
      <c r="H81" s="516" t="n">
        <v>0.6</v>
      </c>
    </row>
    <row r="82" ht="118.8" customHeight="1">
      <c r="A82" s="187" t="n"/>
      <c r="B82" s="1065" t="inlineStr">
        <is>
          <t>Level of influence (Reduction of potential)</t>
        </is>
      </c>
      <c r="C82" s="1416" t="n"/>
      <c r="D82" s="514" t="n"/>
      <c r="E82" s="517" t="inlineStr">
        <is>
          <t>องค์กรไม่มีเป้าประสงค์ในการลดก๊าซเรือนกระจก</t>
        </is>
      </c>
      <c r="F82" s="517" t="inlineStr">
        <is>
          <t>องค์กรยังไม่มีเป้าประสงค์ในการลดก๊าซเรือนกระจก แต่มีแนวทางในการลดก๊าซเรือนกระจกที่อาจประยุกต์ใช้ได้</t>
        </is>
      </c>
      <c r="G82" s="518" t="inlineStr">
        <is>
          <t>องค์กรมีเป้าประสงค์ในการลดก๊าซเรือนกระจกและมีแนวทางในการลดก๊าซเรือนกระจกที่ประยุกต์ใช้ได้</t>
        </is>
      </c>
      <c r="H82" s="516" t="n">
        <v>0.2</v>
      </c>
    </row>
    <row r="83" ht="66" customHeight="1">
      <c r="A83" s="187" t="n"/>
      <c r="B83" s="1065" t="inlineStr">
        <is>
          <t>Risk</t>
        </is>
      </c>
      <c r="C83" s="1416" t="n"/>
      <c r="D83" s="514" t="n"/>
      <c r="E83" s="517" t="inlineStr">
        <is>
          <t>ไม่มีกฎระเบียบหรือข้อบังคับให้ต้องทำการรายงาน</t>
        </is>
      </c>
      <c r="F83" s="517" t="inlineStr">
        <is>
          <t>ลูกค้า/ผู้มีส่วนได้เสีย ร้องขอให้รายงาน</t>
        </is>
      </c>
      <c r="G83" s="518" t="inlineStr">
        <is>
          <t>กฎหมายบังคับให้รายงาน</t>
        </is>
      </c>
      <c r="H83" s="516" t="n">
        <v>0.1</v>
      </c>
    </row>
    <row r="84" ht="79.2" customHeight="1">
      <c r="A84" s="187" t="n"/>
      <c r="B84" s="1065" t="inlineStr">
        <is>
          <t>Opportunity</t>
        </is>
      </c>
      <c r="C84" s="1416" t="n"/>
      <c r="D84" s="514" t="n"/>
      <c r="E84" s="517" t="inlineStr">
        <is>
          <t>ยังไม่มีช่องทางของโอกาสด้านธุรกิจเกี่ยวกับการรายงาน GHG</t>
        </is>
      </c>
      <c r="F84" s="517" t="inlineStr">
        <is>
          <t>-</t>
        </is>
      </c>
      <c r="G84" s="518" t="inlineStr">
        <is>
          <t>มีโอกาสเข้าสู่ช่องทางตลาดใหม่ หากทำรายงาน GHG</t>
        </is>
      </c>
      <c r="H84" s="516" t="n">
        <v>0.1</v>
      </c>
    </row>
    <row r="85">
      <c r="A85" s="187" t="n"/>
      <c r="B85" s="519" t="n"/>
      <c r="C85" s="519" t="inlineStr">
        <is>
          <t>&gt;5 - 7 คะแนน เป็นแหล่งปล่อยที่มีนัยสำคัญ นับรวมในขอบเขตการประเมิน</t>
        </is>
      </c>
      <c r="D85" s="519" t="n"/>
      <c r="E85" s="519" t="n"/>
      <c r="F85" s="519" t="n"/>
      <c r="G85" s="519" t="n"/>
    </row>
    <row r="86">
      <c r="A86" s="187" t="n"/>
      <c r="B86" s="519" t="n"/>
      <c r="C86" s="519" t="inlineStr">
        <is>
          <t>0 - &lt;=5 คะแนน เป็นแหล่งปล่อยที่ไม่มีนัยสำคัญ ไม่นับรวมในขอบเขตการประเมิน</t>
        </is>
      </c>
      <c r="D86" s="519" t="n"/>
      <c r="E86" s="519" t="n"/>
      <c r="F86" s="519" t="n"/>
      <c r="G86" s="519" t="n"/>
    </row>
  </sheetData>
  <mergeCells count="37">
    <mergeCell ref="A5:P5"/>
    <mergeCell ref="A15:B15"/>
    <mergeCell ref="A11:B11"/>
    <mergeCell ref="B81:C81"/>
    <mergeCell ref="A9:B9"/>
    <mergeCell ref="C15:P15"/>
    <mergeCell ref="C13:P13"/>
    <mergeCell ref="A1:A4"/>
    <mergeCell ref="C14:P14"/>
    <mergeCell ref="C4:D4"/>
    <mergeCell ref="H79:H80"/>
    <mergeCell ref="C10:P10"/>
    <mergeCell ref="B82:C82"/>
    <mergeCell ref="B1:N2"/>
    <mergeCell ref="A12:B12"/>
    <mergeCell ref="C9:P9"/>
    <mergeCell ref="B6:P6"/>
    <mergeCell ref="C12:P12"/>
    <mergeCell ref="D77:G77"/>
    <mergeCell ref="A14:B14"/>
    <mergeCell ref="C11:P11"/>
    <mergeCell ref="B84:C84"/>
    <mergeCell ref="H77:H78"/>
    <mergeCell ref="A8:B8"/>
    <mergeCell ref="F4:N4"/>
    <mergeCell ref="A7:P7"/>
    <mergeCell ref="B83:C83"/>
    <mergeCell ref="B77:C78"/>
    <mergeCell ref="C8:P8"/>
    <mergeCell ref="B80:C80"/>
    <mergeCell ref="A10:B10"/>
    <mergeCell ref="A13:B13"/>
    <mergeCell ref="O1:P2"/>
    <mergeCell ref="B79:C79"/>
    <mergeCell ref="C3:D3"/>
    <mergeCell ref="F79:G80"/>
    <mergeCell ref="F3:N3"/>
  </mergeCells>
  <conditionalFormatting sqref="F21:I21">
    <cfRule type="dataBar" priority="1">
      <dataBar>
        <cfvo type="min"/>
        <cfvo type="max"/>
        <color rgb="FFFF555A"/>
      </dataBar>
    </cfRule>
  </conditionalFormatting>
  <dataValidations count="1">
    <dataValidation sqref="K21:K72" showDropDown="0" showInputMessage="1" showErrorMessage="1" allowBlank="1" type="list">
      <formula1>"ไม่มีนัยสำคัญ/มีนัยสำคัญ, ไม่มีนัยสำคัญ, มีนัยสำคัญ"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K46"/>
  <sheetViews>
    <sheetView zoomScale="85" zoomScaleNormal="85" workbookViewId="0">
      <selection activeCell="H49" sqref="H49"/>
    </sheetView>
  </sheetViews>
  <sheetFormatPr baseColWidth="8" defaultColWidth="8.8984375" defaultRowHeight="13.8"/>
  <cols>
    <col width="10.5" customWidth="1" style="225" min="1" max="1"/>
    <col width="26.09765625" customWidth="1" style="225" min="2" max="2"/>
    <col width="44.09765625" customWidth="1" style="225" min="3" max="3"/>
    <col width="12" bestFit="1" customWidth="1" style="225" min="4" max="4"/>
    <col width="17.8984375" customWidth="1" style="225" min="5" max="5"/>
    <col width="8.8984375" customWidth="1" style="225" min="6" max="6"/>
    <col width="36.8984375" customWidth="1" style="225" min="7" max="7"/>
    <col width="27" customWidth="1" style="225" min="8" max="8"/>
    <col width="26.8984375" customWidth="1" style="225" min="9" max="9"/>
    <col width="17.59765625" customWidth="1" style="225" min="10" max="10"/>
    <col width="68.8984375" customWidth="1" style="225" min="11" max="11"/>
    <col width="8.8984375" customWidth="1" style="225" min="12" max="16384"/>
  </cols>
  <sheetData>
    <row r="1" ht="27.6" customHeight="1">
      <c r="A1" s="881" t="inlineStr">
        <is>
          <t>No. TGO</t>
        </is>
      </c>
      <c r="B1" s="881" t="inlineStr">
        <is>
          <t>Scope in ISO 14064-1</t>
        </is>
      </c>
      <c r="C1" s="881" t="inlineStr">
        <is>
          <t>Category</t>
        </is>
      </c>
      <c r="D1" s="881" t="inlineStr">
        <is>
          <t>หน่วย</t>
        </is>
      </c>
      <c r="E1" s="881" t="inlineStr">
        <is>
          <t>ปริมาณ (ต่อปี)</t>
        </is>
      </c>
      <c r="F1" s="882" t="inlineStr">
        <is>
          <t>หมายเหตุ</t>
        </is>
      </c>
      <c r="G1" s="882" t="inlineStr">
        <is>
          <t>หลักฐานอ้างอิง 
(การได้มาซึ่งข้อมูล)</t>
        </is>
      </c>
      <c r="H1" s="883" t="inlineStr">
        <is>
          <t>ค่าการปล่อยก๊าซเรือนกระจก (EF)</t>
        </is>
      </c>
      <c r="I1" s="883" t="inlineStr">
        <is>
          <t>GHG 
(tCO2eq.)</t>
        </is>
      </c>
      <c r="J1" s="883" t="inlineStr">
        <is>
          <t>%</t>
        </is>
      </c>
      <c r="K1" s="883" t="inlineStr">
        <is>
          <t>หลักฐานอ้างอิง 
(Emission Factor)</t>
        </is>
      </c>
    </row>
    <row r="2">
      <c r="A2" s="565" t="inlineStr">
        <is>
          <t>Scope 3.1</t>
        </is>
      </c>
      <c r="B2" s="565" t="inlineStr">
        <is>
          <t>Scope 4.1 in ISO 14064-1</t>
        </is>
      </c>
      <c r="C2" s="861" t="inlineStr">
        <is>
          <t>Purchased Goods &amp; Services</t>
        </is>
      </c>
      <c r="D2" s="565" t="n"/>
      <c r="E2" s="565" t="n"/>
      <c r="F2" s="565" t="n"/>
      <c r="G2" s="565" t="n"/>
      <c r="H2" s="565" t="n"/>
      <c r="I2" s="565" t="n"/>
      <c r="J2" s="565" t="n"/>
      <c r="K2" s="565" t="n"/>
    </row>
    <row r="3">
      <c r="A3" s="565" t="n"/>
      <c r="B3" s="565" t="n"/>
      <c r="C3" s="862">
        <f>'Scope 3.1.1 วัตถุดิบผลิต'!A4</f>
        <v/>
      </c>
      <c r="D3" s="863">
        <f>'Scope 3.1.1 วัตถุดิบผลิต'!E4</f>
        <v/>
      </c>
      <c r="E3" s="1456">
        <f>'Scope 3.1.1 วัตถุดิบผลิต'!F4</f>
        <v/>
      </c>
      <c r="F3" s="862" t="n"/>
      <c r="G3" s="865" t="inlineStr">
        <is>
          <t>ระบบ ERP</t>
        </is>
      </c>
      <c r="H3" s="884">
        <f>2.6258</f>
        <v/>
      </c>
      <c r="I3" s="1457">
        <f>E3*H3/1000</f>
        <v/>
      </c>
      <c r="J3" s="867">
        <f>I3/$I$46*100</f>
        <v/>
      </c>
      <c r="K3" s="868" t="inlineStr">
        <is>
          <t xml:space="preserve">TGO-CFP-EF-(ก.ค. 65)-6 LDPE </t>
        </is>
      </c>
    </row>
    <row r="4">
      <c r="A4" s="565" t="n"/>
      <c r="B4" s="565" t="n"/>
      <c r="C4" s="862">
        <f>'Scope 3.1.1 วัตถุดิบผลิต'!A7</f>
        <v/>
      </c>
      <c r="D4" s="863">
        <f>'Scope 3.1.1 วัตถุดิบผลิต'!E7</f>
        <v/>
      </c>
      <c r="E4" s="1456">
        <f>'Scope 3.1.1 วัตถุดิบผลิต'!F7</f>
        <v/>
      </c>
      <c r="F4" s="862" t="n"/>
      <c r="G4" s="865" t="inlineStr">
        <is>
          <t>ระบบ ERP</t>
        </is>
      </c>
      <c r="H4" s="869">
        <f>2.1356</f>
        <v/>
      </c>
      <c r="I4" s="1457">
        <f>E4*H4/1000</f>
        <v/>
      </c>
      <c r="J4" s="867">
        <f>I4/$I$46*100</f>
        <v/>
      </c>
      <c r="K4" s="868" t="inlineStr">
        <is>
          <t xml:space="preserve">TGO-CFP-EF-(ก.ค. 65)-5 LLDPE </t>
        </is>
      </c>
    </row>
    <row r="5">
      <c r="A5" s="565" t="n"/>
      <c r="B5" s="565" t="n"/>
      <c r="C5" s="862">
        <f>'Scope 3.1.1 วัตถุดิบผลิต'!A12</f>
        <v/>
      </c>
      <c r="D5" s="863">
        <f>'Scope 3.1.1 วัตถุดิบผลิต'!E12</f>
        <v/>
      </c>
      <c r="E5" s="1456">
        <f>'Scope 3.1.1 วัตถุดิบผลิต'!F12</f>
        <v/>
      </c>
      <c r="F5" s="862" t="n"/>
      <c r="G5" s="865" t="inlineStr">
        <is>
          <t>ระบบ ERP</t>
        </is>
      </c>
      <c r="H5" s="869">
        <f>6.7071</f>
        <v/>
      </c>
      <c r="I5" s="1457">
        <f>E5*H5/1000</f>
        <v/>
      </c>
      <c r="J5" s="867">
        <f>I5/$I$46*100</f>
        <v/>
      </c>
      <c r="K5" s="868" t="inlineStr">
        <is>
          <t xml:space="preserve">TGO-CFP-EF-(ก.ค. 65)-3 HDPE </t>
        </is>
      </c>
    </row>
    <row r="6">
      <c r="A6" s="565" t="n"/>
      <c r="B6" s="565" t="n"/>
      <c r="C6" s="565">
        <f>'Scope 3.1.1 วัตถุดิบผลิต'!A15</f>
        <v/>
      </c>
      <c r="D6" s="870">
        <f>'Scope 3.1.1 วัตถุดิบผลิต'!E15</f>
        <v/>
      </c>
      <c r="E6" s="1458">
        <f>'Scope 3.1.1 วัตถุดิบผลิต'!F15</f>
        <v/>
      </c>
      <c r="F6" s="565" t="n"/>
      <c r="G6" s="872" t="inlineStr">
        <is>
          <t>ระบบ ERP</t>
        </is>
      </c>
      <c r="H6" s="1459" t="n">
        <v>1.8679</v>
      </c>
      <c r="I6" s="1460">
        <f>E6*H6/1000</f>
        <v/>
      </c>
      <c r="J6" s="875">
        <f>I6/$I$46*100</f>
        <v/>
      </c>
      <c r="K6" s="868" t="inlineStr">
        <is>
          <t>TGO-CFP-EF-(ก.ค. 65)-597 กระดาษกล่องขาวเคลือบแป้ง/กระดาษกล่องแป้งหลังเทา</t>
        </is>
      </c>
    </row>
    <row r="7">
      <c r="A7" s="565" t="n"/>
      <c r="B7" s="565" t="n"/>
      <c r="C7" s="565">
        <f>'Scope 3.1.1 วัตถุดิบผลิต'!A19</f>
        <v/>
      </c>
      <c r="D7" s="870">
        <f>'Scope 3.1.1 วัตถุดิบผลิต'!E19</f>
        <v/>
      </c>
      <c r="E7" s="1458">
        <f>'Scope 3.1.1 วัตถุดิบผลิต'!F19</f>
        <v/>
      </c>
      <c r="F7" s="565" t="n"/>
      <c r="G7" s="872" t="inlineStr">
        <is>
          <t>ระบบ ERP</t>
        </is>
      </c>
      <c r="H7" s="1459" t="n">
        <v>1.6184</v>
      </c>
      <c r="I7" s="1460">
        <f>E7*H7/1000</f>
        <v/>
      </c>
      <c r="J7" s="875">
        <f>I7/$I$46*100</f>
        <v/>
      </c>
      <c r="K7" s="868" t="inlineStr">
        <is>
          <t>TGO-CFP-EF-(ก.ค. 65)-596 กระดาษคราฟท์ ชนิดท าลอน</t>
        </is>
      </c>
    </row>
    <row r="8">
      <c r="A8" s="565" t="n"/>
      <c r="B8" s="565" t="n"/>
      <c r="C8" s="565">
        <f>'Scope 3.1.2 น้ำประปา'!A3</f>
        <v/>
      </c>
      <c r="D8" s="870">
        <f>'Scope 3.1.2 น้ำประปา'!D3</f>
        <v/>
      </c>
      <c r="E8" s="1458">
        <f>'Scope 3.1.2 น้ำประปา'!E3</f>
        <v/>
      </c>
      <c r="F8" s="565" t="n"/>
      <c r="G8" s="565">
        <f>'Scope 3.1.2 น้ำประปา'!C3</f>
        <v/>
      </c>
      <c r="H8" s="1459" t="n">
        <v>0.2575</v>
      </c>
      <c r="I8" s="1460">
        <f>E8*H8/1000</f>
        <v/>
      </c>
      <c r="J8" s="875">
        <f>I8/$I$46*100</f>
        <v/>
      </c>
      <c r="K8" s="565" t="inlineStr">
        <is>
          <t>TGO-CFP-EF-(ก.ค. 65)-62 น้ำประปา-การนิคมอุตสาหกรรม</t>
        </is>
      </c>
    </row>
    <row r="9">
      <c r="A9" s="565" t="n"/>
      <c r="B9" s="565" t="n"/>
      <c r="C9" s="565">
        <f>'Scope 3.1.2 น้ำประปา'!A8</f>
        <v/>
      </c>
      <c r="D9" s="870">
        <f>'Scope 3.1.2 น้ำประปา'!D8</f>
        <v/>
      </c>
      <c r="E9" s="1458">
        <f>'Scope 3.1.2 น้ำประปา'!E8</f>
        <v/>
      </c>
      <c r="F9" s="565" t="n"/>
      <c r="G9" s="565">
        <f>'Scope 3.1.2 น้ำประปา'!C8</f>
        <v/>
      </c>
      <c r="H9" s="1459" t="n">
        <v>0.7948</v>
      </c>
      <c r="I9" s="1460">
        <f>E9*H9/1000</f>
        <v/>
      </c>
      <c r="J9" s="875">
        <f>I9/$I$46*100</f>
        <v/>
      </c>
      <c r="K9" s="565" t="inlineStr">
        <is>
          <t>TGO-CFP-EF-(ก.ค. 65)-60 น้ำประปา-การประปานครหลวง</t>
        </is>
      </c>
    </row>
    <row r="10">
      <c r="A10" s="565" t="n"/>
      <c r="B10" s="565" t="n"/>
      <c r="C10" s="565">
        <f>'Scope 3.1.3 กระดาษ A4'!A5</f>
        <v/>
      </c>
      <c r="D10" s="564">
        <f>'Scope 3.1.3 กระดาษ A4'!C5</f>
        <v/>
      </c>
      <c r="E10" s="1458">
        <f>'Scope 3.1.3 กระดาษ A4'!D5</f>
        <v/>
      </c>
      <c r="F10" s="565" t="n"/>
      <c r="G10" s="565" t="inlineStr">
        <is>
          <t>ใบสั่งซื้อ</t>
        </is>
      </c>
      <c r="H10" s="1459" t="n">
        <v>2.102</v>
      </c>
      <c r="I10" s="1460">
        <f>E10*H10/1000</f>
        <v/>
      </c>
      <c r="J10" s="875">
        <f>I10/$I$46*100</f>
        <v/>
      </c>
      <c r="K10" s="565" t="inlineStr">
        <is>
          <t>TGO-CFP-EF-(ก.ค. 65)-592 กระดาษพิมพ์เขียนแบบไม่เคลือบผิว</t>
        </is>
      </c>
    </row>
    <row r="11">
      <c r="A11" s="565" t="n"/>
      <c r="B11" s="565" t="n"/>
      <c r="C11" s="565">
        <f>'Scope 3.1.3 กระดาษ A4'!A8</f>
        <v/>
      </c>
      <c r="D11" s="870">
        <f>'Scope 3.1.3 กระดาษ A4'!C8</f>
        <v/>
      </c>
      <c r="E11" s="1458">
        <f>'Scope 3.1.3 กระดาษ A4'!D8</f>
        <v/>
      </c>
      <c r="F11" s="565" t="n"/>
      <c r="G11" s="565" t="inlineStr">
        <is>
          <t>ใบสั่งซื้อ</t>
        </is>
      </c>
      <c r="H11" s="1459" t="n">
        <v>2.102</v>
      </c>
      <c r="I11" s="1460">
        <f>E11*H11/1000</f>
        <v/>
      </c>
      <c r="J11" s="875">
        <f>I11/$I$46*100</f>
        <v/>
      </c>
      <c r="K11" s="565" t="inlineStr">
        <is>
          <t>TGO-CFP-EF-(ก.ค. 65)-592 กระดาษพิมพ์เขียนแบบไม่เคลือบผิว</t>
        </is>
      </c>
    </row>
    <row r="12">
      <c r="A12" s="565" t="n"/>
      <c r="B12" s="565" t="n"/>
      <c r="C12" s="565">
        <f>'1.4.4 ปุ๋ย'!A3</f>
        <v/>
      </c>
      <c r="D12" s="870">
        <f>'1.4.4 ปุ๋ย'!C3</f>
        <v/>
      </c>
      <c r="E12" s="1461">
        <f>'1.4.4 ปุ๋ย'!D3</f>
        <v/>
      </c>
      <c r="F12" s="565" t="n"/>
      <c r="G12" s="565">
        <f>'1.4.4 ปุ๋ย'!B3</f>
        <v/>
      </c>
      <c r="H12" s="1459">
        <f>'1.4.4 ปุ๋ย'!Q4</f>
        <v/>
      </c>
      <c r="I12" s="1460">
        <f>E12*H12/1000</f>
        <v/>
      </c>
      <c r="J12" s="875">
        <f>I12/$I$46*100</f>
        <v/>
      </c>
      <c r="K12" s="565" t="inlineStr">
        <is>
          <t>TGO guildline</t>
        </is>
      </c>
    </row>
    <row r="13">
      <c r="A13" s="565" t="n"/>
      <c r="B13" s="565" t="n"/>
      <c r="C13" s="565">
        <f>'Scope 3.1.4 จ้างเหมารถพนักงาน'!A4</f>
        <v/>
      </c>
      <c r="D13" s="870" t="inlineStr">
        <is>
          <t>L</t>
        </is>
      </c>
      <c r="E13" s="1461">
        <f>'Scope 3.1.4 จ้างเหมารถพนักงาน'!J4</f>
        <v/>
      </c>
      <c r="F13" s="565" t="n"/>
      <c r="G13" s="565" t="inlineStr">
        <is>
          <t>ใบแจ้งหนี้</t>
        </is>
      </c>
      <c r="H13" s="1459">
        <f>'EF TGO AR5'!H29</f>
        <v/>
      </c>
      <c r="I13" s="1460">
        <f>E13*H13/1000</f>
        <v/>
      </c>
      <c r="J13" s="875">
        <f>I13/$I$46*100</f>
        <v/>
      </c>
      <c r="K13" s="565" t="inlineStr">
        <is>
          <t>TGO-CFO-EF: sheet ET TGO AR5</t>
        </is>
      </c>
    </row>
    <row r="14">
      <c r="A14" s="565" t="n"/>
      <c r="B14" s="565" t="n"/>
      <c r="C14" s="565">
        <f>'Scope 3.1.4 จ้างเหมารถพนักงาน'!A4</f>
        <v/>
      </c>
      <c r="D14" s="870" t="inlineStr">
        <is>
          <t>kg</t>
        </is>
      </c>
      <c r="E14" s="1461">
        <f>E13*0.83</f>
        <v/>
      </c>
      <c r="F14" s="565" t="n"/>
      <c r="G14" s="565" t="inlineStr">
        <is>
          <t>ใบแจ้งหนี้</t>
        </is>
      </c>
      <c r="H14" s="1459" t="n">
        <v>0.3522</v>
      </c>
      <c r="I14" s="1460">
        <f>E14*H14/1000</f>
        <v/>
      </c>
      <c r="J14" s="875">
        <f>I14/$I$46*100</f>
        <v/>
      </c>
      <c r="K14" s="565" t="inlineStr">
        <is>
          <t>TGO-CFP-EF-(ก.ค. 65)-55 Diesel (น้ำมันดีเซล / น้ำมันโซล่าร์)</t>
        </is>
      </c>
    </row>
    <row r="15">
      <c r="A15" s="565" t="inlineStr">
        <is>
          <t>Scope 3.3</t>
        </is>
      </c>
      <c r="B15" s="565" t="inlineStr">
        <is>
          <t>Scope 2.2 in ISO 14064-1</t>
        </is>
      </c>
      <c r="C15" s="861" t="inlineStr">
        <is>
          <t>Capital goods</t>
        </is>
      </c>
      <c r="D15" s="565" t="n"/>
      <c r="E15" s="1458" t="n"/>
      <c r="F15" s="565" t="n"/>
      <c r="G15" s="565" t="n"/>
      <c r="H15" s="565" t="n"/>
      <c r="I15" s="565" t="n"/>
      <c r="J15" s="875" t="n"/>
      <c r="K15" s="565" t="n"/>
    </row>
    <row r="16">
      <c r="A16" s="565" t="n"/>
      <c r="B16" s="565" t="n"/>
      <c r="C16" s="565" t="inlineStr">
        <is>
          <t>การได้มาของไฟฟ้า</t>
        </is>
      </c>
      <c r="D16" s="870" t="inlineStr">
        <is>
          <t>kwh</t>
        </is>
      </c>
      <c r="E16" s="1458">
        <f>'Scope 2.1 Purchased Electricity'!E3+'Scope 2.1 Purchased Electricity'!E7+'Scope 2.1 Purchased Electricity'!E12+'Scope 2.1 Purchased Electricity'!E15</f>
        <v/>
      </c>
      <c r="F16" s="565" t="n"/>
      <c r="G16" s="565" t="inlineStr">
        <is>
          <t>ใบแจ้งหนี้/หนังสือแจ้งค่าไฟฟ้า</t>
        </is>
      </c>
      <c r="H16" s="565">
        <f>0.5986-0.4999</f>
        <v/>
      </c>
      <c r="I16" s="1460">
        <f>E16*H16/1000</f>
        <v/>
      </c>
      <c r="J16" s="875">
        <f>I16/$I$46*100</f>
        <v/>
      </c>
      <c r="K16" s="565" t="inlineStr">
        <is>
          <t>CFO-EF - CFP-EF-ไฟฟ้า</t>
        </is>
      </c>
    </row>
    <row r="17">
      <c r="A17" s="565" t="n"/>
      <c r="B17" s="565" t="n"/>
      <c r="C17" s="565" t="inlineStr">
        <is>
          <t>การได้มา Acetylene</t>
        </is>
      </c>
      <c r="D17" s="870" t="inlineStr">
        <is>
          <t>kg</t>
        </is>
      </c>
      <c r="E17" s="1458">
        <f>'1.1 Stationary'!D11</f>
        <v/>
      </c>
      <c r="F17" s="565" t="n"/>
      <c r="G17" s="565" t="inlineStr">
        <is>
          <t>บิลเงินสด/ใบเสร็จรับเงิน</t>
        </is>
      </c>
      <c r="H17" s="565" t="n">
        <v>2.2804</v>
      </c>
      <c r="I17" s="1460">
        <f>E17*H17/1000</f>
        <v/>
      </c>
      <c r="J17" s="875">
        <f>I17/$I$46*100</f>
        <v/>
      </c>
      <c r="K17" s="565" t="inlineStr">
        <is>
          <t>TGO-CFP-EF-(ก.ค. 65)-654  acetylene</t>
        </is>
      </c>
    </row>
    <row r="18">
      <c r="A18" s="565" t="n"/>
      <c r="B18" s="565" t="n"/>
      <c r="C18" s="565" t="inlineStr">
        <is>
          <t>การได้มา Diesel</t>
        </is>
      </c>
      <c r="D18" s="870" t="inlineStr">
        <is>
          <t>kg</t>
        </is>
      </c>
      <c r="E18" s="1458">
        <f>('1.1 Stationary'!D9+'1.2 Mobile'!F13+'1.2 Mobile'!F57)*0.83</f>
        <v/>
      </c>
      <c r="F18" s="565" t="n"/>
      <c r="G18" s="565" t="inlineStr">
        <is>
          <t>Fleet card/ใบเสร็จรับเงิน</t>
        </is>
      </c>
      <c r="H18" s="565" t="n">
        <v>0.3522</v>
      </c>
      <c r="I18" s="1460">
        <f>E18*H18/1000</f>
        <v/>
      </c>
      <c r="J18" s="875">
        <f>I18/$I$46*100</f>
        <v/>
      </c>
      <c r="K18" s="565" t="inlineStr">
        <is>
          <t>TGO-CFP-EF-(ก.ค. 65)-55 Diesel (น้ำมันดีเซล / น้ำมันโซล่าร์)</t>
        </is>
      </c>
    </row>
    <row r="19">
      <c r="A19" s="565" t="n"/>
      <c r="B19" s="565" t="n"/>
      <c r="C19" s="565" t="inlineStr">
        <is>
          <t>การได้มา Gasoline</t>
        </is>
      </c>
      <c r="D19" s="870" t="inlineStr">
        <is>
          <t>kg</t>
        </is>
      </c>
      <c r="E19" s="1458">
        <f>('1.1 Stationary'!D10+'1.2 Mobile'!F43)*0.75</f>
        <v/>
      </c>
      <c r="F19" s="565" t="n"/>
      <c r="G19" s="565" t="inlineStr">
        <is>
          <t>Fleet card/ใบเสร็จรับเงิน</t>
        </is>
      </c>
      <c r="H19" s="565" t="n">
        <v>0.4024</v>
      </c>
      <c r="I19" s="1460">
        <f>E19*H19/1000</f>
        <v/>
      </c>
      <c r="J19" s="875">
        <f>I19/$I$46*100</f>
        <v/>
      </c>
      <c r="K19" s="565" t="inlineStr">
        <is>
          <t>TGO-CFP-EF-(ก.ค. 65)-52 Gasoline (แก๊สโซลีน)</t>
        </is>
      </c>
    </row>
    <row r="20">
      <c r="A20" s="565" t="inlineStr">
        <is>
          <t>Scope 3.4</t>
        </is>
      </c>
      <c r="B20" s="565" t="inlineStr">
        <is>
          <t>Scope 3.1 in ISO 14064-1</t>
        </is>
      </c>
      <c r="C20" s="861" t="inlineStr">
        <is>
          <t>Upstream transportation and distribution</t>
        </is>
      </c>
      <c r="D20" s="870" t="n"/>
      <c r="E20" s="1458" t="n"/>
      <c r="F20" s="565" t="n"/>
      <c r="G20" s="565" t="n"/>
      <c r="H20" s="565" t="n"/>
      <c r="I20" s="565" t="n"/>
      <c r="J20" s="875" t="n"/>
      <c r="K20" s="565" t="n"/>
    </row>
    <row r="21">
      <c r="A21" s="565" t="n"/>
      <c r="B21" s="565" t="n"/>
      <c r="C21" s="565" t="inlineStr">
        <is>
          <t>รถตู้บรรทุก 10 ล้อ 100% loading</t>
        </is>
      </c>
      <c r="D21" s="870" t="inlineStr">
        <is>
          <t>tkm</t>
        </is>
      </c>
      <c r="E21" s="1458">
        <f>'Scope 3.4'!I4</f>
        <v/>
      </c>
      <c r="F21" s="565" t="n"/>
      <c r="G21" s="565" t="inlineStr">
        <is>
          <t>ใบส่งสินค้า/ใบกำกับภาษี</t>
        </is>
      </c>
      <c r="H21" s="885" t="n">
        <v>0.0454</v>
      </c>
      <c r="I21" s="1460">
        <f>E21*H21/1000</f>
        <v/>
      </c>
      <c r="J21" s="875">
        <f>I21/$I$46*100</f>
        <v/>
      </c>
      <c r="K21" s="565" t="inlineStr">
        <is>
          <t>TGO-CFP-EF-(ก.ค. 65)-125 รถตู้บรรทุก 10 ล้อ วิ่งปกติ 100% Loading</t>
        </is>
      </c>
    </row>
    <row r="22">
      <c r="A22" s="565" t="n"/>
      <c r="B22" s="565" t="n"/>
      <c r="C22" s="565" t="inlineStr">
        <is>
          <t>รถตู้บรรทุก 10 ล้อ 0% loading</t>
        </is>
      </c>
      <c r="D22" s="870" t="inlineStr">
        <is>
          <t>km</t>
        </is>
      </c>
      <c r="E22" s="1458">
        <f>'Scope 3.4'!J4</f>
        <v/>
      </c>
      <c r="F22" s="565" t="n"/>
      <c r="G22" s="565" t="inlineStr">
        <is>
          <t>ใบส่งสินค้า/ใบกำกับภาษี</t>
        </is>
      </c>
      <c r="H22" s="1462" t="n">
        <v>0.5747</v>
      </c>
      <c r="I22" s="1460">
        <f>E22*H22/1000</f>
        <v/>
      </c>
      <c r="J22" s="875">
        <f>I22/$I$46*100</f>
        <v/>
      </c>
      <c r="K22" s="565" t="inlineStr">
        <is>
          <t>TGO-CFP-EF-(ก.ค. 65)-122 รถตู้บรรทุก 10 ล้อ วิ่งปกติ 0% Loading</t>
        </is>
      </c>
    </row>
    <row r="23">
      <c r="A23" s="565" t="n"/>
      <c r="B23" s="565" t="n"/>
      <c r="C23" s="565" t="inlineStr">
        <is>
          <t>รถตู้บรรทุก 6 ล้อ ขนาดใหญ่ 100% loading</t>
        </is>
      </c>
      <c r="D23" s="870" t="inlineStr">
        <is>
          <t>tkm</t>
        </is>
      </c>
      <c r="E23" s="1458">
        <f>'Scope 3.4'!K4</f>
        <v/>
      </c>
      <c r="F23" s="565" t="n"/>
      <c r="G23" s="565" t="inlineStr">
        <is>
          <t>ใบส่งสินค้า/ใบกำกับภาษี</t>
        </is>
      </c>
      <c r="H23" s="885" t="n">
        <v>0.0547</v>
      </c>
      <c r="I23" s="1460">
        <f>E23*H23/1000</f>
        <v/>
      </c>
      <c r="J23" s="875">
        <f>I23/$I$46*100</f>
        <v/>
      </c>
      <c r="K23" s="565" t="inlineStr">
        <is>
          <t>TGO-CFP-EF-(ก.ค. 65)-109 รถตู้บรรทุก 6 ล้อ ขนาดใหญ่ วิ่งปกติ 100% Loading</t>
        </is>
      </c>
    </row>
    <row r="24">
      <c r="A24" s="565" t="n"/>
      <c r="B24" s="565" t="n"/>
      <c r="C24" s="565" t="inlineStr">
        <is>
          <t>รถตู้บรรทุก 6 ล้อ ขนาดใหญ่ 0% loading</t>
        </is>
      </c>
      <c r="D24" s="870" t="inlineStr">
        <is>
          <t>km</t>
        </is>
      </c>
      <c r="E24" s="1458">
        <f>'Scope 3.4'!L4</f>
        <v/>
      </c>
      <c r="F24" s="565" t="n"/>
      <c r="G24" s="565" t="inlineStr">
        <is>
          <t>ใบส่งสินค้า/ใบกำกับภาษี</t>
        </is>
      </c>
      <c r="H24" s="885" t="n">
        <v>0.4373</v>
      </c>
      <c r="I24" s="1460">
        <f>E24*H24/1000</f>
        <v/>
      </c>
      <c r="J24" s="875">
        <f>I24/$I$46*100</f>
        <v/>
      </c>
      <c r="K24" s="565" t="inlineStr">
        <is>
          <t>TGO-CFP-EF-(ก.ค. 65)-106 รถตู้บรรทุก 6 ล้อ ขนาดใหญ่ วิ่งปกติ 0% Loading</t>
        </is>
      </c>
    </row>
    <row r="25">
      <c r="A25" s="565" t="n"/>
      <c r="B25" s="565" t="n"/>
      <c r="C25" s="565" t="inlineStr">
        <is>
          <t>รถตู้บรรทุก 4 ล้อ 100% loading</t>
        </is>
      </c>
      <c r="D25" s="870" t="inlineStr">
        <is>
          <t>tkm</t>
        </is>
      </c>
      <c r="E25" s="1458">
        <f>'Scope 3.4'!M4</f>
        <v/>
      </c>
      <c r="F25" s="565" t="n"/>
      <c r="G25" s="565" t="inlineStr">
        <is>
          <t>ใบส่งสินค้า/ใบกำกับภาษี</t>
        </is>
      </c>
      <c r="H25" s="885" t="n">
        <v>0.1835</v>
      </c>
      <c r="I25" s="1460">
        <f>E25*H25/1000</f>
        <v/>
      </c>
      <c r="J25" s="875">
        <f>I25/$I$46*100</f>
        <v/>
      </c>
      <c r="K25" s="565" t="inlineStr">
        <is>
          <t>TGO-CFP-EF-(ก.ค. 65)-77 รถตู้บรรทุก 4 ล้อ วิ่งแบบปกติ 100% Loading</t>
        </is>
      </c>
    </row>
    <row r="26">
      <c r="A26" s="565" t="n"/>
      <c r="B26" s="565" t="n"/>
      <c r="C26" s="565" t="inlineStr">
        <is>
          <t>รถตู้บรรทุก 4 ล้อ 0% loading</t>
        </is>
      </c>
      <c r="D26" s="870" t="inlineStr">
        <is>
          <t>km</t>
        </is>
      </c>
      <c r="E26" s="1458">
        <f>'Scope 3.4'!N4</f>
        <v/>
      </c>
      <c r="F26" s="565" t="n"/>
      <c r="G26" s="565" t="inlineStr">
        <is>
          <t>ใบส่งสินค้า/ใบกำกับภาษี</t>
        </is>
      </c>
      <c r="H26" s="885" t="n">
        <v>0.3345</v>
      </c>
      <c r="I26" s="1460">
        <f>E26*H26/1000</f>
        <v/>
      </c>
      <c r="J26" s="875">
        <f>I26/$I$46*100</f>
        <v/>
      </c>
      <c r="K26" s="565" t="inlineStr">
        <is>
          <t>TGO-CFP-EF-(ก.ค. 65)-74 รถตู้บรรทุก 4 ล้อ วิ่งแบบปกติ 0% Loading</t>
        </is>
      </c>
    </row>
    <row r="27">
      <c r="A27" s="565" t="n"/>
      <c r="B27" s="565" t="n"/>
      <c r="C27" s="565" t="inlineStr">
        <is>
          <t>เรือบรรทุก container</t>
        </is>
      </c>
      <c r="D27" s="870" t="inlineStr">
        <is>
          <t>tkm</t>
        </is>
      </c>
      <c r="E27" s="1458">
        <f>'Scope 3.4'!O4</f>
        <v/>
      </c>
      <c r="F27" s="565" t="n"/>
      <c r="G27" s="565" t="inlineStr">
        <is>
          <t>ใบส่งสินค้า/ใบกำกับภาษี</t>
        </is>
      </c>
      <c r="H27" s="885" t="n">
        <v>0.0107</v>
      </c>
      <c r="I27" s="1460">
        <f>E27*H27/1000</f>
        <v/>
      </c>
      <c r="J27" s="875">
        <f>I27/$I$46*100</f>
        <v/>
      </c>
      <c r="K27" s="565" t="inlineStr">
        <is>
          <t>TGO-CFP-EF-(ก.ค. 65)-255 เรือบรรทุก container</t>
        </is>
      </c>
    </row>
    <row r="28">
      <c r="A28" s="565" t="inlineStr">
        <is>
          <t>Scope 3.5</t>
        </is>
      </c>
      <c r="B28" s="565" t="inlineStr">
        <is>
          <t>Scope 4.3 in ISO 14064-1</t>
        </is>
      </c>
      <c r="C28" s="861" t="inlineStr">
        <is>
          <t>Waste generated in operations</t>
        </is>
      </c>
      <c r="D28" s="565" t="n"/>
      <c r="E28" s="1458" t="n"/>
      <c r="F28" s="565" t="n"/>
      <c r="G28" s="565" t="n"/>
      <c r="H28" s="565" t="n"/>
      <c r="I28" s="565" t="n"/>
      <c r="J28" s="875" t="n"/>
      <c r="K28" s="565" t="n"/>
    </row>
    <row r="29">
      <c r="A29" s="565" t="n"/>
      <c r="B29" s="565" t="n"/>
      <c r="C29" s="877" t="inlineStr">
        <is>
          <t>การกำจัดของเสีย</t>
        </is>
      </c>
      <c r="D29" s="565" t="n"/>
      <c r="E29" s="1458" t="n"/>
      <c r="F29" s="565" t="n"/>
      <c r="G29" s="565" t="n"/>
      <c r="H29" s="565" t="n"/>
      <c r="I29" s="565" t="n"/>
      <c r="J29" s="875" t="n"/>
      <c r="K29" s="565" t="n"/>
    </row>
    <row r="30">
      <c r="A30" s="565" t="n"/>
      <c r="B30" s="565" t="n"/>
      <c r="C30" s="565">
        <f>'Scope 3.5'!A4</f>
        <v/>
      </c>
      <c r="D30" s="870" t="inlineStr">
        <is>
          <t>kg</t>
        </is>
      </c>
      <c r="E30" s="1458">
        <f>'Scope 3.5'!F4</f>
        <v/>
      </c>
      <c r="F30" s="565" t="n"/>
      <c r="G30" s="565" t="inlineStr">
        <is>
          <t>ใบกำกับการขนส่งขยะมูลฝอย</t>
        </is>
      </c>
      <c r="H30" s="885" t="n">
        <v>0.7933</v>
      </c>
      <c r="I30" s="1460">
        <f>E30*H30/1000</f>
        <v/>
      </c>
      <c r="J30" s="875">
        <f>I30/$I$46*100</f>
        <v/>
      </c>
      <c r="K30" s="565" t="inlineStr">
        <is>
          <t>TGO-CFP-EF-(ก.ค. 65)-การฝังกลบขยะมูลฝอยชุมชนแบบถูกหลักสุขาภิบาล</t>
        </is>
      </c>
    </row>
    <row r="31">
      <c r="A31" s="565" t="n"/>
      <c r="B31" s="565" t="n"/>
      <c r="C31" s="565">
        <f>'Scope 3.5'!A5</f>
        <v/>
      </c>
      <c r="D31" s="870" t="inlineStr">
        <is>
          <t>kg</t>
        </is>
      </c>
      <c r="E31" s="1458">
        <f>'Scope 3.5'!F5</f>
        <v/>
      </c>
      <c r="F31" s="565" t="n"/>
      <c r="G31" s="565" t="inlineStr">
        <is>
          <t>ใบกำกับการขนส่งของเสียอันตราย</t>
        </is>
      </c>
      <c r="H31" s="885" t="n">
        <v>0.7933</v>
      </c>
      <c r="I31" s="1460">
        <f>E31*H31/1000</f>
        <v/>
      </c>
      <c r="J31" s="875">
        <f>I31/$I$46*100</f>
        <v/>
      </c>
      <c r="K31" s="565" t="inlineStr">
        <is>
          <t>TGO-CFP-EF-(ก.ค. 65)-การฝังกลบขยะมูลฝอยชุมชนแบบถูกหลักสุขาภิบาล (แทน)</t>
        </is>
      </c>
    </row>
    <row r="32">
      <c r="A32" s="565" t="n"/>
      <c r="B32" s="565" t="n"/>
      <c r="C32" s="877" t="inlineStr">
        <is>
          <t>การขนส่ง</t>
        </is>
      </c>
      <c r="D32" s="565" t="n"/>
      <c r="E32" s="1458" t="n"/>
      <c r="F32" s="565" t="n"/>
      <c r="G32" s="565" t="n"/>
      <c r="H32" s="565" t="n"/>
      <c r="I32" s="565" t="n"/>
      <c r="J32" s="875" t="n"/>
      <c r="K32" s="565" t="n"/>
    </row>
    <row r="33">
      <c r="A33" s="565" t="n"/>
      <c r="B33" s="565" t="n"/>
      <c r="C33" s="565" t="inlineStr">
        <is>
          <t>รถกระบะบรรทุก 10 ล้อ วิ่งปกติ 100% loading</t>
        </is>
      </c>
      <c r="D33" s="870" t="inlineStr">
        <is>
          <t>tkm</t>
        </is>
      </c>
      <c r="E33" s="1458">
        <f>'Scope 3.5'!F23</f>
        <v/>
      </c>
      <c r="F33" s="565" t="n"/>
      <c r="G33" s="565" t="inlineStr">
        <is>
          <t>การประมาณการ</t>
        </is>
      </c>
      <c r="H33" s="565" t="n">
        <v>0.0533</v>
      </c>
      <c r="I33" s="1460">
        <f>E33*H33/1000</f>
        <v/>
      </c>
      <c r="J33" s="875">
        <f>I33/$I$46*100</f>
        <v/>
      </c>
      <c r="K33" s="565" t="n"/>
    </row>
    <row r="34">
      <c r="A34" s="565" t="n"/>
      <c r="B34" s="565" t="n"/>
      <c r="C34" s="565" t="inlineStr">
        <is>
          <t>รถกระบะบรรทุก 10 ล้อ วิ่งปกติ 0% loading</t>
        </is>
      </c>
      <c r="D34" s="870" t="inlineStr">
        <is>
          <t>km</t>
        </is>
      </c>
      <c r="E34" s="1458">
        <f>'Scope 3.5'!G23</f>
        <v/>
      </c>
      <c r="F34" s="565" t="n"/>
      <c r="G34" s="565" t="inlineStr">
        <is>
          <t>การประมาณการ</t>
        </is>
      </c>
      <c r="H34" s="1459" t="n">
        <v>0.59</v>
      </c>
      <c r="I34" s="1460">
        <f>E34*H34/1000</f>
        <v/>
      </c>
      <c r="J34" s="875">
        <f>I34/$I$46*100</f>
        <v/>
      </c>
      <c r="K34" s="565" t="n"/>
    </row>
    <row r="35">
      <c r="A35" s="565" t="n"/>
      <c r="B35" s="565" t="n"/>
      <c r="C35" s="565" t="inlineStr">
        <is>
          <t>รถบรรทุกขยะ 6 ล้อ 100% loading</t>
        </is>
      </c>
      <c r="D35" s="870" t="inlineStr">
        <is>
          <t>tkm</t>
        </is>
      </c>
      <c r="E35" s="1458">
        <f>'Scope 3.5'!J23</f>
        <v/>
      </c>
      <c r="F35" s="565" t="n"/>
      <c r="G35" s="565" t="inlineStr">
        <is>
          <t>การประมาณการ</t>
        </is>
      </c>
      <c r="H35" s="885" t="n">
        <v>0.0475</v>
      </c>
      <c r="I35" s="1460">
        <f>E35*H35/1000</f>
        <v/>
      </c>
      <c r="J35" s="875">
        <f>I35/$I$46*100</f>
        <v/>
      </c>
      <c r="K35" s="565" t="inlineStr">
        <is>
          <t>TGO-CFP-EF-(ก.ค. 65)-รถบรรทุกขยะ 6 ล้อ วิ่ง แบบปกติ 100% Loading</t>
        </is>
      </c>
    </row>
    <row r="36">
      <c r="A36" s="565" t="n"/>
      <c r="B36" s="565" t="n"/>
      <c r="C36" s="565" t="inlineStr">
        <is>
          <t>รถบรรทุกขยะ 6 ล้อ 0% loading</t>
        </is>
      </c>
      <c r="D36" s="870" t="inlineStr">
        <is>
          <t>km</t>
        </is>
      </c>
      <c r="E36" s="1458">
        <f>'Scope 3.5'!K23</f>
        <v/>
      </c>
      <c r="F36" s="565" t="n"/>
      <c r="G36" s="565" t="inlineStr">
        <is>
          <t>การประมาณการ</t>
        </is>
      </c>
      <c r="H36" s="885" t="n">
        <v>0.4923</v>
      </c>
      <c r="I36" s="1460">
        <f>E36*H36/1000</f>
        <v/>
      </c>
      <c r="J36" s="875">
        <f>I36/$I$46*100</f>
        <v/>
      </c>
      <c r="K36" s="565" t="inlineStr">
        <is>
          <t>TGO-CFP-EF-(ก.ค. 65)-รถบรรทุกขยะ 6 ล้อ วิ่งแบบปกติ 0% Loading</t>
        </is>
      </c>
    </row>
    <row r="37">
      <c r="A37" s="565" t="inlineStr">
        <is>
          <t>Scope 3.7</t>
        </is>
      </c>
      <c r="B37" s="565" t="inlineStr">
        <is>
          <t>Scope 3.3 in ISO 14064-1</t>
        </is>
      </c>
      <c r="C37" s="861" t="inlineStr">
        <is>
          <t>Employee commuting</t>
        </is>
      </c>
      <c r="D37" s="565" t="n"/>
      <c r="E37" s="1458" t="n"/>
      <c r="F37" s="565" t="n"/>
      <c r="G37" s="565" t="n"/>
      <c r="H37" s="1459" t="n"/>
      <c r="I37" s="565" t="n"/>
      <c r="J37" s="875" t="n"/>
      <c r="K37" s="565" t="n"/>
    </row>
    <row r="38">
      <c r="A38" s="565" t="n"/>
      <c r="B38" s="565" t="n"/>
      <c r="C38" s="565" t="inlineStr">
        <is>
          <t>น้ำมัน Gasoline จากการเดินทางของพนักงาน</t>
        </is>
      </c>
      <c r="D38" s="870" t="inlineStr">
        <is>
          <t>L</t>
        </is>
      </c>
      <c r="E38" s="1458">
        <f>'Scope 3.7'!Q4</f>
        <v/>
      </c>
      <c r="F38" s="565" t="n"/>
      <c r="G38" s="565" t="inlineStr">
        <is>
          <t>แบบสำรวจการเดินทางของพนักงาน</t>
        </is>
      </c>
      <c r="H38" s="1459">
        <f>'EF TGO AR5'!H30</f>
        <v/>
      </c>
      <c r="I38" s="1460">
        <f>E38*H38/1000</f>
        <v/>
      </c>
      <c r="J38" s="875">
        <f>I38/$I$46*100</f>
        <v/>
      </c>
      <c r="K38" s="565" t="inlineStr">
        <is>
          <t>TGO-CFO-EF-(เม.ย. 65)-Motor Gasoline - Mobile on road</t>
        </is>
      </c>
    </row>
    <row r="39">
      <c r="A39" s="565" t="n"/>
      <c r="B39" s="565" t="n"/>
      <c r="C39" s="565" t="inlineStr">
        <is>
          <t>น้ำมัน Diesel จากการเดินทางของพนักงาน</t>
        </is>
      </c>
      <c r="D39" s="870" t="inlineStr">
        <is>
          <t>L</t>
        </is>
      </c>
      <c r="E39" s="1458">
        <f>'Scope 3.7'!P4</f>
        <v/>
      </c>
      <c r="F39" s="565" t="n"/>
      <c r="G39" s="565" t="inlineStr">
        <is>
          <t>แบบสำรวจการเดินทางของพนักงาน</t>
        </is>
      </c>
      <c r="H39" s="1459">
        <f>'EF TGO AR5'!H32</f>
        <v/>
      </c>
      <c r="I39" s="1460">
        <f>E39*H39/1000</f>
        <v/>
      </c>
      <c r="J39" s="875">
        <f>I39/$I$46*100</f>
        <v/>
      </c>
      <c r="K39" s="565" t="inlineStr">
        <is>
          <t>TGO-CFO-EF-(เม.ย. 65)-Gas/ Diesel Oil-Mobile on road</t>
        </is>
      </c>
    </row>
    <row r="40">
      <c r="A40" s="565" t="inlineStr">
        <is>
          <t>Scope 3.9</t>
        </is>
      </c>
      <c r="B40" s="565" t="inlineStr">
        <is>
          <t>Scope 3.2 in ISO 14064-1</t>
        </is>
      </c>
      <c r="C40" s="861" t="inlineStr">
        <is>
          <t>Downstream transportation and distribution</t>
        </is>
      </c>
      <c r="D40" s="870" t="n"/>
      <c r="E40" s="1458" t="n"/>
      <c r="F40" s="565" t="n"/>
      <c r="G40" s="565" t="n"/>
      <c r="H40" s="565" t="n"/>
      <c r="I40" s="1460" t="n"/>
      <c r="J40" s="875" t="n"/>
      <c r="K40" s="565" t="n"/>
    </row>
    <row r="41">
      <c r="A41" s="565" t="n"/>
      <c r="B41" s="565" t="n"/>
      <c r="C41" s="565" t="inlineStr">
        <is>
          <t>รถตู้บรรทุกพ่วง 18 ล้อ วิ่งปกติ 100% loading</t>
        </is>
      </c>
      <c r="D41" s="870">
        <f>'Scope 3.9'!O3</f>
        <v/>
      </c>
      <c r="E41" s="1458">
        <f>'Scope 3.9'!O4</f>
        <v/>
      </c>
      <c r="F41" s="565" t="n"/>
      <c r="G41" s="565" t="inlineStr">
        <is>
          <t>Invoice , google map และ เว็ปไซต์ searate</t>
        </is>
      </c>
      <c r="H41" s="565" t="n">
        <v>0.0404</v>
      </c>
      <c r="I41" s="1460">
        <f>E41*H41/1000</f>
        <v/>
      </c>
      <c r="J41" s="875">
        <f>I41/$I$46*100</f>
        <v/>
      </c>
      <c r="K41" s="565" t="inlineStr">
        <is>
          <t>TGO-CFP-EF-(ก.ค. 65)-รถตู้บรรทุกพ่วง 18 ล้อ วิ่งปกติ 100% loading</t>
        </is>
      </c>
    </row>
    <row r="42">
      <c r="A42" s="565" t="n"/>
      <c r="B42" s="565" t="n"/>
      <c r="C42" s="565" t="inlineStr">
        <is>
          <t>รถตู้บรรทุกพ่วง 18 ล้อ วิ่งปกติ 0% loading</t>
        </is>
      </c>
      <c r="D42" s="870">
        <f>'Scope 3.9'!P3</f>
        <v/>
      </c>
      <c r="E42" s="1458">
        <f>'Scope 3.9'!P4</f>
        <v/>
      </c>
      <c r="F42" s="565" t="n"/>
      <c r="G42" s="565" t="inlineStr">
        <is>
          <t>Invoice , google map และ เว็ปไซต์ searate</t>
        </is>
      </c>
      <c r="H42" s="1459" t="n">
        <v>0.787</v>
      </c>
      <c r="I42" s="1460">
        <f>E42*H42/1000</f>
        <v/>
      </c>
      <c r="J42" s="875">
        <f>I42/$I$46*100</f>
        <v/>
      </c>
      <c r="K42" s="565" t="inlineStr">
        <is>
          <t>TGO-CFP-EF-(ก.ค. 65)-รถตู้บรรทุกพ่วง 18 ล้อ วิ่งปกติ 0% loading</t>
        </is>
      </c>
    </row>
    <row r="43">
      <c r="A43" s="565" t="n"/>
      <c r="B43" s="565" t="n"/>
      <c r="C43" s="565" t="inlineStr">
        <is>
          <t>เรือบรรทุก container</t>
        </is>
      </c>
      <c r="D43" s="870">
        <f>'Scope 3.9'!Q3</f>
        <v/>
      </c>
      <c r="E43" s="1458">
        <f>'Scope 3.9'!Q4</f>
        <v/>
      </c>
      <c r="F43" s="565" t="n"/>
      <c r="G43" s="565" t="inlineStr">
        <is>
          <t>Invoice , google map และ เว็ปไซต์ searate</t>
        </is>
      </c>
      <c r="H43" s="565" t="n">
        <v>0.0107</v>
      </c>
      <c r="I43" s="1460">
        <f>E43*H43/1000</f>
        <v/>
      </c>
      <c r="J43" s="875">
        <f>I43/$I$46*100</f>
        <v/>
      </c>
      <c r="K43" s="565" t="inlineStr">
        <is>
          <t>TGO-CFP-EF-(ก.ค. 65)-เรือบรรทุก container</t>
        </is>
      </c>
    </row>
    <row r="44">
      <c r="A44" s="565" t="inlineStr">
        <is>
          <t>Scope 3.12</t>
        </is>
      </c>
      <c r="B44" s="565" t="inlineStr">
        <is>
          <t>Scope 5 in ISO 14064-1</t>
        </is>
      </c>
      <c r="C44" s="861" t="inlineStr">
        <is>
          <t>End-of-life treatment of sold products</t>
        </is>
      </c>
      <c r="D44" s="870" t="n"/>
      <c r="E44" s="1458" t="n"/>
      <c r="F44" s="565" t="n"/>
      <c r="G44" s="565" t="n"/>
      <c r="H44" s="565" t="n"/>
      <c r="I44" s="1460" t="n"/>
      <c r="J44" s="875" t="n"/>
      <c r="K44" s="565" t="n"/>
    </row>
    <row r="45">
      <c r="A45" s="565" t="n"/>
      <c r="B45" s="565" t="n"/>
      <c r="C45" s="565" t="inlineStr">
        <is>
          <t>การฝังกลบถุงขยะ</t>
        </is>
      </c>
      <c r="D45" s="870" t="inlineStr">
        <is>
          <t>kg</t>
        </is>
      </c>
      <c r="E45" s="1458">
        <f>'Scope 3.12'!N3</f>
        <v/>
      </c>
      <c r="F45" s="565" t="n"/>
      <c r="G45" s="565" t="inlineStr">
        <is>
          <t>Invoice</t>
        </is>
      </c>
      <c r="H45" s="885" t="n">
        <v>0.7933</v>
      </c>
      <c r="I45" s="1460">
        <f>E45*H45/1000</f>
        <v/>
      </c>
      <c r="J45" s="875">
        <f>I45/$I$46*100</f>
        <v/>
      </c>
      <c r="K45" s="565" t="inlineStr">
        <is>
          <t>TGO-CFP-EF-(ก.ค. 65)-การฝังกลบขยะมูลฝอยชุมชนแบบถูกหลักสุขาภิบาล (แทน)</t>
        </is>
      </c>
    </row>
    <row r="46">
      <c r="A46" s="565" t="n"/>
      <c r="B46" s="565" t="n"/>
      <c r="C46" s="920" t="inlineStr">
        <is>
          <t>รวม</t>
        </is>
      </c>
      <c r="D46" s="878" t="n"/>
      <c r="E46" s="1463" t="n"/>
      <c r="F46" s="878" t="n"/>
      <c r="G46" s="878" t="n"/>
      <c r="H46" s="878" t="n"/>
      <c r="I46" s="1464">
        <f>SUM(I3:I45)</f>
        <v/>
      </c>
      <c r="J46" s="880">
        <f>SUM(J3:J45)</f>
        <v/>
      </c>
      <c r="K46" s="87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00FF"/>
    <outlinePr summaryBelow="1" summaryRight="1"/>
    <pageSetUpPr/>
  </sheetPr>
  <dimension ref="A1:BH65"/>
  <sheetViews>
    <sheetView zoomScale="51" zoomScaleNormal="51" workbookViewId="0">
      <selection activeCell="F18" sqref="F18"/>
    </sheetView>
  </sheetViews>
  <sheetFormatPr baseColWidth="8" defaultRowHeight="13.8"/>
  <cols>
    <col width="36.296875" customWidth="1" min="2" max="2"/>
    <col width="12" bestFit="1" customWidth="1" min="4" max="4"/>
    <col width="13" customWidth="1" min="6" max="6"/>
    <col width="9.3984375" bestFit="1" customWidth="1" min="13" max="13"/>
    <col width="11.69921875" customWidth="1" min="15" max="15"/>
    <col width="9.296875" bestFit="1" customWidth="1" min="16" max="16"/>
    <col width="13.09765625" customWidth="1" min="17" max="17"/>
    <col width="3.09765625" customWidth="1" min="18" max="25"/>
    <col width="16.59765625" customWidth="1" min="26" max="26"/>
    <col width="9.09765625" customWidth="1" min="27" max="27"/>
    <col width="11.09765625" customWidth="1" min="28" max="28"/>
    <col width="9.09765625" customWidth="1" min="29" max="32"/>
    <col width="11.09765625" bestFit="1" customWidth="1" min="33" max="33"/>
    <col width="9.09765625" customWidth="1" min="34" max="40"/>
    <col width="12.59765625" customWidth="1" min="41" max="44"/>
    <col width="14" customWidth="1" min="45" max="45"/>
    <col width="2.59765625" customWidth="1" min="46" max="46"/>
    <col width="10.69921875" bestFit="1" customWidth="1" min="47" max="47"/>
    <col width="11.09765625" bestFit="1" customWidth="1" min="48" max="48"/>
  </cols>
  <sheetData>
    <row r="1" ht="15" customFormat="1" customHeight="1" s="228">
      <c r="A1" s="1465" t="n"/>
      <c r="B1" s="1466" t="inlineStr">
        <is>
          <t>บัญชีรายการก๊าซเรือนกระจก</t>
        </is>
      </c>
      <c r="C1" s="1409" t="n"/>
      <c r="D1" s="1409" t="n"/>
      <c r="E1" s="1409" t="n"/>
      <c r="F1" s="1409" t="n"/>
      <c r="G1" s="1409" t="n"/>
      <c r="H1" s="1409" t="n"/>
      <c r="I1" s="1409" t="n"/>
      <c r="J1" s="1409" t="n"/>
      <c r="K1" s="1409" t="n"/>
      <c r="L1" s="1409" t="n"/>
      <c r="M1" s="1409" t="n"/>
      <c r="N1" s="1409" t="n"/>
      <c r="O1" s="1409" t="n"/>
      <c r="P1" s="1409" t="n"/>
      <c r="Q1" s="1409" t="n"/>
      <c r="R1" s="1409" t="n"/>
      <c r="S1" s="1409" t="n"/>
      <c r="T1" s="1409" t="n"/>
      <c r="U1" s="1409" t="n"/>
      <c r="V1" s="1409" t="n"/>
      <c r="W1" s="1409" t="n"/>
      <c r="X1" s="1409" t="n"/>
      <c r="Y1" s="1409" t="n"/>
      <c r="Z1" s="1409" t="n"/>
      <c r="AA1" s="1409" t="n"/>
      <c r="AB1" s="1409" t="n"/>
      <c r="AC1" s="1409" t="n"/>
      <c r="AD1" s="1409" t="n"/>
      <c r="AE1" s="1409" t="n"/>
      <c r="AF1" s="1409" t="n"/>
      <c r="AG1" s="1409" t="n"/>
      <c r="AH1" s="1409" t="n"/>
      <c r="AI1" s="1409" t="n"/>
      <c r="AJ1" s="1409" t="n"/>
      <c r="AK1" s="1409" t="n"/>
      <c r="AL1" s="1409" t="n"/>
      <c r="AM1" s="1409" t="n"/>
      <c r="AN1" s="1410" t="n"/>
      <c r="AO1" s="1467" t="inlineStr">
        <is>
          <t>TCFO_R_01
Version 04 : 21/2/2020</t>
        </is>
      </c>
      <c r="AP1" s="1409" t="n"/>
      <c r="AQ1" s="1409" t="n"/>
      <c r="AR1" s="1409" t="n"/>
      <c r="AS1" s="1410" t="n"/>
      <c r="BF1" s="236" t="n"/>
      <c r="BG1" s="236" t="n"/>
      <c r="BH1" s="236" t="n"/>
    </row>
    <row r="2" ht="15" customFormat="1" customHeight="1" s="228">
      <c r="A2" s="1412" t="n"/>
      <c r="B2" s="1413" t="n"/>
      <c r="C2" s="1414" t="n"/>
      <c r="D2" s="1414" t="n"/>
      <c r="E2" s="1414" t="n"/>
      <c r="F2" s="1414" t="n"/>
      <c r="G2" s="1414" t="n"/>
      <c r="H2" s="1414" t="n"/>
      <c r="I2" s="1414" t="n"/>
      <c r="J2" s="1414" t="n"/>
      <c r="K2" s="1414" t="n"/>
      <c r="L2" s="1414" t="n"/>
      <c r="M2" s="1414" t="n"/>
      <c r="N2" s="1414" t="n"/>
      <c r="O2" s="1414" t="n"/>
      <c r="P2" s="1414" t="n"/>
      <c r="Q2" s="1414" t="n"/>
      <c r="R2" s="1414" t="n"/>
      <c r="S2" s="1414" t="n"/>
      <c r="T2" s="1414" t="n"/>
      <c r="U2" s="1414" t="n"/>
      <c r="V2" s="1414" t="n"/>
      <c r="W2" s="1414" t="n"/>
      <c r="X2" s="1414" t="n"/>
      <c r="Y2" s="1414" t="n"/>
      <c r="Z2" s="1414" t="n"/>
      <c r="AA2" s="1414" t="n"/>
      <c r="AB2" s="1414" t="n"/>
      <c r="AC2" s="1414" t="n"/>
      <c r="AD2" s="1414" t="n"/>
      <c r="AE2" s="1414" t="n"/>
      <c r="AF2" s="1414" t="n"/>
      <c r="AG2" s="1414" t="n"/>
      <c r="AH2" s="1414" t="n"/>
      <c r="AI2" s="1414" t="n"/>
      <c r="AJ2" s="1414" t="n"/>
      <c r="AK2" s="1414" t="n"/>
      <c r="AL2" s="1414" t="n"/>
      <c r="AM2" s="1414" t="n"/>
      <c r="AN2" s="830" t="n"/>
      <c r="AO2" s="1413" t="n"/>
      <c r="AP2" s="1414" t="n"/>
      <c r="AQ2" s="1414" t="n"/>
      <c r="AR2" s="1414" t="n"/>
      <c r="AS2" s="830" t="n"/>
      <c r="BF2" s="236" t="n"/>
      <c r="BG2" s="236" t="n"/>
      <c r="BH2" s="236" t="n"/>
    </row>
    <row r="3" ht="15" customFormat="1" customHeight="1" s="228">
      <c r="A3" s="1412" t="n"/>
      <c r="B3" s="237" t="inlineStr">
        <is>
          <t>ชื่อฟอร์ม</t>
        </is>
      </c>
      <c r="C3" s="1468" t="inlineStr">
        <is>
          <t>บัญชีรายการก๊าซเรือนกระจก</t>
        </is>
      </c>
      <c r="D3" s="1415" t="n"/>
      <c r="E3" s="1415" t="n"/>
      <c r="F3" s="1416" t="n"/>
      <c r="G3" s="1194" t="n"/>
      <c r="H3" s="238" t="inlineStr">
        <is>
          <t>องค์กร</t>
        </is>
      </c>
      <c r="I3" s="1469">
        <f>'Fr-01'!$B$6</f>
        <v/>
      </c>
      <c r="J3" s="1415" t="n"/>
      <c r="K3" s="1415" t="n"/>
      <c r="L3" s="1415" t="n"/>
      <c r="M3" s="1415" t="n"/>
      <c r="N3" s="1415" t="n"/>
      <c r="O3" s="1415" t="n"/>
      <c r="P3" s="1415" t="n"/>
      <c r="Q3" s="1415" t="n"/>
      <c r="R3" s="1415" t="n"/>
      <c r="S3" s="1415" t="n"/>
      <c r="T3" s="1415" t="n"/>
      <c r="U3" s="1415" t="n"/>
      <c r="V3" s="1415" t="n"/>
      <c r="W3" s="1415" t="n"/>
      <c r="X3" s="1415" t="n"/>
      <c r="Y3" s="1415" t="n"/>
      <c r="Z3" s="1415" t="n"/>
      <c r="AA3" s="1416" t="n"/>
      <c r="AB3" s="1470" t="inlineStr">
        <is>
          <t>ปีที่เก็บข้อมูล</t>
        </is>
      </c>
      <c r="AC3" s="1415" t="n"/>
      <c r="AD3" s="1416" t="n"/>
      <c r="AE3" s="1469">
        <f>'Fr-01'!H36</f>
        <v/>
      </c>
      <c r="AF3" s="1415" t="n"/>
      <c r="AG3" s="1415" t="n"/>
      <c r="AH3" s="1415" t="n"/>
      <c r="AI3" s="1415" t="n"/>
      <c r="AJ3" s="1415" t="n"/>
      <c r="AK3" s="1415" t="n"/>
      <c r="AL3" s="1415" t="n"/>
      <c r="AM3" s="1415" t="n"/>
      <c r="AN3" s="1416" t="n"/>
      <c r="AO3" s="1471" t="inlineStr">
        <is>
          <t xml:space="preserve">หน้าที่ </t>
        </is>
      </c>
      <c r="AP3" s="1415" t="n"/>
      <c r="AQ3" s="1416" t="n"/>
      <c r="AR3" s="1472" t="n">
        <v>4</v>
      </c>
      <c r="AS3" s="1416" t="n"/>
      <c r="BF3" s="236" t="n"/>
      <c r="BG3" s="236" t="n"/>
      <c r="BH3" s="236" t="n"/>
    </row>
    <row r="4" ht="21" customFormat="1" customHeight="1" s="228">
      <c r="A4" s="1417" t="n"/>
      <c r="B4" s="237" t="inlineStr">
        <is>
          <t>รหัสฟอร์ม</t>
        </is>
      </c>
      <c r="C4" s="1468" t="inlineStr">
        <is>
          <t>Fr-04.1</t>
        </is>
      </c>
      <c r="D4" s="1415" t="n"/>
      <c r="E4" s="1415" t="n"/>
      <c r="F4" s="1416" t="n"/>
      <c r="G4" s="1194" t="n"/>
      <c r="H4" s="238" t="inlineStr">
        <is>
          <t>ผู้จัดทำ</t>
        </is>
      </c>
      <c r="I4" s="1473">
        <f>'Fr-01'!$G$4</f>
        <v/>
      </c>
      <c r="J4" s="1415" t="n"/>
      <c r="K4" s="1415" t="n"/>
      <c r="L4" s="1415" t="n"/>
      <c r="M4" s="1415" t="n"/>
      <c r="N4" s="1415" t="n"/>
      <c r="O4" s="1415" t="n"/>
      <c r="P4" s="1415" t="n"/>
      <c r="Q4" s="1415" t="n"/>
      <c r="R4" s="1415" t="n"/>
      <c r="S4" s="1415" t="n"/>
      <c r="T4" s="1415" t="n"/>
      <c r="U4" s="1415" t="n"/>
      <c r="V4" s="1415" t="n"/>
      <c r="W4" s="1415" t="n"/>
      <c r="X4" s="1415" t="n"/>
      <c r="Y4" s="1415" t="n"/>
      <c r="Z4" s="1415" t="n"/>
      <c r="AA4" s="1416" t="n"/>
      <c r="AB4" s="239" t="n"/>
      <c r="AC4" s="241" t="n"/>
      <c r="AD4" s="240" t="n"/>
      <c r="AE4" s="241" t="n"/>
      <c r="AF4" s="241" t="n"/>
      <c r="AG4" s="241" t="n"/>
      <c r="AH4" s="241" t="n"/>
      <c r="AI4" s="241" t="n"/>
      <c r="AJ4" s="241" t="n"/>
      <c r="AK4" s="241" t="n"/>
      <c r="AL4" s="241" t="n"/>
      <c r="AM4" s="241" t="n"/>
      <c r="AN4" s="240" t="n"/>
      <c r="AO4" s="1471" t="inlineStr">
        <is>
          <t>วันที่</t>
        </is>
      </c>
      <c r="AP4" s="1415" t="n"/>
      <c r="AQ4" s="1416" t="n"/>
      <c r="AR4" s="1474" t="n">
        <v>45494</v>
      </c>
      <c r="AS4" s="1416" t="n"/>
      <c r="BF4" s="236" t="n"/>
      <c r="BG4" s="236" t="n"/>
      <c r="BH4" s="236" t="n"/>
    </row>
    <row r="5">
      <c r="A5" s="1475" t="n"/>
      <c r="B5" s="1415" t="n"/>
      <c r="C5" s="1415" t="n"/>
      <c r="D5" s="1415" t="n"/>
      <c r="E5" s="1415" t="n"/>
      <c r="F5" s="1415" t="n"/>
      <c r="G5" s="1415" t="n"/>
      <c r="H5" s="1415" t="n"/>
      <c r="I5" s="1415" t="n"/>
      <c r="J5" s="1415" t="n"/>
      <c r="K5" s="1415" t="n"/>
      <c r="L5" s="1415" t="n"/>
      <c r="M5" s="1415" t="n"/>
      <c r="N5" s="1415" t="n"/>
      <c r="O5" s="1415" t="n"/>
      <c r="P5" s="1415" t="n"/>
      <c r="Q5" s="1415" t="n"/>
      <c r="R5" s="1415" t="n"/>
      <c r="S5" s="1415" t="n"/>
      <c r="T5" s="1415" t="n"/>
      <c r="U5" s="1415" t="n"/>
      <c r="V5" s="1415" t="n"/>
      <c r="W5" s="1415" t="n"/>
      <c r="X5" s="1415" t="n"/>
      <c r="Y5" s="1415" t="n"/>
      <c r="Z5" s="1415" t="n"/>
      <c r="AA5" s="1415" t="n"/>
      <c r="AB5" s="1415" t="n"/>
      <c r="AC5" s="1415" t="n"/>
      <c r="AD5" s="1415" t="n"/>
      <c r="AE5" s="1415" t="n"/>
      <c r="AF5" s="1415" t="n"/>
      <c r="AG5" s="1415" t="n"/>
      <c r="AH5" s="1415" t="n"/>
      <c r="AI5" s="1415" t="n"/>
      <c r="AJ5" s="1415" t="n"/>
      <c r="AK5" s="1415" t="n"/>
      <c r="AL5" s="1415" t="n"/>
      <c r="AM5" s="1415" t="n"/>
      <c r="AN5" s="1415" t="n"/>
      <c r="AO5" s="1415" t="n"/>
      <c r="AP5" s="1415" t="n"/>
      <c r="AQ5" s="1415" t="n"/>
      <c r="AR5" s="1415" t="n"/>
      <c r="AS5" s="1416" t="n"/>
    </row>
    <row r="6" ht="15" customHeight="1">
      <c r="A6" s="1476" t="inlineStr">
        <is>
          <t>ขอบเขต</t>
        </is>
      </c>
      <c r="B6" s="1477" t="inlineStr">
        <is>
          <t>รายการ</t>
        </is>
      </c>
      <c r="C6" s="1478" t="inlineStr">
        <is>
          <t xml:space="preserve">ค่า LCI </t>
        </is>
      </c>
      <c r="D6" s="1479" t="n"/>
      <c r="E6" s="1480" t="inlineStr">
        <is>
          <t>GHG ที่ต้องรายงานตามข้อกำหนด</t>
        </is>
      </c>
      <c r="F6" s="1409" t="n"/>
      <c r="G6" s="1409" t="n"/>
      <c r="H6" s="1409" t="n"/>
      <c r="I6" s="1409" t="n"/>
      <c r="J6" s="1409" t="n"/>
      <c r="K6" s="1409" t="n"/>
      <c r="L6" s="1409" t="n"/>
      <c r="M6" s="1409" t="n"/>
      <c r="N6" s="1479" t="n"/>
      <c r="O6" s="1480" t="inlineStr">
        <is>
          <t>GHG ที่อยู่นอกข้อกำหนด</t>
        </is>
      </c>
      <c r="P6" s="1479" t="n"/>
      <c r="Q6" s="1481" t="inlineStr">
        <is>
          <t>Total (kgCO2e/หน่วย)</t>
        </is>
      </c>
      <c r="R6" s="1148" t="inlineStr">
        <is>
          <t>ที่มา</t>
        </is>
      </c>
      <c r="S6" s="1415" t="n"/>
      <c r="T6" s="1415" t="n"/>
      <c r="U6" s="1415" t="n"/>
      <c r="V6" s="1415" t="n"/>
      <c r="W6" s="1415" t="n"/>
      <c r="X6" s="1416" t="n"/>
      <c r="Y6" s="1482" t="inlineStr">
        <is>
          <t>Subsitute</t>
        </is>
      </c>
      <c r="Z6" s="1136" t="inlineStr">
        <is>
          <t>แหล่งอ้างอิง</t>
        </is>
      </c>
      <c r="AA6" s="1483" t="inlineStr">
        <is>
          <t>ผลคูณ (Ton GHG)</t>
        </is>
      </c>
      <c r="AB6" s="1409" t="n"/>
      <c r="AC6" s="1409" t="n"/>
      <c r="AD6" s="1409" t="n"/>
      <c r="AE6" s="1409" t="n"/>
      <c r="AF6" s="1479" t="n"/>
      <c r="AG6" s="1484" t="inlineStr">
        <is>
          <t>ผลคูณ (TonCO2e)</t>
        </is>
      </c>
      <c r="AH6" s="1409" t="n"/>
      <c r="AI6" s="1409" t="n"/>
      <c r="AJ6" s="1409" t="n"/>
      <c r="AK6" s="1409" t="n"/>
      <c r="AL6" s="1409" t="n"/>
      <c r="AM6" s="1409" t="n"/>
      <c r="AN6" s="1479" t="n"/>
      <c r="AO6" s="1190" t="inlineStr">
        <is>
          <t>Total GHG</t>
        </is>
      </c>
      <c r="AP6" s="1485" t="inlineStr">
        <is>
          <t>สัดส่วน (%)</t>
        </is>
      </c>
      <c r="AQ6" s="1485" t="inlineStr">
        <is>
          <t>สัดส่วน (%) (SCOPE 1+2)</t>
        </is>
      </c>
      <c r="AR6" s="1485" t="inlineStr">
        <is>
          <t>สัดส่วน (%) (SCOPE 1+2+3)</t>
        </is>
      </c>
      <c r="AS6" s="1486" t="inlineStr">
        <is>
          <t>คำอธิบายเพิ่มเติม</t>
        </is>
      </c>
      <c r="AU6" s="1487" t="inlineStr">
        <is>
          <t>GWP100</t>
        </is>
      </c>
      <c r="AV6" s="1416" t="n"/>
    </row>
    <row r="7" ht="15" customHeight="1">
      <c r="A7" s="1412" t="n"/>
      <c r="B7" s="1412" t="n"/>
      <c r="C7" s="1419" t="n"/>
      <c r="D7" s="1488" t="n"/>
      <c r="E7" s="1489" t="n"/>
      <c r="F7" s="1490" t="n"/>
      <c r="G7" s="1490" t="n"/>
      <c r="H7" s="1490" t="n"/>
      <c r="I7" s="1490" t="n"/>
      <c r="J7" s="1490" t="n"/>
      <c r="K7" s="1490" t="n"/>
      <c r="L7" s="1490" t="n"/>
      <c r="M7" s="1490" t="n"/>
      <c r="N7" s="1491" t="n"/>
      <c r="O7" s="1489" t="n"/>
      <c r="P7" s="1491" t="n"/>
      <c r="Q7" s="1492" t="n"/>
      <c r="R7" s="1148" t="inlineStr">
        <is>
          <t>1st</t>
        </is>
      </c>
      <c r="S7" s="1416" t="n"/>
      <c r="T7" s="1143" t="inlineStr">
        <is>
          <t>2nd</t>
        </is>
      </c>
      <c r="U7" s="1415" t="n"/>
      <c r="V7" s="1415" t="n"/>
      <c r="W7" s="1415" t="n"/>
      <c r="X7" s="1482" t="inlineStr">
        <is>
          <t>Other</t>
        </is>
      </c>
      <c r="Y7" s="1412" t="n"/>
      <c r="Z7" s="1412" t="n"/>
      <c r="AA7" s="1419" t="n"/>
      <c r="AF7" s="1488" t="n"/>
      <c r="AN7" s="1488" t="n"/>
      <c r="AO7" s="1493" t="n"/>
      <c r="AP7" s="1412" t="n"/>
      <c r="AQ7" s="1412" t="n"/>
      <c r="AR7" s="1412" t="n"/>
      <c r="AS7" s="1492" t="n"/>
      <c r="AT7" s="1494" t="n"/>
      <c r="AU7" s="2" t="inlineStr">
        <is>
          <t>ที่มา</t>
        </is>
      </c>
      <c r="AV7" s="131" t="inlineStr">
        <is>
          <t>IPCC, AR5</t>
        </is>
      </c>
    </row>
    <row r="8" ht="31.5" customHeight="1">
      <c r="A8" s="1412" t="n"/>
      <c r="B8" s="1412" t="n"/>
      <c r="C8" s="1413" t="n"/>
      <c r="D8" s="1495" t="n"/>
      <c r="E8" s="1496" t="inlineStr">
        <is>
          <t>ค่า EF (kg GHG/หน่วย)</t>
        </is>
      </c>
      <c r="F8" s="1497" t="n"/>
      <c r="G8" s="1497" t="n"/>
      <c r="H8" s="1497" t="n"/>
      <c r="I8" s="1497" t="n"/>
      <c r="J8" s="1497" t="n"/>
      <c r="K8" s="1497" t="n"/>
      <c r="L8" s="1498" t="n"/>
      <c r="M8" s="1496" t="inlineStr">
        <is>
          <t>GWP100</t>
        </is>
      </c>
      <c r="N8" s="1498" t="n"/>
      <c r="O8" s="6" t="inlineStr">
        <is>
          <t>ค่า EF (kg GHG/หน่วย)</t>
        </is>
      </c>
      <c r="P8" s="6" t="inlineStr">
        <is>
          <t>GWP100</t>
        </is>
      </c>
      <c r="Q8" s="1492" t="n"/>
      <c r="R8" s="1482" t="inlineStr">
        <is>
          <t>Self collct</t>
        </is>
      </c>
      <c r="S8" s="1499" t="inlineStr">
        <is>
          <t>Supplier</t>
        </is>
      </c>
      <c r="T8" s="1482" t="inlineStr">
        <is>
          <t>TH LCI DB</t>
        </is>
      </c>
      <c r="U8" s="1482" t="inlineStr">
        <is>
          <t>TGO EF</t>
        </is>
      </c>
      <c r="V8" s="1482" t="inlineStr">
        <is>
          <t>Thai Res.</t>
        </is>
      </c>
      <c r="W8" s="1500" t="inlineStr">
        <is>
          <t>Int. DB</t>
        </is>
      </c>
      <c r="X8" s="1412" t="n"/>
      <c r="Y8" s="1412" t="n"/>
      <c r="Z8" s="1412" t="n"/>
      <c r="AA8" s="1501" t="n"/>
      <c r="AB8" s="1490" t="n"/>
      <c r="AC8" s="1490" t="n"/>
      <c r="AD8" s="1490" t="n"/>
      <c r="AE8" s="1490" t="n"/>
      <c r="AF8" s="1491" t="n"/>
      <c r="AG8" s="1490" t="n"/>
      <c r="AH8" s="1490" t="n"/>
      <c r="AI8" s="1490" t="n"/>
      <c r="AJ8" s="1490" t="n"/>
      <c r="AK8" s="1490" t="n"/>
      <c r="AL8" s="1490" t="n"/>
      <c r="AM8" s="1490" t="n"/>
      <c r="AN8" s="1491" t="n"/>
      <c r="AO8" s="1191" t="inlineStr">
        <is>
          <t xml:space="preserve"> (TonCO2e)</t>
        </is>
      </c>
      <c r="AP8" s="1412" t="n"/>
      <c r="AQ8" s="1412" t="n"/>
      <c r="AR8" s="1412" t="n"/>
      <c r="AS8" s="1492" t="n"/>
      <c r="AT8" s="1494" t="n"/>
      <c r="AU8" s="2" t="inlineStr">
        <is>
          <t>CO2</t>
        </is>
      </c>
      <c r="AV8" s="1502" t="n">
        <v>1</v>
      </c>
    </row>
    <row r="9">
      <c r="A9" s="1417" t="n"/>
      <c r="B9" s="1417" t="n"/>
      <c r="C9" s="4" t="inlineStr">
        <is>
          <t>หน่วย</t>
        </is>
      </c>
      <c r="D9" s="1503" t="inlineStr">
        <is>
          <t>ปริมาณ</t>
        </is>
      </c>
      <c r="E9" s="6" t="inlineStr">
        <is>
          <t>CO2</t>
        </is>
      </c>
      <c r="F9" s="7" t="inlineStr">
        <is>
          <t xml:space="preserve">Fossil CH4 </t>
        </is>
      </c>
      <c r="G9" s="7" t="inlineStr">
        <is>
          <t>CH4</t>
        </is>
      </c>
      <c r="H9" s="6" t="inlineStr">
        <is>
          <t>N2O</t>
        </is>
      </c>
      <c r="I9" s="8" t="inlineStr">
        <is>
          <t>SF6</t>
        </is>
      </c>
      <c r="J9" s="7" t="inlineStr">
        <is>
          <t>NF3</t>
        </is>
      </c>
      <c r="K9" s="7" t="inlineStr">
        <is>
          <t>HFCs</t>
        </is>
      </c>
      <c r="L9" s="7" t="inlineStr">
        <is>
          <t>PFCs</t>
        </is>
      </c>
      <c r="M9" s="7" t="inlineStr">
        <is>
          <t>HFCs</t>
        </is>
      </c>
      <c r="N9" s="7" t="inlineStr">
        <is>
          <t>PFCs</t>
        </is>
      </c>
      <c r="O9" s="1504" t="n"/>
      <c r="P9" s="1504" t="n"/>
      <c r="Q9" s="1505" t="n"/>
      <c r="R9" s="1417" t="n"/>
      <c r="S9" s="830" t="n"/>
      <c r="T9" s="1417" t="n"/>
      <c r="U9" s="1417" t="n"/>
      <c r="V9" s="1417" t="n"/>
      <c r="W9" s="1413" t="n"/>
      <c r="X9" s="1417" t="n"/>
      <c r="Y9" s="1417" t="n"/>
      <c r="Z9" s="1412" t="n"/>
      <c r="AA9" s="9" t="inlineStr">
        <is>
          <t>CO2</t>
        </is>
      </c>
      <c r="AB9" s="10" t="inlineStr">
        <is>
          <t xml:space="preserve">Fossil CH4 </t>
        </is>
      </c>
      <c r="AC9" s="10" t="inlineStr">
        <is>
          <t>CH4</t>
        </is>
      </c>
      <c r="AD9" s="11" t="inlineStr">
        <is>
          <t>N2O</t>
        </is>
      </c>
      <c r="AE9" s="11" t="inlineStr">
        <is>
          <t>SF6</t>
        </is>
      </c>
      <c r="AF9" s="12" t="inlineStr">
        <is>
          <t>NF3</t>
        </is>
      </c>
      <c r="AG9" s="10" t="inlineStr">
        <is>
          <t xml:space="preserve">Fossil CH4 </t>
        </is>
      </c>
      <c r="AH9" s="10" t="inlineStr">
        <is>
          <t>CH4</t>
        </is>
      </c>
      <c r="AI9" s="11" t="inlineStr">
        <is>
          <t>N2O</t>
        </is>
      </c>
      <c r="AJ9" s="11" t="inlineStr">
        <is>
          <t>SF6</t>
        </is>
      </c>
      <c r="AK9" s="11" t="inlineStr">
        <is>
          <t>NF3</t>
        </is>
      </c>
      <c r="AL9" s="11" t="inlineStr">
        <is>
          <t>HFCs</t>
        </is>
      </c>
      <c r="AM9" s="11" t="inlineStr">
        <is>
          <t>PFCs</t>
        </is>
      </c>
      <c r="AN9" s="11" t="inlineStr">
        <is>
          <t>Other</t>
        </is>
      </c>
      <c r="AO9" s="13" t="n"/>
      <c r="AP9" s="1417" t="n"/>
      <c r="AQ9" s="1417" t="n"/>
      <c r="AR9" s="1417" t="n"/>
      <c r="AS9" s="1505" t="n"/>
      <c r="AU9" s="2" t="inlineStr">
        <is>
          <t xml:space="preserve">Fossil CH4 </t>
        </is>
      </c>
      <c r="AV9" s="1502" t="n">
        <v>30</v>
      </c>
    </row>
    <row r="10">
      <c r="A10" s="1506" t="inlineStr">
        <is>
          <t>ขอบเขต 1</t>
        </is>
      </c>
      <c r="B10" s="14" t="inlineStr">
        <is>
          <t>Stationary combustion</t>
        </is>
      </c>
      <c r="C10" s="15" t="n"/>
      <c r="D10" s="1507" t="n"/>
      <c r="E10" s="1508" t="n"/>
      <c r="F10" s="1509" t="n"/>
      <c r="G10" s="1509" t="n"/>
      <c r="H10" s="1509" t="n"/>
      <c r="I10" s="1509" t="n"/>
      <c r="J10" s="1509" t="n"/>
      <c r="K10" s="1509" t="n"/>
      <c r="L10" s="1509" t="n"/>
      <c r="M10" s="1510" t="n"/>
      <c r="N10" s="1511" t="n"/>
      <c r="O10" s="1512" t="n"/>
      <c r="P10" s="1513" t="n"/>
      <c r="Q10" s="1514">
        <f>(E10*$AV$8)+(F10*$AV$9)+(G10*$AV$10)+(H10*$AV$11)+(I10*$AV$12)+(J10*$AV$13)+(K10*M10)+(L10*N10)</f>
        <v/>
      </c>
      <c r="R10" s="1515" t="n"/>
      <c r="S10" s="1515" t="n"/>
      <c r="T10" s="1515" t="n"/>
      <c r="U10" s="1509" t="n"/>
      <c r="V10" s="1516" t="n"/>
      <c r="W10" s="1509" t="n"/>
      <c r="X10" s="1509" t="n"/>
      <c r="Y10" s="1516" t="n"/>
      <c r="Z10" s="1515" t="n"/>
      <c r="AA10" s="1517">
        <f>D10*E10/1000</f>
        <v/>
      </c>
      <c r="AB10" s="1517">
        <f>D10*F10/1000</f>
        <v/>
      </c>
      <c r="AC10" s="1517">
        <f>D10*G10/1000</f>
        <v/>
      </c>
      <c r="AD10" s="1517">
        <f>D10*H10/1000</f>
        <v/>
      </c>
      <c r="AE10" s="1517">
        <f>D10*I10/1000</f>
        <v/>
      </c>
      <c r="AF10" s="1517">
        <f>D10*J10/1000</f>
        <v/>
      </c>
      <c r="AG10" s="1517">
        <f>D10*F10*$AV$9/1000</f>
        <v/>
      </c>
      <c r="AH10" s="1517">
        <f>D10*G10*$AV$10/1000</f>
        <v/>
      </c>
      <c r="AI10" s="1517">
        <f>D10*H10*$AV$11/1000</f>
        <v/>
      </c>
      <c r="AJ10" s="1517">
        <f>D10*I10*$AV$12/1000</f>
        <v/>
      </c>
      <c r="AK10" s="1517">
        <f>D10*J10*$AV$13/1000</f>
        <v/>
      </c>
      <c r="AL10" s="1517">
        <f>D10*K10*M10/1000</f>
        <v/>
      </c>
      <c r="AM10" s="1517">
        <f>D10*L10*N10/1000</f>
        <v/>
      </c>
      <c r="AN10" s="1518" t="n"/>
      <c r="AO10" s="1517">
        <f>D10*Q10/1000</f>
        <v/>
      </c>
      <c r="AP10" s="1517">
        <f>AO10/$AO$36</f>
        <v/>
      </c>
      <c r="AQ10" s="1517">
        <f>AO10/$AO$58</f>
        <v/>
      </c>
      <c r="AR10" s="1517">
        <f>AO10/$AO$59</f>
        <v/>
      </c>
      <c r="AS10" s="25" t="n"/>
      <c r="AU10" s="2" t="inlineStr">
        <is>
          <t>CH4</t>
        </is>
      </c>
      <c r="AV10" s="1502" t="n">
        <v>28</v>
      </c>
    </row>
    <row r="11">
      <c r="A11" s="1412" t="n"/>
      <c r="B11" s="26">
        <f>'1.1 Stationary'!A9</f>
        <v/>
      </c>
      <c r="C11" s="15">
        <f>'1.1 Stationary'!C9</f>
        <v/>
      </c>
      <c r="D11" s="1519">
        <f>'1.1 Stationary'!G4</f>
        <v/>
      </c>
      <c r="E11" s="1515">
        <f>'EF TGO AR5'!D11</f>
        <v/>
      </c>
      <c r="F11" s="1515">
        <f>'EF TGO AR5'!E11</f>
        <v/>
      </c>
      <c r="G11" s="1515">
        <f>'EF TGO AR5'!F11</f>
        <v/>
      </c>
      <c r="H11" s="1515">
        <f>'EF TGO AR5'!G11</f>
        <v/>
      </c>
      <c r="I11" s="1515" t="n"/>
      <c r="J11" s="1515" t="n"/>
      <c r="K11" s="1515" t="n"/>
      <c r="L11" s="1515" t="n"/>
      <c r="M11" s="1510" t="n"/>
      <c r="N11" s="1511" t="n"/>
      <c r="O11" s="1520" t="n"/>
      <c r="P11" s="1513" t="n"/>
      <c r="Q11" s="1514">
        <f>(E11*$AV$8)+(F11*$AV$9)+(G11*$AV$10)+(H11*$AV$11)+(I11*$AV$12)+(J11*$AV$13)+(K11*M11)+(L11*N11)</f>
        <v/>
      </c>
      <c r="R11" s="1515" t="n"/>
      <c r="S11" s="1515" t="n"/>
      <c r="T11" s="1515" t="n"/>
      <c r="U11" s="1521" t="inlineStr">
        <is>
          <t>/</t>
        </is>
      </c>
      <c r="V11" s="1515" t="n"/>
      <c r="W11" s="1515" t="n"/>
      <c r="X11" s="1515" t="n"/>
      <c r="Y11" s="1516" t="n"/>
      <c r="Z11" s="1515" t="inlineStr">
        <is>
          <t>TGO CFO EF (เมษายน 2565):Gas/Diesel oil</t>
        </is>
      </c>
      <c r="AA11" s="1517">
        <f>D11*E11/1000</f>
        <v/>
      </c>
      <c r="AB11" s="1517">
        <f>D11*F11/1000</f>
        <v/>
      </c>
      <c r="AC11" s="1517">
        <f>D11*G11/1000</f>
        <v/>
      </c>
      <c r="AD11" s="1517">
        <f>D11*H11/1000</f>
        <v/>
      </c>
      <c r="AE11" s="1517">
        <f>D11*I11/1000</f>
        <v/>
      </c>
      <c r="AF11" s="1517">
        <f>D11*J11/1000</f>
        <v/>
      </c>
      <c r="AG11" s="1517">
        <f>D11*F11*AJ13/1000</f>
        <v/>
      </c>
      <c r="AH11" s="1517">
        <f>D11*G11*$AV$10/1000</f>
        <v/>
      </c>
      <c r="AI11" s="1517">
        <f>D11*H11*$AV$11/1000</f>
        <v/>
      </c>
      <c r="AJ11" s="1517">
        <f>D11*I11*$AV$12/1000</f>
        <v/>
      </c>
      <c r="AK11" s="1517">
        <f>D11*J11*$AV$13/1000</f>
        <v/>
      </c>
      <c r="AL11" s="1517">
        <f>D11*K11*M11/1000</f>
        <v/>
      </c>
      <c r="AM11" s="1517">
        <f>D11*L11*N11/1000</f>
        <v/>
      </c>
      <c r="AN11" s="1518" t="n"/>
      <c r="AO11" s="1517">
        <f>D11*Q11/1000</f>
        <v/>
      </c>
      <c r="AP11" s="1517">
        <f>AO11/$AO$36</f>
        <v/>
      </c>
      <c r="AQ11" s="1517">
        <f>AO11/$AO$58</f>
        <v/>
      </c>
      <c r="AR11" s="1517">
        <f>AO11/$AO$59</f>
        <v/>
      </c>
      <c r="AS11" s="1522" t="n"/>
      <c r="AT11" s="1523" t="n"/>
      <c r="AU11" s="2" t="inlineStr">
        <is>
          <t>N2O</t>
        </is>
      </c>
      <c r="AV11" s="1502" t="n">
        <v>265</v>
      </c>
    </row>
    <row r="12">
      <c r="A12" s="1412" t="n"/>
      <c r="B12" s="26">
        <f>'1.1 Stationary'!A10</f>
        <v/>
      </c>
      <c r="C12" s="15">
        <f>'1.1 Stationary'!C10</f>
        <v/>
      </c>
      <c r="D12" s="1519">
        <f>'1.1 Stationary'!J5</f>
        <v/>
      </c>
      <c r="E12" s="1515">
        <f>'EF TGO AR5'!D17</f>
        <v/>
      </c>
      <c r="F12" s="1515">
        <f>'EF TGO AR5'!E17</f>
        <v/>
      </c>
      <c r="G12" s="1515">
        <f>'EF TGO AR5'!F17</f>
        <v/>
      </c>
      <c r="H12" s="1515">
        <f>'EF TGO AR5'!G17</f>
        <v/>
      </c>
      <c r="I12" s="1515" t="n"/>
      <c r="J12" s="1515" t="n"/>
      <c r="K12" s="1515" t="n"/>
      <c r="L12" s="1515" t="n"/>
      <c r="M12" s="1510" t="n"/>
      <c r="N12" s="1511" t="n"/>
      <c r="O12" s="1520" t="n"/>
      <c r="P12" s="1513" t="n"/>
      <c r="Q12" s="1514">
        <f>(E12*$AV$8)+(F12*$AV$9)+(G12*$AV$10)+(H12*$AV$11)+(I12*$AV$12)+(J12*$AV$13)+(K12*M12)+(L12*N12)</f>
        <v/>
      </c>
      <c r="R12" s="1515" t="n"/>
      <c r="S12" s="1515" t="n"/>
      <c r="T12" s="1515" t="n"/>
      <c r="U12" s="1521" t="inlineStr">
        <is>
          <t>/</t>
        </is>
      </c>
      <c r="V12" s="1515" t="n"/>
      <c r="W12" s="1515" t="n"/>
      <c r="X12" s="1515" t="n"/>
      <c r="Y12" s="1516" t="n"/>
      <c r="Z12" s="1515" t="inlineStr">
        <is>
          <t>TGO CFO EF (เมษายน 2565):  Motor Gasoline</t>
        </is>
      </c>
      <c r="AA12" s="1517">
        <f>D12*E12/1000</f>
        <v/>
      </c>
      <c r="AB12" s="1517">
        <f>D12*F12/1000</f>
        <v/>
      </c>
      <c r="AC12" s="1517">
        <f>D12*G12/1000</f>
        <v/>
      </c>
      <c r="AD12" s="1517">
        <f>D12*H12/1000</f>
        <v/>
      </c>
      <c r="AE12" s="1517">
        <f>D12*I12/1000</f>
        <v/>
      </c>
      <c r="AF12" s="1517">
        <f>D12*J12/1000</f>
        <v/>
      </c>
      <c r="AG12" s="1517">
        <f>D12*F12*$AV$9/1000</f>
        <v/>
      </c>
      <c r="AH12" s="1517">
        <f>D12*G12*$AV$10/1000</f>
        <v/>
      </c>
      <c r="AI12" s="1517">
        <f>D12*H12*$AV$11/1000</f>
        <v/>
      </c>
      <c r="AJ12" s="1517">
        <f>D12*I12*$AV$12/1000</f>
        <v/>
      </c>
      <c r="AK12" s="1517">
        <f>D12*J12*$AV$13/1000</f>
        <v/>
      </c>
      <c r="AL12" s="1517">
        <f>D12*K12*M12/1000</f>
        <v/>
      </c>
      <c r="AM12" s="1517">
        <f>D12*L12*N12/1000</f>
        <v/>
      </c>
      <c r="AN12" s="1518" t="n"/>
      <c r="AO12" s="1517">
        <f>D12*Q12/1000</f>
        <v/>
      </c>
      <c r="AP12" s="1517">
        <f>AO12/$AO$36</f>
        <v/>
      </c>
      <c r="AQ12" s="1517">
        <f>AO12/$AO$58</f>
        <v/>
      </c>
      <c r="AR12" s="1517">
        <f>AO12/$AO$59</f>
        <v/>
      </c>
      <c r="AS12" s="1522" t="n"/>
      <c r="AT12" s="1523" t="n"/>
      <c r="AU12" s="2" t="inlineStr">
        <is>
          <t>SF6</t>
        </is>
      </c>
      <c r="AV12" s="1502" t="n">
        <v>23500</v>
      </c>
      <c r="AX12">
        <f>0.0025*265</f>
        <v/>
      </c>
    </row>
    <row r="13">
      <c r="A13" s="1412" t="n"/>
      <c r="B13" s="26">
        <f>'1.1 Stationary'!A11</f>
        <v/>
      </c>
      <c r="C13" s="15">
        <f>'1.1 Stationary'!C11</f>
        <v/>
      </c>
      <c r="D13" s="1519">
        <f>'1.1 Stationary'!D11</f>
        <v/>
      </c>
      <c r="E13" s="1515">
        <f>'EF (1)'!B9</f>
        <v/>
      </c>
      <c r="F13" s="1515" t="n"/>
      <c r="G13" s="1515" t="n"/>
      <c r="H13" s="1515" t="n"/>
      <c r="I13" s="1515" t="n"/>
      <c r="J13" s="1515" t="n"/>
      <c r="K13" s="1515" t="n"/>
      <c r="L13" s="1515" t="n"/>
      <c r="M13" s="1510" t="n"/>
      <c r="N13" s="1511" t="n"/>
      <c r="O13" s="1520" t="n"/>
      <c r="P13" s="1513" t="n"/>
      <c r="Q13" s="1514">
        <f>(E13*$AV$8)+(F13*$AV$9)+(G13*$AV$10)+(H13*$AV$11)+(I13*$AV$12)+(J13*$AV$13)+(K13*M13)+(L13*N13)</f>
        <v/>
      </c>
      <c r="R13" s="1515" t="n"/>
      <c r="S13" s="1515" t="n"/>
      <c r="T13" s="1515" t="n"/>
      <c r="U13" s="1515" t="n"/>
      <c r="V13" s="1515" t="n"/>
      <c r="W13" s="1515" t="n"/>
      <c r="X13" s="1521" t="inlineStr">
        <is>
          <t>/</t>
        </is>
      </c>
      <c r="Y13" s="1516" t="n"/>
      <c r="Z13" s="1515" t="inlineStr">
        <is>
          <t>EF (1) สมการเคมี</t>
        </is>
      </c>
      <c r="AA13" s="1517">
        <f>D13*E13/1000</f>
        <v/>
      </c>
      <c r="AB13" s="1517">
        <f>D13*F13/1000</f>
        <v/>
      </c>
      <c r="AC13" s="1517">
        <f>D13*G13/1000</f>
        <v/>
      </c>
      <c r="AD13" s="1517">
        <f>D13*H13/1000</f>
        <v/>
      </c>
      <c r="AE13" s="1517">
        <f>D13*I13/1000</f>
        <v/>
      </c>
      <c r="AF13" s="1517">
        <f>D13*J13/1000</f>
        <v/>
      </c>
      <c r="AG13" s="1517">
        <f>D13*F13*$AV$9/1000</f>
        <v/>
      </c>
      <c r="AH13" s="1517">
        <f>D13*G13*$AV$10/1000</f>
        <v/>
      </c>
      <c r="AI13" s="1517">
        <f>D13*H13*$AV$11/1000</f>
        <v/>
      </c>
      <c r="AJ13" s="1517">
        <f>D13*I13*$AV$12/1000</f>
        <v/>
      </c>
      <c r="AK13" s="1517">
        <f>D13*J13*$AV$13/1000</f>
        <v/>
      </c>
      <c r="AL13" s="1517">
        <f>D13*K13*M13/1000</f>
        <v/>
      </c>
      <c r="AM13" s="1517">
        <f>D13*L13*N13/1000</f>
        <v/>
      </c>
      <c r="AN13" s="1518" t="n"/>
      <c r="AO13" s="1517">
        <f>D13*Q13/1000</f>
        <v/>
      </c>
      <c r="AP13" s="1517">
        <f>AO13/$AO$36</f>
        <v/>
      </c>
      <c r="AQ13" s="1517">
        <f>AO13/$AO$58</f>
        <v/>
      </c>
      <c r="AR13" s="1517">
        <f>AO13/$AO$59</f>
        <v/>
      </c>
      <c r="AS13" s="1524" t="n"/>
      <c r="AT13" s="1523" t="n"/>
      <c r="AU13" s="2" t="inlineStr">
        <is>
          <t>NF3</t>
        </is>
      </c>
      <c r="AV13" s="1502" t="n">
        <v>16100</v>
      </c>
    </row>
    <row r="14">
      <c r="A14" s="1412" t="n"/>
      <c r="B14" s="26" t="inlineStr">
        <is>
          <t>Biodiesel (Stationary combustion)</t>
        </is>
      </c>
      <c r="C14" s="15" t="inlineStr">
        <is>
          <t>kg</t>
        </is>
      </c>
      <c r="D14" s="1519">
        <f>'1.1 Stationary'!I4</f>
        <v/>
      </c>
      <c r="E14" s="1515" t="n"/>
      <c r="F14" s="1515" t="n"/>
      <c r="G14" s="1515">
        <f>'EF (1)'!F28*'EF (1)'!D28</f>
        <v/>
      </c>
      <c r="H14" s="1515">
        <f>'EF (1)'!F28*'EF (1)'!E28</f>
        <v/>
      </c>
      <c r="I14" s="1515" t="n"/>
      <c r="J14" s="1515" t="n"/>
      <c r="K14" s="1515" t="n"/>
      <c r="L14" s="1515" t="n"/>
      <c r="M14" s="1510" t="n"/>
      <c r="N14" s="1511" t="n"/>
      <c r="O14" s="1520" t="n"/>
      <c r="P14" s="1513" t="n"/>
      <c r="Q14" s="1514">
        <f>(E14*$AV$8)+(F14*$AV$9)+(G14*$AV$10)+(H14*$AV$11)+(I14*$AV$12)+(J14*$AV$13)+(K14*M14)+(L14*N14)</f>
        <v/>
      </c>
      <c r="R14" s="1515" t="n"/>
      <c r="S14" s="1515" t="n"/>
      <c r="T14" s="1515" t="n"/>
      <c r="U14" s="1515" t="n"/>
      <c r="V14" s="1515" t="n"/>
      <c r="W14" s="1521" t="inlineStr">
        <is>
          <t>/</t>
        </is>
      </c>
      <c r="X14" s="1521" t="n"/>
      <c r="Y14" s="1516" t="n"/>
      <c r="Z14" s="1515" t="inlineStr">
        <is>
          <t>IPCC, 2006</t>
        </is>
      </c>
      <c r="AA14" s="1517">
        <f>D14*E14/1000</f>
        <v/>
      </c>
      <c r="AB14" s="1517">
        <f>D14*F14/1000</f>
        <v/>
      </c>
      <c r="AC14" s="1517">
        <f>D14*G14/1000</f>
        <v/>
      </c>
      <c r="AD14" s="1517">
        <f>D14*H14/1000</f>
        <v/>
      </c>
      <c r="AE14" s="1517">
        <f>D14*I14/1000</f>
        <v/>
      </c>
      <c r="AF14" s="1517">
        <f>D14*J14/1000</f>
        <v/>
      </c>
      <c r="AG14" s="1517">
        <f>D14*F14*$AV$9/1000</f>
        <v/>
      </c>
      <c r="AH14" s="1517">
        <f>D14*G14*$AV$10/1000</f>
        <v/>
      </c>
      <c r="AI14" s="1517">
        <f>D14*H14*$AV$11/1000</f>
        <v/>
      </c>
      <c r="AJ14" s="1517">
        <f>D14*I14*$AV$12/1000</f>
        <v/>
      </c>
      <c r="AK14" s="1517">
        <f>D14*J14*$AV$13/1000</f>
        <v/>
      </c>
      <c r="AL14" s="1517">
        <f>D14*K14*M14/1000</f>
        <v/>
      </c>
      <c r="AM14" s="1517">
        <f>D14*L14*N14/1000</f>
        <v/>
      </c>
      <c r="AN14" s="1518" t="n"/>
      <c r="AO14" s="1517">
        <f>D14*Q14/1000</f>
        <v/>
      </c>
      <c r="AP14" s="1517">
        <f>AO14/$AO$36</f>
        <v/>
      </c>
      <c r="AQ14" s="1517">
        <f>AO14/$AO$58</f>
        <v/>
      </c>
      <c r="AR14" s="1517">
        <f>AO14/$AO$59</f>
        <v/>
      </c>
      <c r="AS14" s="1524" t="n"/>
      <c r="AT14" s="1523" t="n"/>
      <c r="AV14" s="1525" t="n"/>
    </row>
    <row r="15">
      <c r="A15" s="1412" t="n"/>
      <c r="B15" s="26" t="inlineStr">
        <is>
          <t>Biogasoline (Ethanol) (Stationary combustion)</t>
        </is>
      </c>
      <c r="C15" s="15" t="inlineStr">
        <is>
          <t>kg</t>
        </is>
      </c>
      <c r="D15" s="1519">
        <f>'1.1 Stationary'!L5</f>
        <v/>
      </c>
      <c r="E15" s="1515" t="n"/>
      <c r="F15" s="1515" t="n"/>
      <c r="G15" s="1515">
        <f>'EF (1)'!F29*'EF (1)'!D29</f>
        <v/>
      </c>
      <c r="H15" s="1515">
        <f>'EF (1)'!F29*'EF (1)'!E29</f>
        <v/>
      </c>
      <c r="I15" s="1515" t="n"/>
      <c r="J15" s="1515" t="n"/>
      <c r="K15" s="1515" t="n"/>
      <c r="L15" s="1515" t="n"/>
      <c r="M15" s="1510" t="n"/>
      <c r="N15" s="1511" t="n"/>
      <c r="O15" s="1520" t="n"/>
      <c r="P15" s="1513" t="n"/>
      <c r="Q15" s="1514">
        <f>(E15*$AV$8)+(F15*$AV$9)+(G15*$AV$10)+(H15*$AV$11)+(I15*$AV$12)+(J15*$AV$13)+(K15*M15)+(L15*N15)</f>
        <v/>
      </c>
      <c r="R15" s="1515" t="n"/>
      <c r="S15" s="1515" t="n"/>
      <c r="T15" s="1515" t="n"/>
      <c r="U15" s="1515" t="n"/>
      <c r="V15" s="1515" t="n"/>
      <c r="W15" s="1521" t="inlineStr">
        <is>
          <t>/</t>
        </is>
      </c>
      <c r="X15" s="1521" t="n"/>
      <c r="Y15" s="1516" t="n"/>
      <c r="Z15" s="1515" t="inlineStr">
        <is>
          <t>IPCC, 2006</t>
        </is>
      </c>
      <c r="AA15" s="1517">
        <f>D15*E15/1000</f>
        <v/>
      </c>
      <c r="AB15" s="1517">
        <f>D15*F15/1000</f>
        <v/>
      </c>
      <c r="AC15" s="1517">
        <f>D15*G15/1000</f>
        <v/>
      </c>
      <c r="AD15" s="1517">
        <f>D15*H15/1000</f>
        <v/>
      </c>
      <c r="AE15" s="1517">
        <f>D15*I15/1000</f>
        <v/>
      </c>
      <c r="AF15" s="1517">
        <f>D15*J15/1000</f>
        <v/>
      </c>
      <c r="AG15" s="1517">
        <f>D15*F15*$AV$9/1000</f>
        <v/>
      </c>
      <c r="AH15" s="1517">
        <f>D15*G15*$AV$10/1000</f>
        <v/>
      </c>
      <c r="AI15" s="1517">
        <f>D15*H15*$AV$11/1000</f>
        <v/>
      </c>
      <c r="AJ15" s="1517">
        <f>D15*I15*$AV$12/1000</f>
        <v/>
      </c>
      <c r="AK15" s="1517">
        <f>D15*J15*$AV$13/1000</f>
        <v/>
      </c>
      <c r="AL15" s="1517">
        <f>D15*K15*M15/1000</f>
        <v/>
      </c>
      <c r="AM15" s="1517">
        <f>D15*L15*N15/1000</f>
        <v/>
      </c>
      <c r="AN15" s="1518" t="n"/>
      <c r="AO15" s="1517">
        <f>D15*Q15/1000</f>
        <v/>
      </c>
      <c r="AP15" s="1517">
        <f>AO15/$AO$36</f>
        <v/>
      </c>
      <c r="AQ15" s="1517">
        <f>AO15/$AO$58</f>
        <v/>
      </c>
      <c r="AR15" s="1517">
        <f>AO15/$AO$59</f>
        <v/>
      </c>
      <c r="AS15" s="1524" t="n"/>
      <c r="AT15" s="1523" t="n"/>
      <c r="AV15" s="1525" t="n"/>
    </row>
    <row r="16">
      <c r="A16" s="1412" t="n"/>
      <c r="B16" s="14" t="inlineStr">
        <is>
          <t>Mobile combustion</t>
        </is>
      </c>
      <c r="C16" s="15" t="n"/>
      <c r="D16" s="1526" t="n"/>
      <c r="E16" s="1515" t="n"/>
      <c r="F16" s="1515" t="n"/>
      <c r="G16" s="1515" t="n"/>
      <c r="H16" s="1515" t="n"/>
      <c r="I16" s="1515" t="n"/>
      <c r="J16" s="1515" t="n"/>
      <c r="K16" s="1515" t="n"/>
      <c r="L16" s="1515" t="n"/>
      <c r="M16" s="1510" t="n"/>
      <c r="N16" s="1511" t="n"/>
      <c r="O16" s="1520" t="n"/>
      <c r="P16" s="1513" t="n"/>
      <c r="Q16" s="1514">
        <f>(E16*$AV$8)+(F16*$AV$9)+(G16*$AV$10)+(H16*$AV$11)+(I16*$AV$12)+(J16*$AV$13)+(K16*M16)+(L16*N16)</f>
        <v/>
      </c>
      <c r="R16" s="1515" t="n"/>
      <c r="S16" s="1515" t="n"/>
      <c r="T16" s="1515" t="n"/>
      <c r="U16" s="1515" t="n"/>
      <c r="V16" s="1515" t="n"/>
      <c r="W16" s="1515" t="n"/>
      <c r="X16" s="1515" t="n"/>
      <c r="Y16" s="1516" t="n"/>
      <c r="Z16" s="1515" t="n"/>
      <c r="AA16" s="1517">
        <f>D16*E16/1000</f>
        <v/>
      </c>
      <c r="AB16" s="1517">
        <f>D16*F16/1000</f>
        <v/>
      </c>
      <c r="AC16" s="1517">
        <f>D16*G16/1000</f>
        <v/>
      </c>
      <c r="AD16" s="1517">
        <f>D16*H16/1000</f>
        <v/>
      </c>
      <c r="AE16" s="1517">
        <f>D16*I16/1000</f>
        <v/>
      </c>
      <c r="AF16" s="1517">
        <f>D16*J16/1000</f>
        <v/>
      </c>
      <c r="AG16" s="1517">
        <f>D16*F16*$AV$9/1000</f>
        <v/>
      </c>
      <c r="AH16" s="1517">
        <f>D16*G16*$AV$10/1000</f>
        <v/>
      </c>
      <c r="AI16" s="1517">
        <f>D16*H16*$AV$11/1000</f>
        <v/>
      </c>
      <c r="AJ16" s="1517">
        <f>D16*I16*$AV$12/1000</f>
        <v/>
      </c>
      <c r="AK16" s="1517">
        <f>D16*J16*$AV$13/1000</f>
        <v/>
      </c>
      <c r="AL16" s="1517">
        <f>D16*K16*M16/1000</f>
        <v/>
      </c>
      <c r="AM16" s="1517">
        <f>D16*L16*N16/1000</f>
        <v/>
      </c>
      <c r="AN16" s="1518" t="n"/>
      <c r="AO16" s="1517">
        <f>D16*Q16/1000</f>
        <v/>
      </c>
      <c r="AP16" s="1517">
        <f>AO16/$AO$36</f>
        <v/>
      </c>
      <c r="AQ16" s="1517">
        <f>AO16/$AO$58</f>
        <v/>
      </c>
      <c r="AR16" s="1517">
        <f>AO16/$AO$59</f>
        <v/>
      </c>
      <c r="AS16" s="1522" t="n"/>
      <c r="AT16" s="1523" t="n"/>
    </row>
    <row r="17">
      <c r="A17" s="1412" t="n"/>
      <c r="B17" s="26" t="inlineStr">
        <is>
          <t>น้ำมัน Diesel B7   รถยนต์องค์กร</t>
        </is>
      </c>
      <c r="C17" s="15" t="inlineStr">
        <is>
          <t>L</t>
        </is>
      </c>
      <c r="D17" s="1526">
        <f>'1.2 Mobile'!G5</f>
        <v/>
      </c>
      <c r="E17" s="1515">
        <f>'EF TGO AR5'!D32</f>
        <v/>
      </c>
      <c r="F17" s="1515">
        <f>'EF TGO AR5'!E32</f>
        <v/>
      </c>
      <c r="G17" s="1515">
        <f>'EF TGO AR5'!F32</f>
        <v/>
      </c>
      <c r="H17" s="1515">
        <f>'EF TGO AR5'!G32</f>
        <v/>
      </c>
      <c r="I17" s="1515" t="n"/>
      <c r="J17" s="1515" t="n"/>
      <c r="K17" s="1515" t="n"/>
      <c r="L17" s="1515" t="n"/>
      <c r="M17" s="1510" t="n"/>
      <c r="N17" s="1511" t="n"/>
      <c r="O17" s="1520" t="n"/>
      <c r="P17" s="1513" t="n"/>
      <c r="Q17" s="1514">
        <f>(E17*$AV$8)+(F17*$AV$9)+(G17*$AV$10)+(H17*$AV$11)+(I17*$AV$12)+(J17*$AV$13)+(K17*M17)+(L17*N17)</f>
        <v/>
      </c>
      <c r="R17" s="1515" t="n"/>
      <c r="S17" s="1515" t="n"/>
      <c r="T17" s="1515" t="n"/>
      <c r="U17" s="1521" t="inlineStr">
        <is>
          <t>/</t>
        </is>
      </c>
      <c r="V17" s="1515" t="n"/>
      <c r="W17" s="1515" t="n"/>
      <c r="X17" s="1515" t="n"/>
      <c r="Y17" s="1515" t="n"/>
      <c r="Z17" s="1515" t="inlineStr">
        <is>
          <t>TGO CFO EF (เมษายน 2565):Gas/Diesel (Mobile Combustion)</t>
        </is>
      </c>
      <c r="AA17" s="1517">
        <f>D17*E17/1000</f>
        <v/>
      </c>
      <c r="AB17" s="1517">
        <f>D17*F17/1000</f>
        <v/>
      </c>
      <c r="AC17" s="1517">
        <f>D17*G17/1000</f>
        <v/>
      </c>
      <c r="AD17" s="1517">
        <f>D17*H17/1000</f>
        <v/>
      </c>
      <c r="AE17" s="1517">
        <f>D17*I17/1000</f>
        <v/>
      </c>
      <c r="AF17" s="1517">
        <f>D17*J17/1000</f>
        <v/>
      </c>
      <c r="AG17" s="1517">
        <f>D17*F17*$AV$9/1000</f>
        <v/>
      </c>
      <c r="AH17" s="1517">
        <f>D17*G17*$AV$10/1000</f>
        <v/>
      </c>
      <c r="AI17" s="1517">
        <f>D17*H17*$AV$11/1000</f>
        <v/>
      </c>
      <c r="AJ17" s="1517">
        <f>D17*I17*$AV$12/1000</f>
        <v/>
      </c>
      <c r="AK17" s="1517">
        <f>D17*J17*$AV$13/1000</f>
        <v/>
      </c>
      <c r="AL17" s="1517">
        <f>D17*K17*M17/1000</f>
        <v/>
      </c>
      <c r="AM17" s="1517">
        <f>D17*L17*N17/1000</f>
        <v/>
      </c>
      <c r="AN17" s="1518" t="n"/>
      <c r="AO17" s="1517">
        <f>D17*Q17/1000</f>
        <v/>
      </c>
      <c r="AP17" s="1517">
        <f>AO17/$AO$36</f>
        <v/>
      </c>
      <c r="AQ17" s="1517">
        <f>AO17/$AO$58</f>
        <v/>
      </c>
      <c r="AR17" s="1517">
        <f>AO17/$AO$59</f>
        <v/>
      </c>
      <c r="AS17" s="1522" t="n"/>
      <c r="AT17" s="1523" t="n"/>
    </row>
    <row r="18">
      <c r="A18" s="1412" t="n"/>
      <c r="B18" s="26" t="inlineStr">
        <is>
          <t>น้ำมัน Diesel B10   รถยนต์องค์กร</t>
        </is>
      </c>
      <c r="C18" s="15" t="inlineStr">
        <is>
          <t>L</t>
        </is>
      </c>
      <c r="D18" s="1526">
        <f>'1.2 Mobile'!G6</f>
        <v/>
      </c>
      <c r="E18" s="1515">
        <f>'EF TGO AR5'!D32</f>
        <v/>
      </c>
      <c r="F18" s="1515">
        <f>'EF TGO AR5'!E32</f>
        <v/>
      </c>
      <c r="G18" s="1515">
        <f>'EF TGO AR5'!F32</f>
        <v/>
      </c>
      <c r="H18" s="1515">
        <f>'EF TGO AR5'!G32</f>
        <v/>
      </c>
      <c r="I18" s="1515" t="n"/>
      <c r="J18" s="1515" t="n"/>
      <c r="K18" s="1515" t="n"/>
      <c r="L18" s="1515" t="n"/>
      <c r="M18" s="1510" t="n"/>
      <c r="N18" s="1511" t="n"/>
      <c r="O18" s="1520" t="n"/>
      <c r="P18" s="1513" t="n"/>
      <c r="Q18" s="1514">
        <f>(E18*$AV$8)+(F18*$AV$9)+(G18*$AV$10)+(H18*$AV$11)+(I18*$AV$12)+(J18*$AV$13)+(K18*M18)+(L18*N18)</f>
        <v/>
      </c>
      <c r="R18" s="1515" t="n"/>
      <c r="S18" s="1515" t="n"/>
      <c r="T18" s="1515" t="n"/>
      <c r="U18" s="1521" t="inlineStr">
        <is>
          <t>/</t>
        </is>
      </c>
      <c r="V18" s="1515" t="n"/>
      <c r="W18" s="1515" t="n"/>
      <c r="X18" s="1515" t="n"/>
      <c r="Y18" s="1515" t="n"/>
      <c r="Z18" s="1515" t="inlineStr">
        <is>
          <t>TGO CFO EF (เมษายน 2565):Gas/Diesel (Mobile Combustion)</t>
        </is>
      </c>
      <c r="AA18" s="1517">
        <f>D18*E18/1000</f>
        <v/>
      </c>
      <c r="AB18" s="1517">
        <f>D18*F18/1000</f>
        <v/>
      </c>
      <c r="AC18" s="1517">
        <f>D18*G18/1000</f>
        <v/>
      </c>
      <c r="AD18" s="1517">
        <f>D18*H18/1000</f>
        <v/>
      </c>
      <c r="AE18" s="1517">
        <f>D18*I18/1000</f>
        <v/>
      </c>
      <c r="AF18" s="1517">
        <f>D18*J18/1000</f>
        <v/>
      </c>
      <c r="AG18" s="1517">
        <f>D18*F18*$AV$9/1000</f>
        <v/>
      </c>
      <c r="AH18" s="1517">
        <f>D18*G18*$AV$10/1000</f>
        <v/>
      </c>
      <c r="AI18" s="1517">
        <f>D18*H18*$AV$11/1000</f>
        <v/>
      </c>
      <c r="AJ18" s="1517">
        <f>D18*I18*$AV$12/1000</f>
        <v/>
      </c>
      <c r="AK18" s="1517">
        <f>D18*J18*$AV$13/1000</f>
        <v/>
      </c>
      <c r="AL18" s="1517">
        <f>D18*K18*M18/1000</f>
        <v/>
      </c>
      <c r="AM18" s="1517">
        <f>D18*L18*N18/1000</f>
        <v/>
      </c>
      <c r="AN18" s="1518" t="n"/>
      <c r="AO18" s="1517">
        <f>D18*Q18/1000</f>
        <v/>
      </c>
      <c r="AP18" s="1517">
        <f>AO18/$AO$36</f>
        <v/>
      </c>
      <c r="AQ18" s="1517">
        <f>AO18/$AO$58</f>
        <v/>
      </c>
      <c r="AR18" s="1517">
        <f>AO18/$AO$59</f>
        <v/>
      </c>
      <c r="AS18" s="1522" t="n"/>
      <c r="AT18" s="1523" t="n"/>
    </row>
    <row r="19">
      <c r="A19" s="1412" t="n"/>
      <c r="B19" s="26" t="inlineStr">
        <is>
          <t>น้ำมัน Gasohol 91/95  รถยนต์องค์กร</t>
        </is>
      </c>
      <c r="C19" s="15" t="inlineStr">
        <is>
          <t>L</t>
        </is>
      </c>
      <c r="D19" s="1526">
        <f>'1.2 Mobile'!J7</f>
        <v/>
      </c>
      <c r="E19" s="1515">
        <f>'EF TGO AR5'!D30</f>
        <v/>
      </c>
      <c r="F19" s="1515">
        <f>'EF TGO AR5'!E30</f>
        <v/>
      </c>
      <c r="G19" s="1515">
        <f>'EF TGO AR5'!F30</f>
        <v/>
      </c>
      <c r="H19" s="1515">
        <f>'EF TGO AR5'!G30</f>
        <v/>
      </c>
      <c r="I19" s="1515" t="n"/>
      <c r="J19" s="1515" t="n"/>
      <c r="K19" s="1515" t="n"/>
      <c r="L19" s="1515" t="n"/>
      <c r="M19" s="1515" t="n"/>
      <c r="N19" s="1511" t="n"/>
      <c r="O19" s="1520" t="n"/>
      <c r="P19" s="1527" t="n"/>
      <c r="Q19" s="1514">
        <f>(E19*$AV$8)+(F19*$AV$9)+(G19*$AV$10)+(H19*$AV$11)+(I19*$AV$12)+(J19*$AV$13)+(K19*M19)+(L19*N19)</f>
        <v/>
      </c>
      <c r="R19" s="1515" t="n"/>
      <c r="S19" s="1515" t="n"/>
      <c r="T19" s="1515" t="n"/>
      <c r="U19" s="1521" t="inlineStr">
        <is>
          <t>/</t>
        </is>
      </c>
      <c r="V19" s="1515" t="n"/>
      <c r="W19" s="1515" t="n"/>
      <c r="X19" s="1515" t="n"/>
      <c r="Y19" s="1515" t="n"/>
      <c r="Z19" s="1515" t="inlineStr">
        <is>
          <t>TGO CFO EF (เมษายน 2565):  Motor gasoline-oxidation catalyst (Mobile Combustion on road)</t>
        </is>
      </c>
      <c r="AA19" s="1517">
        <f>D19*E19/1000</f>
        <v/>
      </c>
      <c r="AB19" s="1517">
        <f>D19*F19/1000</f>
        <v/>
      </c>
      <c r="AC19" s="1517">
        <f>D19*G19/1000</f>
        <v/>
      </c>
      <c r="AD19" s="1517">
        <f>D19*H19/1000</f>
        <v/>
      </c>
      <c r="AE19" s="1517">
        <f>D19*I19/1000</f>
        <v/>
      </c>
      <c r="AF19" s="1517">
        <f>D19*J19/1000</f>
        <v/>
      </c>
      <c r="AG19" s="1517">
        <f>D19*F19*$AV$9/1000</f>
        <v/>
      </c>
      <c r="AH19" s="1517">
        <f>D19*G19*$AV$10/1000</f>
        <v/>
      </c>
      <c r="AI19" s="1517">
        <f>D19*H19*$AV$11/1000</f>
        <v/>
      </c>
      <c r="AJ19" s="1517">
        <f>D19*I19*$AV$12/1000</f>
        <v/>
      </c>
      <c r="AK19" s="1517">
        <f>D19*J19*$AV$13/1000</f>
        <v/>
      </c>
      <c r="AL19" s="1517">
        <f>D19*K19*M19/1000</f>
        <v/>
      </c>
      <c r="AM19" s="1517">
        <f>D19*L19*N19/1000</f>
        <v/>
      </c>
      <c r="AN19" s="1518" t="n"/>
      <c r="AO19" s="1517">
        <f>D19*Q19/1000</f>
        <v/>
      </c>
      <c r="AP19" s="1517">
        <f>AO19/$AO$36</f>
        <v/>
      </c>
      <c r="AQ19" s="1517">
        <f>AO19/$AO$58</f>
        <v/>
      </c>
      <c r="AR19" s="1517">
        <f>AO19/$AO$59</f>
        <v/>
      </c>
      <c r="AS19" s="1522" t="n"/>
      <c r="AT19" s="1523" t="n"/>
    </row>
    <row r="20">
      <c r="A20" s="1412" t="n"/>
      <c r="B20" s="26" t="inlineStr">
        <is>
          <t>น้ำมัน Gasohol E20 รถยนต์องค์กร</t>
        </is>
      </c>
      <c r="C20" s="15" t="inlineStr">
        <is>
          <t>L</t>
        </is>
      </c>
      <c r="D20" s="1526">
        <f>'1.2 Mobile'!J8</f>
        <v/>
      </c>
      <c r="E20" s="1515">
        <f>'EF TGO AR5'!D30</f>
        <v/>
      </c>
      <c r="F20" s="1515">
        <f>'EF TGO AR5'!E30</f>
        <v/>
      </c>
      <c r="G20" s="1515">
        <f>'EF TGO AR5'!F30</f>
        <v/>
      </c>
      <c r="H20" s="1515">
        <f>'EF TGO AR5'!G30</f>
        <v/>
      </c>
      <c r="I20" s="1515" t="n"/>
      <c r="J20" s="1515" t="n"/>
      <c r="K20" s="1515" t="n"/>
      <c r="L20" s="1515" t="n"/>
      <c r="M20" s="1510" t="n"/>
      <c r="N20" s="1511" t="n"/>
      <c r="O20" s="1520" t="n"/>
      <c r="P20" s="1513" t="n"/>
      <c r="Q20" s="1514">
        <f>(E20*$AV$8)+(F20*$AV$9)+(G20*$AV$10)+(H20*$AV$11)+(I20*$AV$12)+(J20*$AV$13)+(K20*M20)+(L20*N20)</f>
        <v/>
      </c>
      <c r="R20" s="1515" t="n"/>
      <c r="S20" s="1515" t="n"/>
      <c r="T20" s="1515" t="n"/>
      <c r="U20" s="1521" t="inlineStr">
        <is>
          <t>/</t>
        </is>
      </c>
      <c r="V20" s="1515" t="n"/>
      <c r="W20" s="1515" t="n"/>
      <c r="X20" s="1515" t="n"/>
      <c r="Y20" s="1515" t="n"/>
      <c r="Z20" s="1515" t="inlineStr">
        <is>
          <t>TGO CFO EF (เมษายน 2565):  Motor gasoline-oxidation catalyst (Mobile Combustion on road)</t>
        </is>
      </c>
      <c r="AA20" s="1517">
        <f>D20*E20/1000</f>
        <v/>
      </c>
      <c r="AB20" s="1517">
        <f>D20*F20/1000</f>
        <v/>
      </c>
      <c r="AC20" s="1517">
        <f>D20*G20/1000</f>
        <v/>
      </c>
      <c r="AD20" s="1517">
        <f>D20*H20/1000</f>
        <v/>
      </c>
      <c r="AE20" s="1517">
        <f>D20*I20/1000</f>
        <v/>
      </c>
      <c r="AF20" s="1517">
        <f>D20*J20/1000</f>
        <v/>
      </c>
      <c r="AG20" s="1517">
        <f>D20*F20*$AV$9/1000</f>
        <v/>
      </c>
      <c r="AH20" s="1517">
        <f>D20*G20*$AV$10/1000</f>
        <v/>
      </c>
      <c r="AI20" s="1517">
        <f>D20*H20*$AV$11/1000</f>
        <v/>
      </c>
      <c r="AJ20" s="1517">
        <f>D20*I20*$AV$12/1000</f>
        <v/>
      </c>
      <c r="AK20" s="1517">
        <f>D20*J20*$AV$13/1000</f>
        <v/>
      </c>
      <c r="AL20" s="1517">
        <f>D20*K20*M20/1000</f>
        <v/>
      </c>
      <c r="AM20" s="1517">
        <f>D20*L20*N20/1000</f>
        <v/>
      </c>
      <c r="AN20" s="1518" t="n"/>
      <c r="AO20" s="1517">
        <f>D20*Q20/1000</f>
        <v/>
      </c>
      <c r="AP20" s="1517">
        <f>AO20/$AO$36</f>
        <v/>
      </c>
      <c r="AQ20" s="1517">
        <f>AO20/$AO$58</f>
        <v/>
      </c>
      <c r="AR20" s="1517">
        <f>AO20/$AO$59</f>
        <v/>
      </c>
      <c r="AS20" s="1522" t="n"/>
      <c r="AT20" s="1523" t="n"/>
    </row>
    <row r="21">
      <c r="A21" s="1412" t="n"/>
      <c r="B21" s="26" t="inlineStr">
        <is>
          <t>น้ำมัน Diesel B7 FL/รถใช้ขนส่งภายในองค์กร (off-road)</t>
        </is>
      </c>
      <c r="C21" s="15" t="inlineStr">
        <is>
          <t>L</t>
        </is>
      </c>
      <c r="D21" s="1526">
        <f>'1.2 Mobile'!G9</f>
        <v/>
      </c>
      <c r="E21" s="1515">
        <f>'EF TGO AR5'!D40</f>
        <v/>
      </c>
      <c r="F21" s="1515">
        <f>'EF TGO AR5'!E40</f>
        <v/>
      </c>
      <c r="G21" s="1515">
        <f>'EF TGO AR5'!F40</f>
        <v/>
      </c>
      <c r="H21" s="1515">
        <f>'EF TGO AR5'!G40</f>
        <v/>
      </c>
      <c r="I21" s="1515" t="n"/>
      <c r="J21" s="1515" t="n"/>
      <c r="K21" s="1515" t="n"/>
      <c r="L21" s="1515" t="n"/>
      <c r="M21" s="1510" t="n"/>
      <c r="N21" s="1511" t="n"/>
      <c r="O21" s="1520" t="n"/>
      <c r="P21" s="1513" t="n"/>
      <c r="Q21" s="1514">
        <f>(E21*$AV$8)+(F21*$AV$9)+(G21*$AV$10)+(H21*$AV$11)+(I21*$AV$12)+(J21*$AV$13)+(K21*M21)+(L21*N21)</f>
        <v/>
      </c>
      <c r="R21" s="1515" t="n"/>
      <c r="S21" s="1515" t="n"/>
      <c r="T21" s="1515" t="n"/>
      <c r="U21" s="1521" t="inlineStr">
        <is>
          <t>/</t>
        </is>
      </c>
      <c r="V21" s="1515" t="n"/>
      <c r="W21" s="1515" t="n"/>
      <c r="X21" s="1515" t="n"/>
      <c r="Y21" s="1515" t="n"/>
      <c r="Z21" s="1515" t="inlineStr">
        <is>
          <t>TGO CFO EF (เมษายน 2565):  Diesel Industry (Mobile Combustion off road)</t>
        </is>
      </c>
      <c r="AA21" s="1517">
        <f>D21*E21/1000</f>
        <v/>
      </c>
      <c r="AB21" s="1517">
        <f>D21*F21/1000</f>
        <v/>
      </c>
      <c r="AC21" s="1517">
        <f>D21*G21/1000</f>
        <v/>
      </c>
      <c r="AD21" s="1517">
        <f>D21*H21/1000</f>
        <v/>
      </c>
      <c r="AE21" s="1517">
        <f>D21*I21/1000</f>
        <v/>
      </c>
      <c r="AF21" s="1517">
        <f>D21*J21/1000</f>
        <v/>
      </c>
      <c r="AG21" s="1517">
        <f>D21*F21*$AV$9/1000</f>
        <v/>
      </c>
      <c r="AH21" s="1517">
        <f>D21*G21*$AV$10/1000</f>
        <v/>
      </c>
      <c r="AI21" s="1517">
        <f>D21*H21*$AV$11/1000</f>
        <v/>
      </c>
      <c r="AJ21" s="1517">
        <f>D21*I21*$AV$12/1000</f>
        <v/>
      </c>
      <c r="AK21" s="1517">
        <f>D21*J21*$AV$13/1000</f>
        <v/>
      </c>
      <c r="AL21" s="1517">
        <f>D21*K21*M21/1000</f>
        <v/>
      </c>
      <c r="AM21" s="1517">
        <f>D21*L21*N21/1000</f>
        <v/>
      </c>
      <c r="AN21" s="1518" t="n"/>
      <c r="AO21" s="1517">
        <f>D21*Q21/1000</f>
        <v/>
      </c>
      <c r="AP21" s="1517">
        <f>AO21/$AO$36</f>
        <v/>
      </c>
      <c r="AQ21" s="1517">
        <f>AO21/$AO$58</f>
        <v/>
      </c>
      <c r="AR21" s="1517">
        <f>AO21/$AO$59</f>
        <v/>
      </c>
      <c r="AS21" s="1522" t="n"/>
      <c r="AT21" s="1523" t="n"/>
    </row>
    <row r="22">
      <c r="A22" s="1412" t="n"/>
      <c r="B22" s="26" t="inlineStr">
        <is>
          <t>Biodiesel (Mobile combustion-on road)</t>
        </is>
      </c>
      <c r="C22" s="15" t="inlineStr">
        <is>
          <t>kg</t>
        </is>
      </c>
      <c r="D22" s="1526">
        <f>'1.2 Mobile'!I5+'1.2 Mobile'!I6</f>
        <v/>
      </c>
      <c r="E22" s="1515" t="n"/>
      <c r="F22" s="1515" t="n"/>
      <c r="G22" s="1515">
        <f>'EF (1)'!F30*'EF (1)'!D30</f>
        <v/>
      </c>
      <c r="H22" s="1515">
        <f>'EF (1)'!F30*'EF (1)'!E30</f>
        <v/>
      </c>
      <c r="I22" s="1515" t="n"/>
      <c r="J22" s="1515" t="n"/>
      <c r="K22" s="1515" t="n"/>
      <c r="L22" s="1515" t="n"/>
      <c r="M22" s="1510" t="n"/>
      <c r="N22" s="1511" t="n"/>
      <c r="O22" s="1520" t="n"/>
      <c r="P22" s="1513" t="n"/>
      <c r="Q22" s="1514">
        <f>(E22*$AV$8)+(F22*$AV$9)+(G22*$AV$10)+(H22*$AV$11)+(I22*$AV$12)+(J22*$AV$13)+(K22*M22)+(L22*N22)</f>
        <v/>
      </c>
      <c r="R22" s="1515" t="n"/>
      <c r="S22" s="1515" t="n"/>
      <c r="T22" s="1515" t="n"/>
      <c r="U22" s="1521" t="n"/>
      <c r="V22" s="1515" t="n"/>
      <c r="W22" s="1521" t="inlineStr">
        <is>
          <t>/</t>
        </is>
      </c>
      <c r="X22" s="1515" t="n"/>
      <c r="Y22" s="1515" t="n"/>
      <c r="Z22" s="1515" t="inlineStr">
        <is>
          <t>IPCC, 2006</t>
        </is>
      </c>
      <c r="AA22" s="1517">
        <f>D22*E22/1000</f>
        <v/>
      </c>
      <c r="AB22" s="1517">
        <f>D22*F22/1000</f>
        <v/>
      </c>
      <c r="AC22" s="1517">
        <f>D22*G22/1000</f>
        <v/>
      </c>
      <c r="AD22" s="1517">
        <f>D22*H22/1000</f>
        <v/>
      </c>
      <c r="AE22" s="1517">
        <f>D22*I22/1000</f>
        <v/>
      </c>
      <c r="AF22" s="1517">
        <f>D22*J22/1000</f>
        <v/>
      </c>
      <c r="AG22" s="1517">
        <f>D22*F22*$AV$9/1000</f>
        <v/>
      </c>
      <c r="AH22" s="1517">
        <f>D22*G22*$AV$10/1000</f>
        <v/>
      </c>
      <c r="AI22" s="1517">
        <f>D22*H22*$AV$11/1000</f>
        <v/>
      </c>
      <c r="AJ22" s="1517">
        <f>D22*I22*$AV$12/1000</f>
        <v/>
      </c>
      <c r="AK22" s="1517">
        <f>D22*J22*$AV$13/1000</f>
        <v/>
      </c>
      <c r="AL22" s="1517">
        <f>D22*K22*M22/1000</f>
        <v/>
      </c>
      <c r="AM22" s="1517">
        <f>D22*L22*N22/1000</f>
        <v/>
      </c>
      <c r="AN22" s="1518" t="n"/>
      <c r="AO22" s="1517">
        <f>D22*Q22/1000</f>
        <v/>
      </c>
      <c r="AP22" s="1517">
        <f>AO22/$AO$36</f>
        <v/>
      </c>
      <c r="AQ22" s="1517">
        <f>AO22/$AO$58</f>
        <v/>
      </c>
      <c r="AR22" s="1517">
        <f>AO22/$AO$59</f>
        <v/>
      </c>
      <c r="AS22" s="1522" t="n"/>
      <c r="AT22" s="1523" t="n"/>
    </row>
    <row r="23">
      <c r="A23" s="1412" t="n"/>
      <c r="B23" s="26" t="inlineStr">
        <is>
          <t>Biodiesel (Mobile combustion-off road)</t>
        </is>
      </c>
      <c r="C23" s="15" t="inlineStr">
        <is>
          <t>kg</t>
        </is>
      </c>
      <c r="D23" s="1526">
        <f>'1.2 Mobile'!I9</f>
        <v/>
      </c>
      <c r="E23" s="1515" t="n"/>
      <c r="F23" s="1515" t="n"/>
      <c r="G23" s="1515">
        <f>'EF (1)'!F32*'EF (1)'!D32</f>
        <v/>
      </c>
      <c r="H23" s="1515">
        <f>'EF (1)'!F32*'EF (1)'!E32</f>
        <v/>
      </c>
      <c r="I23" s="1515" t="n"/>
      <c r="J23" s="1515" t="n"/>
      <c r="K23" s="1515" t="n"/>
      <c r="L23" s="1515" t="n"/>
      <c r="M23" s="1510" t="n"/>
      <c r="N23" s="1511" t="n"/>
      <c r="O23" s="1520" t="n"/>
      <c r="P23" s="1513" t="n"/>
      <c r="Q23" s="1514">
        <f>(E23*$AV$8)+(F23*$AV$9)+(G23*$AV$10)+(H23*$AV$11)+(I23*$AV$12)+(J23*$AV$13)+(K23*M23)+(L23*N23)</f>
        <v/>
      </c>
      <c r="R23" s="1515" t="n"/>
      <c r="S23" s="1515" t="n"/>
      <c r="T23" s="1515" t="n"/>
      <c r="U23" s="1521" t="n"/>
      <c r="V23" s="1515" t="n"/>
      <c r="W23" s="1521" t="inlineStr">
        <is>
          <t>/</t>
        </is>
      </c>
      <c r="X23" s="1515" t="n"/>
      <c r="Y23" s="1515" t="n"/>
      <c r="Z23" s="1515" t="inlineStr">
        <is>
          <t>IPCC, 2006</t>
        </is>
      </c>
      <c r="AA23" s="1517">
        <f>D23*E23/1000</f>
        <v/>
      </c>
      <c r="AB23" s="1517">
        <f>D23*F23/1000</f>
        <v/>
      </c>
      <c r="AC23" s="1517">
        <f>D23*G23/1000</f>
        <v/>
      </c>
      <c r="AD23" s="1517">
        <f>D23*H23/1000</f>
        <v/>
      </c>
      <c r="AE23" s="1517">
        <f>D23*I23/1000</f>
        <v/>
      </c>
      <c r="AF23" s="1517">
        <f>D23*J23/1000</f>
        <v/>
      </c>
      <c r="AG23" s="1517">
        <f>D23*F23*$AV$9/1000</f>
        <v/>
      </c>
      <c r="AH23" s="1517">
        <f>D23*G23*$AV$10/1000</f>
        <v/>
      </c>
      <c r="AI23" s="1517">
        <f>D23*H23*$AV$11/1000</f>
        <v/>
      </c>
      <c r="AJ23" s="1517">
        <f>D23*I23*$AV$12/1000</f>
        <v/>
      </c>
      <c r="AK23" s="1517">
        <f>D23*J23*$AV$13/1000</f>
        <v/>
      </c>
      <c r="AL23" s="1517">
        <f>D23*K23*M23/1000</f>
        <v/>
      </c>
      <c r="AM23" s="1517">
        <f>D23*L23*N23/1000</f>
        <v/>
      </c>
      <c r="AN23" s="1518" t="n"/>
      <c r="AO23" s="1517">
        <f>D23*Q23/1000</f>
        <v/>
      </c>
      <c r="AP23" s="1517">
        <f>AO23/$AO$36</f>
        <v/>
      </c>
      <c r="AQ23" s="1517">
        <f>AO23/$AO$58</f>
        <v/>
      </c>
      <c r="AR23" s="1517">
        <f>AO23/$AO$59</f>
        <v/>
      </c>
      <c r="AS23" s="1522" t="n"/>
      <c r="AT23" s="1523" t="n"/>
    </row>
    <row r="24">
      <c r="A24" s="1412" t="n"/>
      <c r="B24" s="26" t="inlineStr">
        <is>
          <t>Biogasoline (Ethanol) (Mobile combustion)</t>
        </is>
      </c>
      <c r="C24" s="15" t="inlineStr">
        <is>
          <t>kg</t>
        </is>
      </c>
      <c r="D24" s="1526">
        <f>'1.2 Mobile'!L7+'1.2 Mobile'!L8</f>
        <v/>
      </c>
      <c r="E24" s="1515" t="n"/>
      <c r="F24" s="1515" t="n"/>
      <c r="G24" s="1515">
        <f>'EF (1)'!F31*'EF (1)'!D31</f>
        <v/>
      </c>
      <c r="H24" s="1515">
        <f>'EF (1)'!F31*'EF (1)'!E31</f>
        <v/>
      </c>
      <c r="I24" s="1515" t="n"/>
      <c r="J24" s="1515" t="n"/>
      <c r="K24" s="1515" t="n"/>
      <c r="L24" s="1515" t="n"/>
      <c r="M24" s="1510" t="n"/>
      <c r="N24" s="1511" t="n"/>
      <c r="O24" s="1520" t="n"/>
      <c r="P24" s="1513" t="n"/>
      <c r="Q24" s="1514">
        <f>(E24*$AV$8)+(F24*$AV$9)+(G24*$AV$10)+(H24*$AV$11)+(I24*$AV$12)+(J24*$AV$13)+(K24*M24)+(L24*N24)</f>
        <v/>
      </c>
      <c r="R24" s="1515" t="n"/>
      <c r="S24" s="1515" t="n"/>
      <c r="T24" s="1515" t="n"/>
      <c r="U24" s="1521" t="n"/>
      <c r="V24" s="1515" t="n"/>
      <c r="W24" s="1521" t="inlineStr">
        <is>
          <t>/</t>
        </is>
      </c>
      <c r="X24" s="1515" t="n"/>
      <c r="Y24" s="1515" t="n"/>
      <c r="Z24" s="1515" t="inlineStr">
        <is>
          <t>IPCC, 2006</t>
        </is>
      </c>
      <c r="AA24" s="1517">
        <f>D24*E24/1000</f>
        <v/>
      </c>
      <c r="AB24" s="1517">
        <f>D24*F24/1000</f>
        <v/>
      </c>
      <c r="AC24" s="1517">
        <f>D24*G24/1000</f>
        <v/>
      </c>
      <c r="AD24" s="1517">
        <f>D24*H24/1000</f>
        <v/>
      </c>
      <c r="AE24" s="1517">
        <f>D24*I24/1000</f>
        <v/>
      </c>
      <c r="AF24" s="1517">
        <f>D24*J24/1000</f>
        <v/>
      </c>
      <c r="AG24" s="1517">
        <f>D24*F24*$AV$9/1000</f>
        <v/>
      </c>
      <c r="AH24" s="1517">
        <f>D24*G24*$AV$10/1000</f>
        <v/>
      </c>
      <c r="AI24" s="1517">
        <f>D24*H24*$AV$11/1000</f>
        <v/>
      </c>
      <c r="AJ24" s="1517">
        <f>D24*I24*$AV$12/1000</f>
        <v/>
      </c>
      <c r="AK24" s="1517">
        <f>D24*J24*$AV$13/1000</f>
        <v/>
      </c>
      <c r="AL24" s="1517">
        <f>D24*K24*M24/1000</f>
        <v/>
      </c>
      <c r="AM24" s="1517">
        <f>D24*L24*N24/1000</f>
        <v/>
      </c>
      <c r="AN24" s="1518" t="n"/>
      <c r="AO24" s="1517">
        <f>D24*Q24/1000</f>
        <v/>
      </c>
      <c r="AP24" s="1517">
        <f>AO24/$AO$36</f>
        <v/>
      </c>
      <c r="AQ24" s="1517">
        <f>AO24/$AO$58</f>
        <v/>
      </c>
      <c r="AR24" s="1517">
        <f>AO24/$AO$59</f>
        <v/>
      </c>
      <c r="AS24" s="1522" t="n"/>
      <c r="AT24" s="1523" t="n"/>
    </row>
    <row r="25">
      <c r="A25" s="1412" t="n"/>
      <c r="B25" s="14" t="inlineStr">
        <is>
          <t>Fugitive</t>
        </is>
      </c>
      <c r="C25" s="15" t="n"/>
      <c r="D25" s="1526" t="n"/>
      <c r="E25" s="1515" t="n"/>
      <c r="F25" s="1515" t="n"/>
      <c r="G25" s="1515" t="n"/>
      <c r="H25" s="1515" t="n"/>
      <c r="I25" s="1515" t="n"/>
      <c r="J25" s="1515" t="n"/>
      <c r="K25" s="1515" t="n"/>
      <c r="L25" s="1515" t="n"/>
      <c r="M25" s="1510" t="n"/>
      <c r="N25" s="1511" t="n"/>
      <c r="O25" s="1520" t="n"/>
      <c r="P25" s="1513" t="n"/>
      <c r="Q25" s="1514">
        <f>(E25*$AV$8)+(F25*$AV$9)+(G25*$AV$10)+(H25*$AV$11)+(I25*$AV$12)+(J25*$AV$13)+(K25*M25)+(L25*N25)</f>
        <v/>
      </c>
      <c r="R25" s="1515" t="n"/>
      <c r="S25" s="1515" t="n"/>
      <c r="T25" s="1515" t="n"/>
      <c r="U25" s="1515" t="n"/>
      <c r="V25" s="1515" t="n"/>
      <c r="W25" s="1515" t="n"/>
      <c r="X25" s="1515" t="n"/>
      <c r="Y25" s="1515" t="n"/>
      <c r="Z25" s="1515" t="n"/>
      <c r="AA25" s="1517">
        <f>D25*E25/1000</f>
        <v/>
      </c>
      <c r="AB25" s="1517">
        <f>D25*F25/1000</f>
        <v/>
      </c>
      <c r="AC25" s="1517">
        <f>D25*G25/1000</f>
        <v/>
      </c>
      <c r="AD25" s="1517">
        <f>D25*H25/1000</f>
        <v/>
      </c>
      <c r="AE25" s="1517">
        <f>D25*I25/1000</f>
        <v/>
      </c>
      <c r="AF25" s="1517">
        <f>D25*J25/1000</f>
        <v/>
      </c>
      <c r="AG25" s="1517">
        <f>D25*F25*$AV$9/1000</f>
        <v/>
      </c>
      <c r="AH25" s="1517">
        <f>D25*G25*$AV$10/1000</f>
        <v/>
      </c>
      <c r="AI25" s="1517">
        <f>D25*H25*$AV$11/1000</f>
        <v/>
      </c>
      <c r="AJ25" s="1517">
        <f>D25*I25*$AV$12/1000</f>
        <v/>
      </c>
      <c r="AK25" s="1517">
        <f>D25*J25*$AV$13/1000</f>
        <v/>
      </c>
      <c r="AL25" s="1517">
        <f>D25*K25*M25/1000</f>
        <v/>
      </c>
      <c r="AM25" s="1517">
        <f>D25*L25*N25/1000</f>
        <v/>
      </c>
      <c r="AN25" s="1518" t="n"/>
      <c r="AO25" s="1517">
        <f>D25*Q25/1000</f>
        <v/>
      </c>
      <c r="AP25" s="1517">
        <f>AO25/$AO$36</f>
        <v/>
      </c>
      <c r="AQ25" s="1517">
        <f>AO25/$AO$58</f>
        <v/>
      </c>
      <c r="AR25" s="1517">
        <f>AO25/$AO$59</f>
        <v/>
      </c>
      <c r="AS25" s="1522" t="n"/>
      <c r="AT25" s="1523" t="n"/>
    </row>
    <row r="26">
      <c r="A26" s="1412" t="n"/>
      <c r="B26" s="26">
        <f>'1.4.1 สารทำความเย็น'!A6</f>
        <v/>
      </c>
      <c r="C26" s="15">
        <f>'1.4.1 สารทำความเย็น'!D6</f>
        <v/>
      </c>
      <c r="D26" s="1526">
        <f>'1.4.1 สารทำความเย็น'!E6</f>
        <v/>
      </c>
      <c r="E26" s="1515" t="n"/>
      <c r="F26" s="1515" t="n"/>
      <c r="G26" s="1515" t="n"/>
      <c r="H26" s="1515" t="n"/>
      <c r="I26" s="1515" t="n"/>
      <c r="J26" s="1515" t="n"/>
      <c r="K26" s="1515" t="n">
        <v>1</v>
      </c>
      <c r="L26" s="1515" t="n"/>
      <c r="M26" s="1510">
        <f>'EF TGO AR5'!H56</f>
        <v/>
      </c>
      <c r="N26" s="1511" t="n"/>
      <c r="O26" s="1520" t="n"/>
      <c r="P26" s="1513" t="n"/>
      <c r="Q26" s="1514">
        <f>(E26*$AV$8)+(F26*$AV$9)+(G26*$AV$10)+(H26*$AV$11)+(I26*$AV$12)+(J26*$AV$13)+(K26*M26)+(L26*N26)</f>
        <v/>
      </c>
      <c r="R26" s="1515" t="n"/>
      <c r="S26" s="1515" t="n"/>
      <c r="T26" s="1515" t="n"/>
      <c r="U26" s="1515" t="n"/>
      <c r="V26" s="1515" t="n"/>
      <c r="W26" s="1521" t="inlineStr">
        <is>
          <t>/</t>
        </is>
      </c>
      <c r="X26" s="1515" t="n"/>
      <c r="Y26" s="1515" t="n"/>
      <c r="Z26" s="1515" t="inlineStr">
        <is>
          <t>IPCC : GWP (AR5)</t>
        </is>
      </c>
      <c r="AA26" s="1517">
        <f>D26*E26/1000</f>
        <v/>
      </c>
      <c r="AB26" s="1517">
        <f>D26*F26/1000</f>
        <v/>
      </c>
      <c r="AC26" s="1517">
        <f>D26*G26/1000</f>
        <v/>
      </c>
      <c r="AD26" s="1517">
        <f>D26*H26/1000</f>
        <v/>
      </c>
      <c r="AE26" s="1517">
        <f>D26*I26/1000</f>
        <v/>
      </c>
      <c r="AF26" s="1517">
        <f>D26*J26/1000</f>
        <v/>
      </c>
      <c r="AG26" s="1517">
        <f>D26*F26*$AV$9/1000</f>
        <v/>
      </c>
      <c r="AH26" s="1517">
        <f>D26*G26*$AV$10/1000</f>
        <v/>
      </c>
      <c r="AI26" s="1517">
        <f>D26*H26*$AV$11/1000</f>
        <v/>
      </c>
      <c r="AJ26" s="1517">
        <f>D26*I26*$AV$12/1000</f>
        <v/>
      </c>
      <c r="AK26" s="1517">
        <f>D26*J26*$AV$13/1000</f>
        <v/>
      </c>
      <c r="AL26" s="1517">
        <f>D26*K26*M26/1000</f>
        <v/>
      </c>
      <c r="AM26" s="1517">
        <f>D26*L26*N26/1000</f>
        <v/>
      </c>
      <c r="AN26" s="1518" t="n"/>
      <c r="AO26" s="1517">
        <f>D26*Q26/1000</f>
        <v/>
      </c>
      <c r="AP26" s="1517">
        <f>AO26/$AO$36</f>
        <v/>
      </c>
      <c r="AQ26" s="1517">
        <f>AO26/$AO$58</f>
        <v/>
      </c>
      <c r="AR26" s="1517">
        <f>AO26/$AO$59</f>
        <v/>
      </c>
      <c r="AS26" s="1522" t="n"/>
      <c r="AT26" s="1523" t="n"/>
    </row>
    <row r="27">
      <c r="A27" s="1412" t="n"/>
      <c r="B27" s="26">
        <f>'1.4.1 สารทำความเย็น'!A7</f>
        <v/>
      </c>
      <c r="C27" s="15">
        <f>'1.4.1 สารทำความเย็น'!D7</f>
        <v/>
      </c>
      <c r="D27" s="1526">
        <f>'1.4.1 สารทำความเย็น'!E7</f>
        <v/>
      </c>
      <c r="E27" s="1515" t="n"/>
      <c r="F27" s="1515" t="n"/>
      <c r="G27" s="1515" t="n"/>
      <c r="H27" s="1515" t="n"/>
      <c r="I27" s="1515" t="n"/>
      <c r="J27" s="1515" t="n"/>
      <c r="K27" s="1515" t="n">
        <v>1</v>
      </c>
      <c r="L27" s="1515" t="n"/>
      <c r="M27" s="1510">
        <f>'EF (1)'!E16</f>
        <v/>
      </c>
      <c r="N27" s="1511" t="n"/>
      <c r="O27" s="1520" t="n"/>
      <c r="P27" s="1513" t="n"/>
      <c r="Q27" s="1514">
        <f>(E27*$AV$8)+(F27*$AV$9)+(G27*$AV$10)+(H27*$AV$11)+(I27*$AV$12)+(J27*$AV$13)+(K27*M27)+(L27*N27)</f>
        <v/>
      </c>
      <c r="R27" s="1515" t="n"/>
      <c r="S27" s="1515" t="n"/>
      <c r="T27" s="1515" t="n"/>
      <c r="U27" s="1515" t="n"/>
      <c r="V27" s="1515" t="n"/>
      <c r="W27" s="1521" t="inlineStr">
        <is>
          <t>/</t>
        </is>
      </c>
      <c r="X27" s="1515" t="n"/>
      <c r="Y27" s="1515" t="n"/>
      <c r="Z27" s="1515" t="inlineStr">
        <is>
          <t>IPCC : GWP (AR5)</t>
        </is>
      </c>
      <c r="AA27" s="1517">
        <f>D27*E27/1000</f>
        <v/>
      </c>
      <c r="AB27" s="1517">
        <f>D27*F27/1000</f>
        <v/>
      </c>
      <c r="AC27" s="1517">
        <f>D27*G27/1000</f>
        <v/>
      </c>
      <c r="AD27" s="1517">
        <f>D27*H27/1000</f>
        <v/>
      </c>
      <c r="AE27" s="1517">
        <f>D27*I27/1000</f>
        <v/>
      </c>
      <c r="AF27" s="1517">
        <f>D27*J27/1000</f>
        <v/>
      </c>
      <c r="AG27" s="1517">
        <f>D27*F27*$AV$9/1000</f>
        <v/>
      </c>
      <c r="AH27" s="1517">
        <f>D27*G27*$AV$10/1000</f>
        <v/>
      </c>
      <c r="AI27" s="1517">
        <f>D27*H27*$AV$11/1000</f>
        <v/>
      </c>
      <c r="AJ27" s="1517">
        <f>D27*I27*$AV$12/1000</f>
        <v/>
      </c>
      <c r="AK27" s="1517">
        <f>D27*J27*$AV$13/1000</f>
        <v/>
      </c>
      <c r="AL27" s="1517">
        <f>D27*K27*M27/1000</f>
        <v/>
      </c>
      <c r="AM27" s="1517">
        <f>D27*L27*N27/1000</f>
        <v/>
      </c>
      <c r="AN27" s="1518" t="n"/>
      <c r="AO27" s="1517">
        <f>D27*Q27/1000</f>
        <v/>
      </c>
      <c r="AP27" s="1517">
        <f>AO27/$AO$36</f>
        <v/>
      </c>
      <c r="AQ27" s="1517">
        <f>AO27/$AO$58</f>
        <v/>
      </c>
      <c r="AR27" s="1517">
        <f>AO27/$AO$59</f>
        <v/>
      </c>
      <c r="AS27" s="1522" t="n"/>
      <c r="AT27" s="1523" t="n"/>
    </row>
    <row r="28">
      <c r="A28" s="1412" t="n"/>
      <c r="B28" s="26">
        <f>'1.4.1 สารทำความเย็น'!A8</f>
        <v/>
      </c>
      <c r="C28" s="15">
        <f>'1.4.1 สารทำความเย็น'!D8</f>
        <v/>
      </c>
      <c r="D28" s="1526">
        <f>'1.4.1 สารทำความเย็น'!E8</f>
        <v/>
      </c>
      <c r="E28" s="1515" t="n"/>
      <c r="F28" s="1515" t="n"/>
      <c r="G28" s="1515" t="n"/>
      <c r="H28" s="1515" t="n"/>
      <c r="I28" s="1515" t="n"/>
      <c r="J28" s="1515" t="n"/>
      <c r="K28" s="1515" t="n">
        <v>1</v>
      </c>
      <c r="L28" s="1515" t="n"/>
      <c r="M28" s="1510">
        <f>'EF TGO AR5'!H59</f>
        <v/>
      </c>
      <c r="N28" s="1511" t="n"/>
      <c r="O28" s="1520" t="n"/>
      <c r="P28" s="1513" t="n"/>
      <c r="Q28" s="1514">
        <f>(E28*$AV$8)+(F28*$AV$9)+(G28*$AV$10)+(H28*$AV$11)+(I28*$AV$12)+(J28*$AV$13)+(K28*M28)+(L28*N28)</f>
        <v/>
      </c>
      <c r="R28" s="1515" t="n"/>
      <c r="S28" s="1515" t="n"/>
      <c r="T28" s="1515" t="n"/>
      <c r="U28" s="1515" t="n"/>
      <c r="V28" s="1515" t="n"/>
      <c r="W28" s="1521" t="inlineStr">
        <is>
          <t>/</t>
        </is>
      </c>
      <c r="X28" s="1515" t="n"/>
      <c r="Y28" s="1515" t="n"/>
      <c r="Z28" s="1515" t="inlineStr">
        <is>
          <t>IPCC : GWP (AR5)</t>
        </is>
      </c>
      <c r="AA28" s="1517">
        <f>D28*E28/1000</f>
        <v/>
      </c>
      <c r="AB28" s="1517">
        <f>D28*F28/1000</f>
        <v/>
      </c>
      <c r="AC28" s="1517">
        <f>D28*G28/1000</f>
        <v/>
      </c>
      <c r="AD28" s="1517">
        <f>D28*H28/1000</f>
        <v/>
      </c>
      <c r="AE28" s="1517">
        <f>D28*I28/1000</f>
        <v/>
      </c>
      <c r="AF28" s="1517">
        <f>D28*J28/1000</f>
        <v/>
      </c>
      <c r="AG28" s="1517">
        <f>D28*F28*$AV$9/1000</f>
        <v/>
      </c>
      <c r="AH28" s="1517">
        <f>D28*G28*$AV$10/1000</f>
        <v/>
      </c>
      <c r="AI28" s="1517">
        <f>D28*H28*$AV$11/1000</f>
        <v/>
      </c>
      <c r="AJ28" s="1517">
        <f>D28*I28*$AV$12/1000</f>
        <v/>
      </c>
      <c r="AK28" s="1517">
        <f>D28*J28*$AV$13/1000</f>
        <v/>
      </c>
      <c r="AL28" s="1517">
        <f>D28*K28*M28/1000</f>
        <v/>
      </c>
      <c r="AM28" s="1517">
        <f>D28*L28*N28/1000</f>
        <v/>
      </c>
      <c r="AN28" s="1518" t="n"/>
      <c r="AO28" s="1517">
        <f>D28*Q28/1000</f>
        <v/>
      </c>
      <c r="AP28" s="1517">
        <f>AO28/$AO$36</f>
        <v/>
      </c>
      <c r="AQ28" s="1517">
        <f>AO28/$AO$58</f>
        <v/>
      </c>
      <c r="AR28" s="1517">
        <f>AO28/$AO$59</f>
        <v/>
      </c>
      <c r="AS28" s="1522" t="n"/>
      <c r="AT28" s="1523" t="n"/>
    </row>
    <row r="29">
      <c r="A29" s="1412" t="n"/>
      <c r="B29" s="26">
        <f>'1.4.1 สารทำความเย็น'!A9</f>
        <v/>
      </c>
      <c r="C29" s="15">
        <f>'1.4.1 สารทำความเย็น'!D9</f>
        <v/>
      </c>
      <c r="D29" s="1526">
        <f>'1.4.1 สารทำความเย็น'!E9</f>
        <v/>
      </c>
      <c r="E29" s="1515" t="n"/>
      <c r="F29" s="1515" t="n"/>
      <c r="G29" s="1515" t="n"/>
      <c r="H29" s="1515" t="n"/>
      <c r="I29" s="1515" t="n"/>
      <c r="J29" s="1515" t="n"/>
      <c r="K29" s="1515" t="n">
        <v>1</v>
      </c>
      <c r="L29" s="1515" t="n"/>
      <c r="M29" s="1510">
        <f>'EF (1)'!E19</f>
        <v/>
      </c>
      <c r="N29" s="1511" t="n"/>
      <c r="O29" s="1520" t="n"/>
      <c r="P29" s="1513" t="n"/>
      <c r="Q29" s="1514">
        <f>(E29*$AV$8)+(F29*$AV$9)+(G29*$AV$10)+(H29*$AV$11)+(I29*$AV$12)+(J29*$AV$13)+(K29*M29)+(L29*N29)</f>
        <v/>
      </c>
      <c r="R29" s="1515" t="n"/>
      <c r="S29" s="1515" t="n"/>
      <c r="T29" s="1515" t="n"/>
      <c r="U29" s="1515" t="n"/>
      <c r="V29" s="1515" t="n"/>
      <c r="W29" s="1521" t="inlineStr">
        <is>
          <t>/</t>
        </is>
      </c>
      <c r="X29" s="1515" t="n"/>
      <c r="Y29" s="1515" t="n"/>
      <c r="Z29" s="1515" t="inlineStr">
        <is>
          <t>IPCC : GWP (AR5)</t>
        </is>
      </c>
      <c r="AA29" s="1517">
        <f>D29*E29/1000</f>
        <v/>
      </c>
      <c r="AB29" s="1517">
        <f>D29*F29/1000</f>
        <v/>
      </c>
      <c r="AC29" s="1517">
        <f>D29*G29/1000</f>
        <v/>
      </c>
      <c r="AD29" s="1517">
        <f>D29*H29/1000</f>
        <v/>
      </c>
      <c r="AE29" s="1517">
        <f>D29*I29/1000</f>
        <v/>
      </c>
      <c r="AF29" s="1517">
        <f>D29*J29/1000</f>
        <v/>
      </c>
      <c r="AG29" s="1517">
        <f>D29*F29*$AV$9/1000</f>
        <v/>
      </c>
      <c r="AH29" s="1517">
        <f>D29*G29*$AV$10/1000</f>
        <v/>
      </c>
      <c r="AI29" s="1517">
        <f>D29*H29*$AV$11/1000</f>
        <v/>
      </c>
      <c r="AJ29" s="1517">
        <f>D29*I29*$AV$12/1000</f>
        <v/>
      </c>
      <c r="AK29" s="1517">
        <f>D29*J29*$AV$13/1000</f>
        <v/>
      </c>
      <c r="AL29" s="1517">
        <f>D29*K29*M29/1000</f>
        <v/>
      </c>
      <c r="AM29" s="1517">
        <f>D29*L29*N29/1000</f>
        <v/>
      </c>
      <c r="AN29" s="1518" t="n"/>
      <c r="AO29" s="1517">
        <f>D29*Q29/1000</f>
        <v/>
      </c>
      <c r="AP29" s="1517">
        <f>AO29/$AO$36</f>
        <v/>
      </c>
      <c r="AQ29" s="1517">
        <f>AO29/$AO$58</f>
        <v/>
      </c>
      <c r="AR29" s="1517">
        <f>AO29/$AO$59</f>
        <v/>
      </c>
      <c r="AS29" s="1522" t="n"/>
      <c r="AT29" s="1523" t="n"/>
    </row>
    <row r="30">
      <c r="A30" s="1412" t="n"/>
      <c r="B30" s="26">
        <f>'1.4.2 สารดับเพลิง'!A4</f>
        <v/>
      </c>
      <c r="C30" s="15">
        <f>'1.4.2 สารดับเพลิง'!D4</f>
        <v/>
      </c>
      <c r="D30" s="1528">
        <f>'1.4.2 สารดับเพลิง'!E4</f>
        <v/>
      </c>
      <c r="E30" s="1515" t="n">
        <v>1</v>
      </c>
      <c r="F30" s="1515" t="n"/>
      <c r="G30" s="1515" t="n"/>
      <c r="H30" s="1515" t="n"/>
      <c r="I30" s="1515" t="n"/>
      <c r="J30" s="1515" t="n"/>
      <c r="K30" s="1515" t="n"/>
      <c r="L30" s="1515" t="n"/>
      <c r="M30" s="1510" t="n"/>
      <c r="N30" s="1515" t="n"/>
      <c r="O30" s="1520" t="n"/>
      <c r="P30" s="1513" t="n"/>
      <c r="Q30" s="1514">
        <f>(E30*$AV$8)+(F30*$AV$9)+(G30*$AV$10)+(H30*$AV$11)+(I30*$AV$12)+(J30*$AV$13)+(K30*M30)+(L30*N30)</f>
        <v/>
      </c>
      <c r="R30" s="1515" t="n"/>
      <c r="S30" s="1515" t="n"/>
      <c r="T30" s="1515" t="n"/>
      <c r="U30" s="1515" t="n"/>
      <c r="V30" s="1515" t="n"/>
      <c r="W30" s="1521" t="inlineStr">
        <is>
          <t>/</t>
        </is>
      </c>
      <c r="X30" s="1515" t="n"/>
      <c r="Y30" s="1515" t="n"/>
      <c r="Z30" s="1515" t="inlineStr">
        <is>
          <t>IPCC : GWP (AR5)</t>
        </is>
      </c>
      <c r="AA30" s="1517">
        <f>D30*E30/1000</f>
        <v/>
      </c>
      <c r="AB30" s="1517">
        <f>D30*F30/1000</f>
        <v/>
      </c>
      <c r="AC30" s="1517">
        <f>D30*G30/1000</f>
        <v/>
      </c>
      <c r="AD30" s="1517">
        <f>D30*H30/1000</f>
        <v/>
      </c>
      <c r="AE30" s="1517">
        <f>D30*I30/1000</f>
        <v/>
      </c>
      <c r="AF30" s="1517">
        <f>D30*J30/1000</f>
        <v/>
      </c>
      <c r="AG30" s="1517">
        <f>D30*F30*$AV$9/1000</f>
        <v/>
      </c>
      <c r="AH30" s="1517">
        <f>D30*G30*$AV$10/1000</f>
        <v/>
      </c>
      <c r="AI30" s="1517">
        <f>D30*H30*$AV$11/1000</f>
        <v/>
      </c>
      <c r="AJ30" s="1517">
        <f>D30*I30*$AV$12/1000</f>
        <v/>
      </c>
      <c r="AK30" s="1517">
        <f>D30*J30*$AV$13/1000</f>
        <v/>
      </c>
      <c r="AL30" s="1517">
        <f>D30*K30*M30/1000</f>
        <v/>
      </c>
      <c r="AM30" s="1517">
        <f>D30*L30*N30/1000</f>
        <v/>
      </c>
      <c r="AN30" s="1518" t="n"/>
      <c r="AO30" s="1517">
        <f>D30*Q30/1000</f>
        <v/>
      </c>
      <c r="AP30" s="1517">
        <f>AO30/$AO$36</f>
        <v/>
      </c>
      <c r="AQ30" s="1517">
        <f>AO30/$AO$58</f>
        <v/>
      </c>
      <c r="AR30" s="1517">
        <f>AO30/$AO$59</f>
        <v/>
      </c>
      <c r="AS30" s="1522" t="n"/>
      <c r="AT30" s="1523" t="n"/>
    </row>
    <row r="31">
      <c r="A31" s="1412" t="n"/>
      <c r="B31" s="26" t="inlineStr">
        <is>
          <t>Septic tank</t>
        </is>
      </c>
      <c r="C31" s="15" t="inlineStr">
        <is>
          <t>kgCH4</t>
        </is>
      </c>
      <c r="D31" s="1519">
        <f>'1.4.3 Septic'!I16+'1.4.3 Septic'!I32+'1.4.3 Septic'!I48+'1.4.3 Septic'!I64</f>
        <v/>
      </c>
      <c r="E31" s="1515" t="n"/>
      <c r="F31" s="1515" t="n"/>
      <c r="G31" s="1515" t="n">
        <v>1</v>
      </c>
      <c r="H31" s="1515" t="n"/>
      <c r="I31" s="1515" t="n"/>
      <c r="J31" s="1515" t="n"/>
      <c r="K31" s="1515" t="n"/>
      <c r="L31" s="1515" t="n"/>
      <c r="M31" s="1510" t="n"/>
      <c r="N31" s="1515" t="n"/>
      <c r="O31" s="1520" t="n"/>
      <c r="P31" s="1513" t="n"/>
      <c r="Q31" s="1514">
        <f>(E31*$AV$8)+(F31*$AV$9)+(G31*$AV$10)+(H31*$AV$11)+(I31*$AV$12)+(J31*$AV$13)+(K31*M31)+(L31*N31)</f>
        <v/>
      </c>
      <c r="R31" s="1515" t="n"/>
      <c r="S31" s="1515" t="n"/>
      <c r="T31" s="1515" t="n"/>
      <c r="U31" s="1515" t="n"/>
      <c r="V31" s="1515" t="n"/>
      <c r="W31" s="1521" t="inlineStr">
        <is>
          <t>/</t>
        </is>
      </c>
      <c r="X31" s="1515" t="n"/>
      <c r="Y31" s="1515" t="n"/>
      <c r="Z31" s="1515" t="inlineStr">
        <is>
          <t>IPCC : GWP (AR5)</t>
        </is>
      </c>
      <c r="AA31" s="1517">
        <f>D31*E31/1000</f>
        <v/>
      </c>
      <c r="AB31" s="1517">
        <f>D31*F31/1000</f>
        <v/>
      </c>
      <c r="AC31" s="1517">
        <f>D31*G31/1000</f>
        <v/>
      </c>
      <c r="AD31" s="1517">
        <f>D31*H31/1000</f>
        <v/>
      </c>
      <c r="AE31" s="1517">
        <f>D31*I31/1000</f>
        <v/>
      </c>
      <c r="AF31" s="1517">
        <f>D31*J31/1000</f>
        <v/>
      </c>
      <c r="AG31" s="1517">
        <f>D31*F31*$AV$9/1000</f>
        <v/>
      </c>
      <c r="AH31" s="1517">
        <f>D31*G31*$AV$10/1000</f>
        <v/>
      </c>
      <c r="AI31" s="1517">
        <f>D31*H31*$AV$11/1000</f>
        <v/>
      </c>
      <c r="AJ31" s="1517">
        <f>D31*I31*$AV$12/1000</f>
        <v/>
      </c>
      <c r="AK31" s="1517">
        <f>D31*J31*$AV$13/1000</f>
        <v/>
      </c>
      <c r="AL31" s="1517">
        <f>D31*K31*M31/1000</f>
        <v/>
      </c>
      <c r="AM31" s="1517">
        <f>D31*L31*N31/1000</f>
        <v/>
      </c>
      <c r="AN31" s="1518" t="n"/>
      <c r="AO31" s="1517">
        <f>D31*Q31/1000</f>
        <v/>
      </c>
      <c r="AP31" s="1517">
        <f>AO31/$AO$36</f>
        <v/>
      </c>
      <c r="AQ31" s="1517">
        <f>AO31/$AO$58</f>
        <v/>
      </c>
      <c r="AR31" s="1517">
        <f>AO31/$AO$59</f>
        <v/>
      </c>
      <c r="AS31" s="1522" t="n"/>
      <c r="AT31" s="1523" t="n"/>
    </row>
    <row r="32">
      <c r="A32" s="1412" t="n"/>
      <c r="B32" s="26">
        <f>'1.4.4 ปุ๋ย'!A3</f>
        <v/>
      </c>
      <c r="C32" s="15">
        <f>'1.4.4 ปุ๋ย'!C3</f>
        <v/>
      </c>
      <c r="D32" s="1529">
        <f>'1.4.4 ปุ๋ย'!D3</f>
        <v/>
      </c>
      <c r="E32" s="1515" t="n"/>
      <c r="F32" s="1515" t="n"/>
      <c r="G32" s="1515" t="n"/>
      <c r="H32" s="1515">
        <f>'1.4.4 ปุ๋ย'!Q3</f>
        <v/>
      </c>
      <c r="I32" s="1515" t="n"/>
      <c r="J32" s="1515" t="n"/>
      <c r="K32" s="1515" t="n"/>
      <c r="L32" s="1515" t="n"/>
      <c r="M32" s="1510" t="n"/>
      <c r="N32" s="1511" t="n"/>
      <c r="O32" s="1520" t="n"/>
      <c r="P32" s="1513" t="n"/>
      <c r="Q32" s="1514">
        <f>(E32*$AV$8)+(F32*$AV$9)+(G32*$AV$10)+(H32*$AV$11)+(I32*$AV$12)+(J32*$AV$13)+(K32*M32)+(L32*N32)</f>
        <v/>
      </c>
      <c r="R32" s="1515" t="n"/>
      <c r="S32" s="1515" t="n"/>
      <c r="T32" s="1515" t="n"/>
      <c r="U32" s="1515" t="n"/>
      <c r="V32" s="1515" t="n"/>
      <c r="W32" s="1521" t="inlineStr">
        <is>
          <t>/</t>
        </is>
      </c>
      <c r="X32" s="1515" t="n"/>
      <c r="Y32" s="1515" t="n"/>
      <c r="Z32" s="1515" t="inlineStr">
        <is>
          <t>IPCC : GWP (AR5)</t>
        </is>
      </c>
      <c r="AA32" s="1517">
        <f>D32*E32/1000</f>
        <v/>
      </c>
      <c r="AB32" s="1517">
        <f>D32*F32/1000</f>
        <v/>
      </c>
      <c r="AC32" s="1517">
        <f>D32*G32/1000</f>
        <v/>
      </c>
      <c r="AD32" s="1517">
        <f>D32*H32/1000</f>
        <v/>
      </c>
      <c r="AE32" s="1517">
        <f>D32*I32/1000</f>
        <v/>
      </c>
      <c r="AF32" s="1517">
        <f>D32*J32/1000</f>
        <v/>
      </c>
      <c r="AG32" s="1517">
        <f>D32*F32*$AV$9/1000</f>
        <v/>
      </c>
      <c r="AH32" s="1517">
        <f>D32*G32*$AV$10/1000</f>
        <v/>
      </c>
      <c r="AI32" s="1517">
        <f>D32*H32*$AV$11/1000</f>
        <v/>
      </c>
      <c r="AJ32" s="1517">
        <f>D32*I32*$AV$12/1000</f>
        <v/>
      </c>
      <c r="AK32" s="1517">
        <f>D32*J32*$AV$13/1000</f>
        <v/>
      </c>
      <c r="AL32" s="1517">
        <f>D32*K32*M32/1000</f>
        <v/>
      </c>
      <c r="AM32" s="1517">
        <f>D32*L32*N32/1000</f>
        <v/>
      </c>
      <c r="AN32" s="1518" t="n"/>
      <c r="AO32" s="1517">
        <f>D32*Q32/1000</f>
        <v/>
      </c>
      <c r="AP32" s="1517">
        <f>AO32/$AO$36</f>
        <v/>
      </c>
      <c r="AQ32" s="1517">
        <f>AO32/$AO$58</f>
        <v/>
      </c>
      <c r="AR32" s="1517">
        <f>AO32/$AO$59</f>
        <v/>
      </c>
      <c r="AS32" s="1522" t="n"/>
      <c r="AT32" s="1523" t="n"/>
    </row>
    <row r="33">
      <c r="A33" s="1412" t="n"/>
      <c r="B33" s="26" t="n"/>
      <c r="C33" s="15" t="n"/>
      <c r="D33" s="1519" t="n"/>
      <c r="E33" s="1515" t="n"/>
      <c r="F33" s="1515" t="n"/>
      <c r="G33" s="1515" t="n"/>
      <c r="H33" s="1515" t="n"/>
      <c r="I33" s="1515" t="n"/>
      <c r="J33" s="1515" t="n"/>
      <c r="K33" s="1515" t="n"/>
      <c r="L33" s="1515" t="n"/>
      <c r="M33" s="1510" t="n"/>
      <c r="N33" s="1511" t="n"/>
      <c r="O33" s="1520" t="n"/>
      <c r="P33" s="1513" t="n"/>
      <c r="Q33" s="1514">
        <f>(E33*$AV$8)+(F33*$AV$9)+(G33*$AV$10)+(H33*$AV$11)+(I33*$AV$12)+(J33*$AV$13)+(K33*M33)+(L33*N33)</f>
        <v/>
      </c>
      <c r="R33" s="1515" t="n"/>
      <c r="S33" s="1515" t="n"/>
      <c r="T33" s="1515" t="n"/>
      <c r="U33" s="1515" t="n"/>
      <c r="V33" s="1515" t="n"/>
      <c r="W33" s="1515" t="n"/>
      <c r="X33" s="1515" t="n"/>
      <c r="Y33" s="1515" t="n"/>
      <c r="Z33" s="1515" t="n"/>
      <c r="AA33" s="1517">
        <f>D33*E33/1000</f>
        <v/>
      </c>
      <c r="AB33" s="1517">
        <f>D33*F33/1000</f>
        <v/>
      </c>
      <c r="AC33" s="1517">
        <f>D33*G33/1000</f>
        <v/>
      </c>
      <c r="AD33" s="1517">
        <f>D33*H33/1000</f>
        <v/>
      </c>
      <c r="AE33" s="1517">
        <f>D33*I33/1000</f>
        <v/>
      </c>
      <c r="AF33" s="1517">
        <f>D33*J33/1000</f>
        <v/>
      </c>
      <c r="AG33" s="1517">
        <f>D33*F33*$AV$9/1000</f>
        <v/>
      </c>
      <c r="AH33" s="1517">
        <f>D33*G33*$AV$10/1000</f>
        <v/>
      </c>
      <c r="AI33" s="1517">
        <f>D33*H33*$AV$11/1000</f>
        <v/>
      </c>
      <c r="AJ33" s="1517">
        <f>D33*I33*$AV$12/1000</f>
        <v/>
      </c>
      <c r="AK33" s="1517">
        <f>D33*J33*$AV$13/1000</f>
        <v/>
      </c>
      <c r="AL33" s="1517">
        <f>D33*K33*M33/1000</f>
        <v/>
      </c>
      <c r="AM33" s="1517">
        <f>D33*L33*N33/1000</f>
        <v/>
      </c>
      <c r="AN33" s="1518" t="n"/>
      <c r="AO33" s="1517">
        <f>D33*Q33/1000</f>
        <v/>
      </c>
      <c r="AP33" s="1517">
        <f>AO33/$AO$36</f>
        <v/>
      </c>
      <c r="AQ33" s="1517">
        <f>AO33/$AO$58</f>
        <v/>
      </c>
      <c r="AR33" s="1517">
        <f>AO33/$AO$59</f>
        <v/>
      </c>
      <c r="AS33" s="1522" t="n"/>
      <c r="AT33" s="1523" t="n"/>
    </row>
    <row r="34">
      <c r="A34" s="1412" t="n"/>
      <c r="B34" s="26" t="n"/>
      <c r="C34" s="15" t="n"/>
      <c r="D34" s="1519" t="n"/>
      <c r="E34" s="1515" t="n"/>
      <c r="F34" s="1515" t="n"/>
      <c r="G34" s="1515" t="n"/>
      <c r="H34" s="1515" t="n"/>
      <c r="I34" s="1515" t="n"/>
      <c r="J34" s="1515" t="n"/>
      <c r="K34" s="1515" t="n"/>
      <c r="L34" s="1515" t="n"/>
      <c r="M34" s="1510" t="n"/>
      <c r="N34" s="1511" t="n"/>
      <c r="O34" s="1520" t="n"/>
      <c r="P34" s="1513" t="n"/>
      <c r="Q34" s="1514">
        <f>(E34*$AV$8)+(F34*$AV$9)+(G34*$AV$10)+(H34*$AV$11)+(I34*$AV$12)+(J34*$AV$13)+(K34*M34)+(L34*N34)</f>
        <v/>
      </c>
      <c r="R34" s="1515" t="n"/>
      <c r="S34" s="1515" t="n"/>
      <c r="T34" s="1515" t="n"/>
      <c r="U34" s="1515" t="n"/>
      <c r="V34" s="1515" t="n"/>
      <c r="W34" s="1515" t="n"/>
      <c r="X34" s="1515" t="n"/>
      <c r="Y34" s="1515" t="n"/>
      <c r="Z34" s="1515" t="n"/>
      <c r="AA34" s="1517">
        <f>D34*E34/1000</f>
        <v/>
      </c>
      <c r="AB34" s="1517">
        <f>D34*F34/1000</f>
        <v/>
      </c>
      <c r="AC34" s="1517">
        <f>D34*G34/1000</f>
        <v/>
      </c>
      <c r="AD34" s="1517">
        <f>D34*H34/1000</f>
        <v/>
      </c>
      <c r="AE34" s="1517">
        <f>D34*I34/1000</f>
        <v/>
      </c>
      <c r="AF34" s="1517">
        <f>D34*J34/1000</f>
        <v/>
      </c>
      <c r="AG34" s="1517">
        <f>D34*F34*$AV$9/1000</f>
        <v/>
      </c>
      <c r="AH34" s="1517">
        <f>D34*G34*$AV$10/1000</f>
        <v/>
      </c>
      <c r="AI34" s="1517">
        <f>D34*H34*$AV$11/1000</f>
        <v/>
      </c>
      <c r="AJ34" s="1517">
        <f>D34*I34*$AV$12/1000</f>
        <v/>
      </c>
      <c r="AK34" s="1517">
        <f>D34*J34*$AV$13/1000</f>
        <v/>
      </c>
      <c r="AL34" s="1517">
        <f>D34*K34*M34/1000</f>
        <v/>
      </c>
      <c r="AM34" s="1517">
        <f>D34*L34*N34/1000</f>
        <v/>
      </c>
      <c r="AN34" s="1518" t="n"/>
      <c r="AO34" s="1517">
        <f>D34*Q34/1000</f>
        <v/>
      </c>
      <c r="AP34" s="1517">
        <f>AO34/$AO$36</f>
        <v/>
      </c>
      <c r="AQ34" s="1517">
        <f>AO34/$AO$58</f>
        <v/>
      </c>
      <c r="AR34" s="1517">
        <f>AO34/$AO$59</f>
        <v/>
      </c>
      <c r="AS34" s="35" t="n"/>
      <c r="AT34" s="1523" t="n"/>
    </row>
    <row r="35">
      <c r="A35" s="1412" t="n"/>
      <c r="B35" s="26" t="n"/>
      <c r="C35" s="15" t="n"/>
      <c r="D35" s="1530" t="n"/>
      <c r="E35" s="1531" t="n"/>
      <c r="F35" s="1531" t="n"/>
      <c r="G35" s="1531" t="n"/>
      <c r="H35" s="1531" t="n"/>
      <c r="I35" s="1531" t="n"/>
      <c r="J35" s="1531" t="n"/>
      <c r="K35" s="1531" t="n"/>
      <c r="L35" s="1531" t="n"/>
      <c r="M35" s="1510" t="n"/>
      <c r="N35" s="1532" t="n"/>
      <c r="O35" s="1520" t="n"/>
      <c r="P35" s="1513" t="n"/>
      <c r="Q35" s="1514">
        <f>(E35*$AV$8)+(F35*$AV$9)+(G35*$AV$10)+(H35*$AV$11)+(I35*$AV$12)+(J35*$AV$13)+(K35*M35)+(L35*N35)</f>
        <v/>
      </c>
      <c r="R35" s="1515" t="n"/>
      <c r="S35" s="1515" t="n"/>
      <c r="T35" s="1515" t="n"/>
      <c r="U35" s="1515" t="n"/>
      <c r="V35" s="1515" t="n"/>
      <c r="W35" s="1515" t="n"/>
      <c r="X35" s="1515" t="n"/>
      <c r="Y35" s="1515" t="n"/>
      <c r="Z35" s="1515" t="n"/>
      <c r="AA35" s="1517">
        <f>D35*E35/1000</f>
        <v/>
      </c>
      <c r="AB35" s="1517">
        <f>D35*F35/1000</f>
        <v/>
      </c>
      <c r="AC35" s="1517">
        <f>D35*G35/1000</f>
        <v/>
      </c>
      <c r="AD35" s="1517">
        <f>D35*H35/1000</f>
        <v/>
      </c>
      <c r="AE35" s="1517">
        <f>D35*I35/1000</f>
        <v/>
      </c>
      <c r="AF35" s="1517">
        <f>D35*J35/1000</f>
        <v/>
      </c>
      <c r="AG35" s="1517">
        <f>D35*F35*$AV$9/1000</f>
        <v/>
      </c>
      <c r="AH35" s="1517">
        <f>D35*G35*$AV$10/1000</f>
        <v/>
      </c>
      <c r="AI35" s="1517">
        <f>D35*H35*$AV$11/1000</f>
        <v/>
      </c>
      <c r="AJ35" s="1517">
        <f>D35*I35*$AV$12/1000</f>
        <v/>
      </c>
      <c r="AK35" s="1517">
        <f>D35*J35*$AV$13/1000</f>
        <v/>
      </c>
      <c r="AL35" s="1517">
        <f>D35*K35*M35/1000</f>
        <v/>
      </c>
      <c r="AM35" s="1517">
        <f>D35*L35*N35/1000</f>
        <v/>
      </c>
      <c r="AN35" s="1518" t="n"/>
      <c r="AO35" s="1517">
        <f>D35*Q35/1000</f>
        <v/>
      </c>
      <c r="AP35" s="1517">
        <f>AO35/$AO$36</f>
        <v/>
      </c>
      <c r="AQ35" s="1517">
        <f>AO35/$AO$58</f>
        <v/>
      </c>
      <c r="AR35" s="1517">
        <f>AO35/$AO$59</f>
        <v/>
      </c>
      <c r="AS35" s="25" t="n"/>
      <c r="AT35" s="1523" t="n"/>
    </row>
    <row r="36">
      <c r="A36" s="1417" t="n"/>
      <c r="B36" s="1107" t="n"/>
      <c r="C36" s="40" t="n"/>
      <c r="D36" s="1533" t="n"/>
      <c r="E36" s="1534" t="n"/>
      <c r="F36" s="1409" t="n"/>
      <c r="G36" s="1409" t="n"/>
      <c r="H36" s="1409" t="n"/>
      <c r="I36" s="1409" t="n"/>
      <c r="J36" s="1409" t="n"/>
      <c r="K36" s="1409" t="n"/>
      <c r="L36" s="1409" t="n"/>
      <c r="M36" s="1409" t="n"/>
      <c r="N36" s="1409" t="n"/>
      <c r="O36" s="1409" t="n"/>
      <c r="P36" s="1409" t="n"/>
      <c r="Q36" s="1410" t="n"/>
      <c r="R36" s="1135" t="n"/>
      <c r="S36" s="1135" t="n"/>
      <c r="T36" s="1135" t="n"/>
      <c r="U36" s="1135" t="n"/>
      <c r="V36" s="1135" t="n"/>
      <c r="W36" s="1135" t="n"/>
      <c r="X36" s="1135" t="n"/>
      <c r="Y36" s="1135" t="n"/>
      <c r="Z36" s="1135" t="n"/>
      <c r="AA36" s="1535">
        <f>SUM(AA10:AA35)</f>
        <v/>
      </c>
      <c r="AB36" s="1535">
        <f>SUM(AB10:AB35)</f>
        <v/>
      </c>
      <c r="AC36" s="1535">
        <f>SUM(AC10:AC35)</f>
        <v/>
      </c>
      <c r="AD36" s="1535">
        <f>SUM(AD10:AD35)</f>
        <v/>
      </c>
      <c r="AE36" s="1535">
        <f>SUM(AE10:AE35)</f>
        <v/>
      </c>
      <c r="AF36" s="1535">
        <f>SUM(AF10:AF35)</f>
        <v/>
      </c>
      <c r="AG36" s="1535">
        <f>SUM(AG10:AG35)</f>
        <v/>
      </c>
      <c r="AH36" s="1535">
        <f>SUM(AH10:AH35)</f>
        <v/>
      </c>
      <c r="AI36" s="1535">
        <f>SUM(AI10:AI35)</f>
        <v/>
      </c>
      <c r="AJ36" s="1535">
        <f>SUM(AJ10:AJ35)</f>
        <v/>
      </c>
      <c r="AK36" s="1535">
        <f>SUM(AK10:AK35)</f>
        <v/>
      </c>
      <c r="AL36" s="1535">
        <f>SUM(AL10:AL35)</f>
        <v/>
      </c>
      <c r="AM36" s="1535">
        <f>SUM(AM10:AM35)</f>
        <v/>
      </c>
      <c r="AN36" s="1535">
        <f>SUM(AN10:AN35)</f>
        <v/>
      </c>
      <c r="AO36" s="1535">
        <f>SUM(AO10:AO35)</f>
        <v/>
      </c>
      <c r="AP36" s="1535">
        <f>SUM(AP10:AP35)</f>
        <v/>
      </c>
      <c r="AQ36" s="1535" t="n"/>
      <c r="AR36" s="1535" t="n"/>
      <c r="AS36" s="1536" t="n"/>
    </row>
    <row r="37">
      <c r="A37" s="1537" t="inlineStr">
        <is>
          <t>รายงานแยก</t>
        </is>
      </c>
      <c r="B37" s="52">
        <f>'1.4.1 สารทำความเย็น'!A4</f>
        <v/>
      </c>
      <c r="C37" s="53">
        <f>'1.4.1 สารทำความเย็น'!D4</f>
        <v/>
      </c>
      <c r="D37" s="1538">
        <f>'1.4.1 สารทำความเย็น'!E4</f>
        <v/>
      </c>
      <c r="E37" s="1511" t="n"/>
      <c r="F37" s="1527" t="n"/>
      <c r="G37" s="1513" t="n"/>
      <c r="H37" s="1513" t="n"/>
      <c r="I37" s="1513" t="n"/>
      <c r="J37" s="1513" t="n"/>
      <c r="K37" s="1513" t="n"/>
      <c r="L37" s="1513" t="n"/>
      <c r="M37" s="1513" t="n"/>
      <c r="N37" s="1539" t="n"/>
      <c r="O37" s="1515" t="n">
        <v>1</v>
      </c>
      <c r="P37" s="1515">
        <f>'EF TGO AR5'!H55</f>
        <v/>
      </c>
      <c r="Q37" s="1514">
        <f>(E37*$AV$8)+(O37*P37)</f>
        <v/>
      </c>
      <c r="R37" s="1515" t="n"/>
      <c r="S37" s="1515" t="n"/>
      <c r="T37" s="1515" t="n"/>
      <c r="U37" s="1515" t="n"/>
      <c r="V37" s="1515" t="n"/>
      <c r="W37" s="1521" t="inlineStr">
        <is>
          <t>/</t>
        </is>
      </c>
      <c r="X37" s="1515" t="n"/>
      <c r="Y37" s="1515" t="n"/>
      <c r="Z37" s="1540" t="inlineStr">
        <is>
          <t>IPCC : GWP (AR5)</t>
        </is>
      </c>
      <c r="AA37" s="1517">
        <f>D37*E37*$AV$8/1000</f>
        <v/>
      </c>
      <c r="AB37" s="1541" t="n"/>
      <c r="AC37" s="1542" t="n"/>
      <c r="AD37" s="1542" t="n"/>
      <c r="AE37" s="1542" t="n"/>
      <c r="AF37" s="1542" t="n"/>
      <c r="AG37" s="1541" t="n"/>
      <c r="AH37" s="1542" t="n"/>
      <c r="AI37" s="1542" t="n"/>
      <c r="AJ37" s="1542" t="n"/>
      <c r="AK37" s="1542" t="n"/>
      <c r="AL37" s="1542" t="n"/>
      <c r="AM37" s="1542" t="n"/>
      <c r="AN37" s="1517">
        <f>D37*O37*P37/1000</f>
        <v/>
      </c>
      <c r="AO37" s="1517">
        <f>D37*Q37/1000</f>
        <v/>
      </c>
      <c r="AP37" s="1517">
        <f>AO37/$AO$44</f>
        <v/>
      </c>
      <c r="AQ37" s="1543" t="n"/>
      <c r="AR37" s="1543" t="n"/>
      <c r="AS37" s="1544" t="n"/>
    </row>
    <row r="38">
      <c r="A38" s="1421" t="n"/>
      <c r="B38" s="26">
        <f>'1.4.2 สารดับเพลิง'!A5</f>
        <v/>
      </c>
      <c r="C38" s="53">
        <f>'1.4.2 สารดับเพลิง'!D5</f>
        <v/>
      </c>
      <c r="D38" s="1545">
        <f>'1.4.2 สารดับเพลิง'!E5</f>
        <v/>
      </c>
      <c r="E38" s="1511" t="n"/>
      <c r="F38" s="1527" t="n"/>
      <c r="G38" s="1513" t="n"/>
      <c r="H38" s="1513" t="n"/>
      <c r="I38" s="1513" t="n"/>
      <c r="J38" s="1513" t="n"/>
      <c r="K38" s="1513" t="n"/>
      <c r="L38" s="1513" t="n"/>
      <c r="M38" s="1513" t="n"/>
      <c r="N38" s="1539" t="n"/>
      <c r="O38" s="1515" t="n">
        <v>1</v>
      </c>
      <c r="P38" s="1515">
        <f>'EF (1)'!E13</f>
        <v/>
      </c>
      <c r="Q38" s="1514">
        <f>(E38*$AV$8)+(O38*P38)</f>
        <v/>
      </c>
      <c r="R38" s="1515" t="n"/>
      <c r="S38" s="1515" t="n"/>
      <c r="T38" s="1515" t="n"/>
      <c r="U38" s="1515" t="n"/>
      <c r="V38" s="1515" t="n"/>
      <c r="W38" s="1521" t="inlineStr">
        <is>
          <t>/</t>
        </is>
      </c>
      <c r="X38" s="1515" t="n"/>
      <c r="Y38" s="1515" t="n"/>
      <c r="Z38" s="1540" t="inlineStr">
        <is>
          <t>IPCC : GWP (AR5)</t>
        </is>
      </c>
      <c r="AA38" s="1517">
        <f>D38*E38*$AV$8/1000</f>
        <v/>
      </c>
      <c r="AB38" s="1541" t="n"/>
      <c r="AC38" s="1542" t="n"/>
      <c r="AD38" s="1542" t="n"/>
      <c r="AE38" s="1542" t="n"/>
      <c r="AF38" s="1542" t="n"/>
      <c r="AG38" s="1541" t="n"/>
      <c r="AH38" s="1542" t="n"/>
      <c r="AI38" s="1542" t="n"/>
      <c r="AJ38" s="1542" t="n"/>
      <c r="AK38" s="1542" t="n"/>
      <c r="AL38" s="1542" t="n"/>
      <c r="AM38" s="1542" t="n"/>
      <c r="AN38" s="1517">
        <f>D38*O38*P38/1000</f>
        <v/>
      </c>
      <c r="AO38" s="1517">
        <f>D38*Q38/1000</f>
        <v/>
      </c>
      <c r="AP38" s="1517">
        <f>AO38/$AO$44</f>
        <v/>
      </c>
      <c r="AQ38" s="1546" t="n"/>
      <c r="AR38" s="1546" t="n"/>
      <c r="AS38" s="1544" t="n"/>
    </row>
    <row r="39">
      <c r="A39" s="1421" t="n"/>
      <c r="B39" s="26" t="inlineStr">
        <is>
          <t>CO2 -Biodiesel (Stationary combustion)</t>
        </is>
      </c>
      <c r="C39" s="808" t="inlineStr">
        <is>
          <t>kg</t>
        </is>
      </c>
      <c r="D39" s="1519">
        <f>D14</f>
        <v/>
      </c>
      <c r="E39" s="1511">
        <f>'EF (1)'!F28*'EF (1)'!C28</f>
        <v/>
      </c>
      <c r="F39" s="1527" t="n"/>
      <c r="G39" s="1513" t="n"/>
      <c r="H39" s="1513" t="n"/>
      <c r="I39" s="1513" t="n"/>
      <c r="J39" s="1513" t="n"/>
      <c r="K39" s="1513" t="n"/>
      <c r="L39" s="1513" t="n"/>
      <c r="M39" s="1513" t="n"/>
      <c r="N39" s="1539" t="n"/>
      <c r="O39" s="1515" t="n"/>
      <c r="P39" s="1515" t="n"/>
      <c r="Q39" s="1514">
        <f>(E39*$AV$8)+(O39*P39)</f>
        <v/>
      </c>
      <c r="R39" s="1515" t="n"/>
      <c r="S39" s="1515" t="n"/>
      <c r="T39" s="1515" t="n"/>
      <c r="U39" s="1515" t="n"/>
      <c r="V39" s="1515" t="n"/>
      <c r="W39" s="1521" t="inlineStr">
        <is>
          <t>/</t>
        </is>
      </c>
      <c r="X39" s="1515" t="n"/>
      <c r="Y39" s="1515" t="n"/>
      <c r="Z39" s="1515" t="inlineStr">
        <is>
          <t>IPCC, 2006</t>
        </is>
      </c>
      <c r="AA39" s="1517">
        <f>D39*E39*$AV$8/1000</f>
        <v/>
      </c>
      <c r="AB39" s="1541" t="n"/>
      <c r="AC39" s="1542" t="n"/>
      <c r="AD39" s="1542" t="n"/>
      <c r="AE39" s="1542" t="n"/>
      <c r="AF39" s="1542" t="n"/>
      <c r="AG39" s="1541" t="n"/>
      <c r="AH39" s="1542" t="n"/>
      <c r="AI39" s="1542" t="n"/>
      <c r="AJ39" s="1542" t="n"/>
      <c r="AK39" s="1542" t="n"/>
      <c r="AL39" s="1542" t="n"/>
      <c r="AM39" s="1542" t="n"/>
      <c r="AN39" s="1517">
        <f>D39*O39*P39/1000</f>
        <v/>
      </c>
      <c r="AO39" s="1517">
        <f>D39*Q39/1000</f>
        <v/>
      </c>
      <c r="AP39" s="1517">
        <f>AO39/$AO$44</f>
        <v/>
      </c>
      <c r="AQ39" s="1543" t="n"/>
      <c r="AR39" s="1543" t="n"/>
      <c r="AS39" s="1544" t="n"/>
    </row>
    <row r="40">
      <c r="A40" s="1421" t="n"/>
      <c r="B40" s="26" t="inlineStr">
        <is>
          <t>CO2-Biogasoline (Ethanol) (Stationary combustion)</t>
        </is>
      </c>
      <c r="C40" s="808" t="inlineStr">
        <is>
          <t>kg</t>
        </is>
      </c>
      <c r="D40" s="1528">
        <f>D15</f>
        <v/>
      </c>
      <c r="E40" s="1547">
        <f>'EF (1)'!F29*'EF (1)'!C29</f>
        <v/>
      </c>
      <c r="F40" s="1527" t="n"/>
      <c r="G40" s="1513" t="n"/>
      <c r="H40" s="1513" t="n"/>
      <c r="I40" s="1513" t="n"/>
      <c r="J40" s="1513" t="n"/>
      <c r="K40" s="1513" t="n"/>
      <c r="L40" s="1513" t="n"/>
      <c r="M40" s="1548" t="n"/>
      <c r="N40" s="1539" t="n"/>
      <c r="O40" s="1515" t="n"/>
      <c r="P40" s="1538" t="n"/>
      <c r="Q40" s="1514">
        <f>(E40*$AV$8)+(O40*P40)</f>
        <v/>
      </c>
      <c r="R40" s="1515" t="n"/>
      <c r="S40" s="1515" t="n"/>
      <c r="T40" s="1515" t="n"/>
      <c r="U40" s="1515" t="n"/>
      <c r="V40" s="1515" t="n"/>
      <c r="W40" s="1521" t="inlineStr">
        <is>
          <t>/</t>
        </is>
      </c>
      <c r="X40" s="1515" t="n"/>
      <c r="Y40" s="1515" t="n"/>
      <c r="Z40" s="1515" t="inlineStr">
        <is>
          <t>IPCC, 2006</t>
        </is>
      </c>
      <c r="AA40" s="1517">
        <f>D40*E40*$AV$8/1000</f>
        <v/>
      </c>
      <c r="AB40" s="1541" t="n"/>
      <c r="AC40" s="1542" t="n"/>
      <c r="AD40" s="1542" t="n"/>
      <c r="AE40" s="1542" t="n"/>
      <c r="AF40" s="1542" t="n"/>
      <c r="AG40" s="1541" t="n"/>
      <c r="AH40" s="1542" t="n"/>
      <c r="AI40" s="1542" t="n"/>
      <c r="AJ40" s="1542" t="n"/>
      <c r="AK40" s="1542" t="n"/>
      <c r="AL40" s="1542" t="n"/>
      <c r="AM40" s="1542" t="n"/>
      <c r="AN40" s="1517">
        <f>D40*O40*P40/1000</f>
        <v/>
      </c>
      <c r="AO40" s="1517">
        <f>D40*Q40/1000</f>
        <v/>
      </c>
      <c r="AP40" s="1517">
        <f>AO40/$AO$44</f>
        <v/>
      </c>
      <c r="AQ40" s="1543" t="n"/>
      <c r="AR40" s="1543" t="n"/>
      <c r="AS40" s="60" t="n"/>
      <c r="AT40" s="1549" t="n"/>
    </row>
    <row r="41">
      <c r="A41" s="1421" t="n"/>
      <c r="B41" s="26" t="inlineStr">
        <is>
          <t>CO2-Biodiesel (Mobile combustion-on road)</t>
        </is>
      </c>
      <c r="C41" s="808" t="inlineStr">
        <is>
          <t>kg</t>
        </is>
      </c>
      <c r="D41" s="1528">
        <f>D22</f>
        <v/>
      </c>
      <c r="E41" s="1547">
        <f>'EF (1)'!$C$34</f>
        <v/>
      </c>
      <c r="F41" s="1527" t="n"/>
      <c r="G41" s="1513" t="n"/>
      <c r="H41" s="1513" t="n"/>
      <c r="I41" s="1513" t="n"/>
      <c r="J41" s="1513" t="n"/>
      <c r="K41" s="1513" t="n"/>
      <c r="L41" s="1513" t="n"/>
      <c r="M41" s="1548" t="n"/>
      <c r="N41" s="1539" t="n"/>
      <c r="O41" s="1515" t="n"/>
      <c r="P41" s="1538" t="n"/>
      <c r="Q41" s="1514">
        <f>(E41*$AV$8)+(O41*P41)</f>
        <v/>
      </c>
      <c r="R41" s="1515" t="n"/>
      <c r="S41" s="1515" t="n"/>
      <c r="T41" s="1515" t="n"/>
      <c r="U41" s="1515" t="n"/>
      <c r="V41" s="1515" t="n"/>
      <c r="W41" s="1521" t="inlineStr">
        <is>
          <t>/</t>
        </is>
      </c>
      <c r="X41" s="1515" t="n"/>
      <c r="Y41" s="1515" t="n"/>
      <c r="Z41" s="1515" t="inlineStr">
        <is>
          <t>IPCC, 2006</t>
        </is>
      </c>
      <c r="AA41" s="1517">
        <f>D41*E41*$AV$8/1000</f>
        <v/>
      </c>
      <c r="AB41" s="1541" t="n"/>
      <c r="AC41" s="1542" t="n"/>
      <c r="AD41" s="1542" t="n"/>
      <c r="AE41" s="1542" t="n"/>
      <c r="AF41" s="1542" t="n"/>
      <c r="AG41" s="1541" t="n"/>
      <c r="AH41" s="1542" t="n"/>
      <c r="AI41" s="1542" t="n"/>
      <c r="AJ41" s="1542" t="n"/>
      <c r="AK41" s="1542" t="n"/>
      <c r="AL41" s="1542" t="n"/>
      <c r="AM41" s="1542" t="n"/>
      <c r="AN41" s="1517">
        <f>D41*O41*P41/1000</f>
        <v/>
      </c>
      <c r="AO41" s="1517">
        <f>D41*Q41/1000</f>
        <v/>
      </c>
      <c r="AP41" s="1517">
        <f>AO41/$AO$44</f>
        <v/>
      </c>
      <c r="AQ41" s="1546" t="n"/>
      <c r="AR41" s="1546" t="n"/>
      <c r="AS41" s="60" t="n"/>
      <c r="AT41" s="1549" t="n"/>
    </row>
    <row r="42">
      <c r="A42" s="1421" t="n"/>
      <c r="B42" s="26" t="inlineStr">
        <is>
          <t>CO2-Biodiesel (Mobile combustion-off road)</t>
        </is>
      </c>
      <c r="C42" s="808" t="inlineStr">
        <is>
          <t>kg</t>
        </is>
      </c>
      <c r="D42" s="1528">
        <f>D23</f>
        <v/>
      </c>
      <c r="E42" s="1547">
        <f>'EF (1)'!$C$36</f>
        <v/>
      </c>
      <c r="F42" s="1527" t="n"/>
      <c r="G42" s="1513" t="n"/>
      <c r="H42" s="1513" t="n"/>
      <c r="I42" s="1513" t="n"/>
      <c r="J42" s="1513" t="n"/>
      <c r="K42" s="1513" t="n"/>
      <c r="L42" s="1513" t="n"/>
      <c r="M42" s="1548" t="n"/>
      <c r="N42" s="1539" t="n"/>
      <c r="O42" s="1516" t="n"/>
      <c r="P42" s="1550" t="n"/>
      <c r="Q42" s="1551">
        <f>(E42*$AV$8)+(O41*P42)</f>
        <v/>
      </c>
      <c r="R42" s="1515" t="n"/>
      <c r="S42" s="1515" t="n"/>
      <c r="T42" s="1515" t="n"/>
      <c r="U42" s="1515" t="n"/>
      <c r="V42" s="1515" t="n"/>
      <c r="W42" s="1521" t="inlineStr">
        <is>
          <t>/</t>
        </is>
      </c>
      <c r="X42" s="1515" t="n"/>
      <c r="Y42" s="1515" t="n"/>
      <c r="Z42" s="1515" t="inlineStr">
        <is>
          <t>IPCC, 2006</t>
        </is>
      </c>
      <c r="AA42" s="1552">
        <f>D42*E42*$AV$8/1000</f>
        <v/>
      </c>
      <c r="AB42" s="1541" t="n"/>
      <c r="AC42" s="1542" t="n"/>
      <c r="AD42" s="1542" t="n"/>
      <c r="AE42" s="1542" t="n"/>
      <c r="AF42" s="1553" t="n"/>
      <c r="AG42" s="1542" t="n"/>
      <c r="AH42" s="1542" t="n"/>
      <c r="AI42" s="1542" t="n"/>
      <c r="AJ42" s="1542" t="n"/>
      <c r="AK42" s="1542" t="n"/>
      <c r="AL42" s="1542" t="n"/>
      <c r="AM42" s="1553" t="n"/>
      <c r="AN42" s="1546">
        <f>D42*O42*P42/1000</f>
        <v/>
      </c>
      <c r="AO42" s="1517">
        <f>D42*Q42/1000</f>
        <v/>
      </c>
      <c r="AP42" s="1517">
        <f>AO42/$AO$44</f>
        <v/>
      </c>
      <c r="AQ42" s="1543" t="n"/>
      <c r="AR42" s="1543" t="n"/>
      <c r="AS42" s="60" t="n"/>
      <c r="AT42" s="1549" t="n"/>
    </row>
    <row r="43">
      <c r="A43" s="1421" t="n"/>
      <c r="B43" s="26" t="inlineStr">
        <is>
          <t>CO2-Biogasoline (Ethanol) (Mobile combustion)</t>
        </is>
      </c>
      <c r="C43" s="808" t="inlineStr">
        <is>
          <t>kg</t>
        </is>
      </c>
      <c r="D43" s="1528">
        <f>D24</f>
        <v/>
      </c>
      <c r="E43" s="1554">
        <f>'EF (1)'!$C$35</f>
        <v/>
      </c>
      <c r="F43" s="1555" t="n"/>
      <c r="G43" s="1556" t="n"/>
      <c r="H43" s="1556" t="n"/>
      <c r="I43" s="1556" t="n"/>
      <c r="J43" s="1556" t="n"/>
      <c r="K43" s="1556" t="n"/>
      <c r="L43" s="1556" t="n"/>
      <c r="M43" s="1557" t="n"/>
      <c r="N43" s="1558" t="n"/>
      <c r="O43" s="830" t="n"/>
      <c r="P43" s="1559" t="n"/>
      <c r="Q43" s="1551">
        <f>(E43*$AV$8)+(O42*P43)</f>
        <v/>
      </c>
      <c r="R43" s="1516" t="n"/>
      <c r="S43" s="1516" t="n"/>
      <c r="T43" s="1516" t="n"/>
      <c r="U43" s="1516" t="n"/>
      <c r="V43" s="1516" t="n"/>
      <c r="W43" s="1521" t="inlineStr">
        <is>
          <t>/</t>
        </is>
      </c>
      <c r="X43" s="1515" t="n"/>
      <c r="Y43" s="1515" t="n"/>
      <c r="Z43" s="1515" t="inlineStr">
        <is>
          <t>IPCC, 2006</t>
        </is>
      </c>
      <c r="AA43" s="1552">
        <f>D43*E43*$AV$8/1000</f>
        <v/>
      </c>
      <c r="AB43" s="1560" t="n"/>
      <c r="AC43" s="1561" t="n"/>
      <c r="AD43" s="1561" t="n"/>
      <c r="AE43" s="1561" t="n"/>
      <c r="AF43" s="1562" t="n"/>
      <c r="AG43" s="1561" t="n"/>
      <c r="AH43" s="1561" t="n"/>
      <c r="AI43" s="1561" t="n"/>
      <c r="AJ43" s="1561" t="n"/>
      <c r="AK43" s="1561" t="n"/>
      <c r="AL43" s="1561" t="n"/>
      <c r="AM43" s="1562" t="n"/>
      <c r="AN43" s="1546">
        <f>D43*O43*P43/1000</f>
        <v/>
      </c>
      <c r="AO43" s="1517">
        <f>D43*Q43/1000</f>
        <v/>
      </c>
      <c r="AP43" s="1517">
        <f>AO43/$AO$44</f>
        <v/>
      </c>
      <c r="AQ43" s="1546" t="n"/>
      <c r="AR43" s="1546" t="n"/>
      <c r="AS43" s="60" t="n"/>
      <c r="AT43" s="1549" t="n"/>
    </row>
    <row r="44">
      <c r="A44" s="1433" t="n"/>
      <c r="B44" s="1563" t="n"/>
      <c r="C44" s="1414" t="n"/>
      <c r="D44" s="1414" t="n"/>
      <c r="E44" s="1414" t="n"/>
      <c r="F44" s="1414" t="n"/>
      <c r="G44" s="1414" t="n"/>
      <c r="H44" s="1414" t="n"/>
      <c r="I44" s="1414" t="n"/>
      <c r="J44" s="1414" t="n"/>
      <c r="K44" s="1414" t="n"/>
      <c r="L44" s="1414" t="n"/>
      <c r="M44" s="1414" t="n"/>
      <c r="N44" s="1414" t="n"/>
      <c r="O44" s="1414" t="n"/>
      <c r="P44" s="1414" t="n"/>
      <c r="Q44" s="830" t="n"/>
      <c r="R44" s="1123" t="n"/>
      <c r="S44" s="1123" t="n"/>
      <c r="T44" s="1123" t="n"/>
      <c r="U44" s="1123" t="n"/>
      <c r="V44" s="1123" t="n"/>
      <c r="W44" s="1123" t="n"/>
      <c r="X44" s="1123" t="n"/>
      <c r="Y44" s="1123" t="n"/>
      <c r="Z44" s="1123" t="n"/>
      <c r="AA44" s="1564" t="n"/>
      <c r="AB44" s="1565" t="n"/>
      <c r="AC44" s="1565" t="n"/>
      <c r="AD44" s="1565" t="n"/>
      <c r="AE44" s="1565" t="n"/>
      <c r="AF44" s="1565" t="n"/>
      <c r="AG44" s="1565" t="n"/>
      <c r="AH44" s="1565" t="n"/>
      <c r="AI44" s="1565" t="n"/>
      <c r="AJ44" s="1565" t="n"/>
      <c r="AK44" s="1565" t="n"/>
      <c r="AL44" s="1565" t="n"/>
      <c r="AM44" s="1565" t="n"/>
      <c r="AN44" s="1565" t="n"/>
      <c r="AO44" s="1564">
        <f>SUM(AO37:AO43)</f>
        <v/>
      </c>
      <c r="AP44" s="1566">
        <f>SUM(AP37:AP43)</f>
        <v/>
      </c>
      <c r="AQ44" s="1566" t="n"/>
      <c r="AR44" s="1566" t="n"/>
      <c r="AS44" s="70" t="n"/>
      <c r="AT44" s="1549" t="n"/>
    </row>
    <row r="45">
      <c r="A45" s="1506" t="inlineStr">
        <is>
          <t>ขอบเขต 2</t>
        </is>
      </c>
      <c r="B45" s="71" t="inlineStr">
        <is>
          <t>การใช้ไฟฟ้า โรงงาน/สำนักงาน</t>
        </is>
      </c>
      <c r="C45" s="15" t="inlineStr">
        <is>
          <t>kwh</t>
        </is>
      </c>
      <c r="D45" s="1567">
        <f>'Scope 2.1 Purchased Electricity'!E3+'Scope 2.1 Purchased Electricity'!E7+'Scope 2.1 Purchased Electricity'!E12+'Scope 2.1 Purchased Electricity'!E15</f>
        <v/>
      </c>
      <c r="E45" s="1568" t="n"/>
      <c r="F45" s="1409" t="n"/>
      <c r="G45" s="1409" t="n"/>
      <c r="H45" s="1409" t="n"/>
      <c r="I45" s="1409" t="n"/>
      <c r="J45" s="1409" t="n"/>
      <c r="K45" s="1409" t="n"/>
      <c r="L45" s="1409" t="n"/>
      <c r="M45" s="1409" t="n"/>
      <c r="N45" s="1409" t="n"/>
      <c r="O45" s="1409" t="n"/>
      <c r="P45" s="1410" t="n"/>
      <c r="Q45" s="1569">
        <f>'EF TGO AR5'!H53</f>
        <v/>
      </c>
      <c r="R45" s="1515" t="n"/>
      <c r="S45" s="1515" t="n"/>
      <c r="T45" s="1515" t="n"/>
      <c r="U45" s="1521" t="inlineStr">
        <is>
          <t>/</t>
        </is>
      </c>
      <c r="V45" s="1515" t="n"/>
      <c r="W45" s="1515" t="n"/>
      <c r="X45" s="1515" t="n"/>
      <c r="Y45" s="1515" t="n"/>
      <c r="Z45" s="1540" t="inlineStr">
        <is>
          <t>TGO CFO EF (เมษายน 2565): ไฟฟ้า Grid mix</t>
        </is>
      </c>
      <c r="AA45" s="1570" t="n"/>
      <c r="AB45" s="1409" t="n"/>
      <c r="AC45" s="1409" t="n"/>
      <c r="AD45" s="1409" t="n"/>
      <c r="AE45" s="1409" t="n"/>
      <c r="AF45" s="1409" t="n"/>
      <c r="AG45" s="1409" t="n"/>
      <c r="AH45" s="1409" t="n"/>
      <c r="AI45" s="1409" t="n"/>
      <c r="AJ45" s="1409" t="n"/>
      <c r="AK45" s="1409" t="n"/>
      <c r="AL45" s="1409" t="n"/>
      <c r="AM45" s="1409" t="n"/>
      <c r="AN45" s="1410" t="n"/>
      <c r="AO45" s="1517">
        <f>D45*Q45/1000</f>
        <v/>
      </c>
      <c r="AP45" s="1517">
        <f>AO45/$AO$49</f>
        <v/>
      </c>
      <c r="AQ45" s="1517">
        <f>AO45/$AO$58</f>
        <v/>
      </c>
      <c r="AR45" s="1517">
        <f>AO45/$AO$59</f>
        <v/>
      </c>
      <c r="AS45" s="25" t="n"/>
      <c r="AU45" s="74" t="n"/>
    </row>
    <row r="46">
      <c r="A46" s="1412" t="n"/>
      <c r="B46" s="71" t="inlineStr">
        <is>
          <t>การใช้ไฟฟ้า Solar cell โรงงาน</t>
        </is>
      </c>
      <c r="C46" s="15" t="inlineStr">
        <is>
          <t>kwh</t>
        </is>
      </c>
      <c r="D46" s="1519">
        <f>'Scope 2.1 Purchased Electricity'!E8</f>
        <v/>
      </c>
      <c r="E46" s="1419" t="n"/>
      <c r="P46" s="1420" t="n"/>
      <c r="Q46" s="1571" t="n">
        <v>0</v>
      </c>
      <c r="R46" s="1515" t="n"/>
      <c r="S46" s="1515" t="n"/>
      <c r="T46" s="1515" t="n"/>
      <c r="U46" s="1521" t="inlineStr">
        <is>
          <t>/</t>
        </is>
      </c>
      <c r="V46" s="1515" t="n"/>
      <c r="W46" s="1515" t="n"/>
      <c r="X46" s="1515" t="n"/>
      <c r="Y46" s="1515" t="n"/>
      <c r="Z46" s="1515" t="inlineStr">
        <is>
          <t>ข้อกำหนด TGO</t>
        </is>
      </c>
      <c r="AN46" s="1420" t="n"/>
      <c r="AO46" s="1517">
        <f>D46*Q46/1000</f>
        <v/>
      </c>
      <c r="AP46" s="1517">
        <f>AO46/$AO$49</f>
        <v/>
      </c>
      <c r="AQ46" s="1517">
        <f>AO46/$AO$58</f>
        <v/>
      </c>
      <c r="AR46" s="1517">
        <f>AO46/$AO$59</f>
        <v/>
      </c>
      <c r="AS46" s="1522" t="n"/>
      <c r="AT46" s="1523" t="n"/>
      <c r="AU46" s="1572" t="n"/>
    </row>
    <row r="47">
      <c r="A47" s="1412" t="n"/>
      <c r="B47" s="71" t="n"/>
      <c r="C47" s="15" t="n"/>
      <c r="D47" s="1519" t="n"/>
      <c r="E47" s="1419" t="n"/>
      <c r="P47" s="1420" t="n"/>
      <c r="Q47" s="1571" t="n"/>
      <c r="R47" s="1515" t="n"/>
      <c r="S47" s="1515" t="n"/>
      <c r="T47" s="1515" t="n"/>
      <c r="U47" s="1515" t="n"/>
      <c r="V47" s="1515" t="n"/>
      <c r="W47" s="1515" t="n"/>
      <c r="X47" s="1515" t="n"/>
      <c r="Y47" s="1515" t="n"/>
      <c r="Z47" s="1515" t="n"/>
      <c r="AN47" s="1420" t="n"/>
      <c r="AO47" s="1517">
        <f>D47*Q47/1000</f>
        <v/>
      </c>
      <c r="AP47" s="1517">
        <f>AO47/$AO$49</f>
        <v/>
      </c>
      <c r="AQ47" s="1517">
        <f>AO47/$AO$58</f>
        <v/>
      </c>
      <c r="AR47" s="1517">
        <f>AO47/$AO$59</f>
        <v/>
      </c>
      <c r="AS47" s="25" t="n"/>
    </row>
    <row r="48">
      <c r="A48" s="1412" t="n"/>
      <c r="B48" s="71" t="n"/>
      <c r="C48" s="15" t="n"/>
      <c r="D48" s="1573" t="n"/>
      <c r="E48" s="1413" t="n"/>
      <c r="F48" s="1414" t="n"/>
      <c r="G48" s="1414" t="n"/>
      <c r="H48" s="1414" t="n"/>
      <c r="I48" s="1414" t="n"/>
      <c r="J48" s="1414" t="n"/>
      <c r="K48" s="1414" t="n"/>
      <c r="L48" s="1414" t="n"/>
      <c r="M48" s="1414" t="n"/>
      <c r="N48" s="1414" t="n"/>
      <c r="O48" s="1414" t="n"/>
      <c r="P48" s="830" t="n"/>
      <c r="Q48" s="1574" t="n"/>
      <c r="R48" s="1515" t="n"/>
      <c r="S48" s="1515" t="n"/>
      <c r="T48" s="1515" t="n"/>
      <c r="U48" s="1515" t="n"/>
      <c r="V48" s="1515" t="n"/>
      <c r="W48" s="1515" t="n"/>
      <c r="X48" s="1515" t="n"/>
      <c r="Y48" s="1515" t="n"/>
      <c r="Z48" s="1515" t="n"/>
      <c r="AA48" s="1414" t="n"/>
      <c r="AB48" s="1414" t="n"/>
      <c r="AC48" s="1414" t="n"/>
      <c r="AD48" s="1414" t="n"/>
      <c r="AE48" s="1414" t="n"/>
      <c r="AF48" s="1414" t="n"/>
      <c r="AG48" s="1414" t="n"/>
      <c r="AH48" s="1414" t="n"/>
      <c r="AI48" s="1414" t="n"/>
      <c r="AJ48" s="1414" t="n"/>
      <c r="AK48" s="1414" t="n"/>
      <c r="AL48" s="1414" t="n"/>
      <c r="AM48" s="1414" t="n"/>
      <c r="AN48" s="830" t="n"/>
      <c r="AO48" s="1517" t="n"/>
      <c r="AP48" s="1517">
        <f>AO48/$AO$49</f>
        <v/>
      </c>
      <c r="AQ48" s="1517">
        <f>AO48/$AO$58</f>
        <v/>
      </c>
      <c r="AR48" s="1517">
        <f>AO48/$AO$59</f>
        <v/>
      </c>
      <c r="AS48" s="25" t="n"/>
      <c r="AU48" s="79" t="n"/>
    </row>
    <row r="49">
      <c r="A49" s="1417" t="n"/>
      <c r="B49" s="1575" t="n"/>
      <c r="C49" s="1415" t="n"/>
      <c r="D49" s="1415" t="n"/>
      <c r="E49" s="1415" t="n"/>
      <c r="F49" s="1415" t="n"/>
      <c r="G49" s="1415" t="n"/>
      <c r="H49" s="1415" t="n"/>
      <c r="I49" s="1415" t="n"/>
      <c r="J49" s="1415" t="n"/>
      <c r="K49" s="1415" t="n"/>
      <c r="L49" s="1415" t="n"/>
      <c r="M49" s="1415" t="n"/>
      <c r="N49" s="1415" t="n"/>
      <c r="O49" s="1415" t="n"/>
      <c r="P49" s="1415" t="n"/>
      <c r="Q49" s="1416" t="n"/>
      <c r="R49" s="1109" t="n"/>
      <c r="S49" s="1109" t="n"/>
      <c r="T49" s="1109" t="n"/>
      <c r="U49" s="1109" t="n"/>
      <c r="V49" s="1109" t="n"/>
      <c r="W49" s="1109" t="n"/>
      <c r="X49" s="1109" t="n"/>
      <c r="Y49" s="1109" t="n"/>
      <c r="Z49" s="1109" t="n"/>
      <c r="AA49" s="1564" t="n"/>
      <c r="AB49" s="1564" t="n"/>
      <c r="AC49" s="1564" t="n"/>
      <c r="AD49" s="1564" t="n"/>
      <c r="AE49" s="1564" t="n"/>
      <c r="AF49" s="1564" t="n"/>
      <c r="AG49" s="1564" t="n"/>
      <c r="AH49" s="1564" t="n"/>
      <c r="AI49" s="1564" t="n"/>
      <c r="AJ49" s="1564" t="n"/>
      <c r="AK49" s="1564" t="n"/>
      <c r="AL49" s="1564" t="n"/>
      <c r="AM49" s="1564" t="n"/>
      <c r="AN49" s="1564" t="n"/>
      <c r="AO49" s="1564">
        <f>SUM(AO45:AO48)</f>
        <v/>
      </c>
      <c r="AP49" s="1564">
        <f>SUM(AP45:AP48)</f>
        <v/>
      </c>
      <c r="AQ49" s="1564" t="n"/>
      <c r="AR49" s="1564" t="n"/>
      <c r="AS49" s="80" t="n"/>
    </row>
    <row r="50">
      <c r="A50" s="1506" t="inlineStr">
        <is>
          <t>ขอบเขต 3</t>
        </is>
      </c>
      <c r="B50" s="811" t="inlineStr">
        <is>
          <t>#Cat 1</t>
        </is>
      </c>
      <c r="C50" s="81" t="n"/>
      <c r="D50" s="1576" t="n"/>
      <c r="E50" s="1577" t="n"/>
      <c r="F50" s="1409" t="n"/>
      <c r="G50" s="1409" t="n"/>
      <c r="H50" s="1409" t="n"/>
      <c r="I50" s="1409" t="n"/>
      <c r="J50" s="1409" t="n"/>
      <c r="K50" s="1409" t="n"/>
      <c r="L50" s="1409" t="n"/>
      <c r="M50" s="1409" t="n"/>
      <c r="N50" s="1409" t="n"/>
      <c r="O50" s="1409" t="n"/>
      <c r="P50" s="1409" t="n"/>
      <c r="Q50" s="1578" t="n"/>
      <c r="R50" s="1515" t="n"/>
      <c r="S50" s="1515" t="n"/>
      <c r="T50" s="1515" t="n"/>
      <c r="U50" s="1515" t="n"/>
      <c r="V50" s="1515" t="n"/>
      <c r="W50" s="1515" t="n"/>
      <c r="X50" s="1515" t="n"/>
      <c r="Y50" s="1515" t="n"/>
      <c r="Z50" s="1515" t="n"/>
      <c r="AA50" s="1570" t="n"/>
      <c r="AB50" s="1409" t="n"/>
      <c r="AC50" s="1409" t="n"/>
      <c r="AD50" s="1409" t="n"/>
      <c r="AE50" s="1409" t="n"/>
      <c r="AF50" s="1409" t="n"/>
      <c r="AG50" s="1409" t="n"/>
      <c r="AH50" s="1409" t="n"/>
      <c r="AI50" s="1409" t="n"/>
      <c r="AJ50" s="1409" t="n"/>
      <c r="AK50" s="1409" t="n"/>
      <c r="AL50" s="1409" t="n"/>
      <c r="AM50" s="1409" t="n"/>
      <c r="AN50" s="1410" t="n"/>
      <c r="AO50" s="1517">
        <f>D50*Q50/1000</f>
        <v/>
      </c>
      <c r="AP50" s="1517">
        <f>AO50/$AO$57</f>
        <v/>
      </c>
      <c r="AQ50" s="1517" t="n"/>
      <c r="AR50" s="1517">
        <f>AO50/$AO$59</f>
        <v/>
      </c>
      <c r="AS50" s="25" t="n"/>
    </row>
    <row r="51">
      <c r="A51" s="1412" t="n"/>
      <c r="B51" s="71">
        <f>'Fr-03.2'!C22</f>
        <v/>
      </c>
      <c r="C51" s="83">
        <f>'Screen scope 3'!D3</f>
        <v/>
      </c>
      <c r="D51" s="1579">
        <f>'Screen scope 3'!E3</f>
        <v/>
      </c>
      <c r="E51" s="1419" t="n"/>
      <c r="Q51" s="1580">
        <f>'Screen scope 3'!H3</f>
        <v/>
      </c>
      <c r="R51" s="1515" t="n"/>
      <c r="S51" s="1515" t="n"/>
      <c r="T51" s="1515" t="n"/>
      <c r="U51" s="1521" t="inlineStr">
        <is>
          <t>/</t>
        </is>
      </c>
      <c r="V51" s="1515" t="n"/>
      <c r="W51" s="1515" t="n"/>
      <c r="X51" s="1515" t="n"/>
      <c r="Y51" s="1515" t="n"/>
      <c r="Z51" s="1515">
        <f>'Screen scope 3'!K3</f>
        <v/>
      </c>
      <c r="AN51" s="1420" t="n"/>
      <c r="AO51" s="1517">
        <f>D51*Q51/1000</f>
        <v/>
      </c>
      <c r="AP51" s="1517">
        <f>AO51/$AO$57</f>
        <v/>
      </c>
      <c r="AQ51" s="1517" t="n"/>
      <c r="AR51" s="1517">
        <f>AO51/$AO$59</f>
        <v/>
      </c>
      <c r="AS51" s="1522" t="n"/>
      <c r="AT51" s="1523" t="n"/>
    </row>
    <row r="52">
      <c r="A52" s="1412" t="n"/>
      <c r="B52" s="71">
        <f>'Fr-03.2'!C23</f>
        <v/>
      </c>
      <c r="C52" s="83">
        <f>'Screen scope 3'!D4</f>
        <v/>
      </c>
      <c r="D52" s="1579">
        <f>'Screen scope 3'!E4</f>
        <v/>
      </c>
      <c r="E52" s="1419" t="n"/>
      <c r="Q52" s="1580">
        <f>'Screen scope 3'!H4</f>
        <v/>
      </c>
      <c r="R52" s="1515" t="n"/>
      <c r="S52" s="1515" t="n"/>
      <c r="T52" s="1515" t="n"/>
      <c r="U52" s="1521" t="inlineStr">
        <is>
          <t>/</t>
        </is>
      </c>
      <c r="V52" s="1515" t="n"/>
      <c r="W52" s="1515" t="n"/>
      <c r="X52" s="1515" t="n"/>
      <c r="Y52" s="1515" t="n"/>
      <c r="Z52" s="1515">
        <f>'Screen scope 3'!K4</f>
        <v/>
      </c>
      <c r="AN52" s="1420" t="n"/>
      <c r="AO52" s="1517">
        <f>D52*Q52/1000</f>
        <v/>
      </c>
      <c r="AP52" s="1517">
        <f>AO52/$AO$57</f>
        <v/>
      </c>
      <c r="AQ52" s="1517" t="n"/>
      <c r="AR52" s="1517">
        <f>AO52/$AO$59</f>
        <v/>
      </c>
      <c r="AS52" s="1522" t="n"/>
    </row>
    <row r="53">
      <c r="A53" s="1412" t="n"/>
      <c r="B53" s="71">
        <f>'Fr-03.2'!C24</f>
        <v/>
      </c>
      <c r="C53" s="83">
        <f>'Screen scope 3'!D5</f>
        <v/>
      </c>
      <c r="D53" s="1579">
        <f>'Screen scope 3'!E5</f>
        <v/>
      </c>
      <c r="E53" s="1419" t="n"/>
      <c r="Q53" s="1580">
        <f>'Screen scope 3'!H5</f>
        <v/>
      </c>
      <c r="R53" s="1515" t="n"/>
      <c r="S53" s="1515" t="n"/>
      <c r="T53" s="1515" t="n"/>
      <c r="U53" s="1521" t="inlineStr">
        <is>
          <t>/</t>
        </is>
      </c>
      <c r="V53" s="1515" t="n"/>
      <c r="W53" s="1515" t="n"/>
      <c r="X53" s="1515" t="n"/>
      <c r="Y53" s="1515" t="n"/>
      <c r="Z53" s="1515">
        <f>'Screen scope 3'!K5</f>
        <v/>
      </c>
      <c r="AN53" s="1420" t="n"/>
      <c r="AO53" s="1517">
        <f>D53*Q53/1000</f>
        <v/>
      </c>
      <c r="AP53" s="1517">
        <f>AO53/$AO$57</f>
        <v/>
      </c>
      <c r="AQ53" s="1517" t="n"/>
      <c r="AR53" s="1517">
        <f>AO53/$AO$59</f>
        <v/>
      </c>
      <c r="AS53" s="25" t="n"/>
      <c r="AU53" s="1056" t="n"/>
    </row>
    <row r="54">
      <c r="A54" s="1412" t="n"/>
      <c r="B54" s="71" t="n"/>
      <c r="C54" s="83" t="n"/>
      <c r="D54" s="1579" t="n"/>
      <c r="E54" s="1419" t="n"/>
      <c r="Q54" s="1580" t="n"/>
      <c r="R54" s="1515" t="n"/>
      <c r="S54" s="1515" t="n"/>
      <c r="T54" s="1515" t="n"/>
      <c r="U54" s="1515" t="n"/>
      <c r="V54" s="1515" t="n"/>
      <c r="W54" s="1515" t="n"/>
      <c r="X54" s="1515" t="n"/>
      <c r="Y54" s="1515" t="n"/>
      <c r="Z54" s="1515" t="n"/>
      <c r="AN54" s="1420" t="n"/>
      <c r="AO54" s="1517">
        <f>D54*Q54/1000</f>
        <v/>
      </c>
      <c r="AP54" s="1517">
        <f>AO54/$AO$57</f>
        <v/>
      </c>
      <c r="AQ54" s="1517" t="n"/>
      <c r="AR54" s="1517">
        <f>AO54/$AO$59</f>
        <v/>
      </c>
      <c r="AS54" s="25" t="n"/>
    </row>
    <row r="55">
      <c r="A55" s="1412" t="n"/>
      <c r="B55" s="52" t="n"/>
      <c r="C55" s="83" t="n"/>
      <c r="D55" s="1519" t="n"/>
      <c r="E55" s="1419" t="n"/>
      <c r="Q55" s="1515" t="n"/>
      <c r="R55" s="1515" t="n"/>
      <c r="S55" s="1515" t="n"/>
      <c r="T55" s="1515" t="n"/>
      <c r="U55" s="1515" t="n"/>
      <c r="V55" s="1515" t="n"/>
      <c r="W55" s="1515" t="n"/>
      <c r="X55" s="1515" t="n"/>
      <c r="Y55" s="1515" t="n"/>
      <c r="Z55" s="1515" t="n"/>
      <c r="AN55" s="1420" t="n"/>
      <c r="AO55" s="1517">
        <f>D55*Q55/1000</f>
        <v/>
      </c>
      <c r="AP55" s="1517">
        <f>AO55/$AO$57</f>
        <v/>
      </c>
      <c r="AQ55" s="1517" t="n"/>
      <c r="AR55" s="1517">
        <f>AO55/$AO$59</f>
        <v/>
      </c>
      <c r="AS55" s="25" t="n"/>
    </row>
    <row r="56">
      <c r="A56" s="1412" t="n"/>
      <c r="B56" s="86" t="n"/>
      <c r="C56" s="83" t="n"/>
      <c r="D56" s="1573" t="n"/>
      <c r="E56" s="1413" t="n"/>
      <c r="F56" s="1414" t="n"/>
      <c r="G56" s="1414" t="n"/>
      <c r="H56" s="1414" t="n"/>
      <c r="I56" s="1414" t="n"/>
      <c r="J56" s="1414" t="n"/>
      <c r="K56" s="1414" t="n"/>
      <c r="L56" s="1414" t="n"/>
      <c r="M56" s="1414" t="n"/>
      <c r="N56" s="1414" t="n"/>
      <c r="O56" s="1414" t="n"/>
      <c r="P56" s="1414" t="n"/>
      <c r="Q56" s="1531" t="n"/>
      <c r="R56" s="1515" t="n"/>
      <c r="S56" s="1515" t="n"/>
      <c r="T56" s="1515" t="n"/>
      <c r="U56" s="1515" t="n"/>
      <c r="V56" s="1515" t="n"/>
      <c r="W56" s="1515" t="n"/>
      <c r="X56" s="1515" t="n"/>
      <c r="Y56" s="1515" t="n"/>
      <c r="Z56" s="1515" t="n"/>
      <c r="AA56" s="1414" t="n"/>
      <c r="AB56" s="1414" t="n"/>
      <c r="AC56" s="1414" t="n"/>
      <c r="AD56" s="1414" t="n"/>
      <c r="AE56" s="1414" t="n"/>
      <c r="AF56" s="1414" t="n"/>
      <c r="AG56" s="1414" t="n"/>
      <c r="AH56" s="1414" t="n"/>
      <c r="AI56" s="1414" t="n"/>
      <c r="AJ56" s="1414" t="n"/>
      <c r="AK56" s="1414" t="n"/>
      <c r="AL56" s="1414" t="n"/>
      <c r="AM56" s="1414" t="n"/>
      <c r="AN56" s="830" t="n"/>
      <c r="AO56" s="1517" t="n"/>
      <c r="AP56" s="1517">
        <f>AO56/$AO$57</f>
        <v/>
      </c>
      <c r="AQ56" s="1517" t="n"/>
      <c r="AR56" s="1517">
        <f>AO56/$AO$59</f>
        <v/>
      </c>
      <c r="AS56" s="25" t="n"/>
    </row>
    <row r="57">
      <c r="A57" s="1417" t="n"/>
      <c r="B57" s="1575" t="n"/>
      <c r="C57" s="1415" t="n"/>
      <c r="D57" s="1415" t="n"/>
      <c r="E57" s="1415" t="n"/>
      <c r="F57" s="1415" t="n"/>
      <c r="G57" s="1415" t="n"/>
      <c r="H57" s="1415" t="n"/>
      <c r="I57" s="1415" t="n"/>
      <c r="J57" s="1415" t="n"/>
      <c r="K57" s="1415" t="n"/>
      <c r="L57" s="1415" t="n"/>
      <c r="M57" s="1415" t="n"/>
      <c r="N57" s="1415" t="n"/>
      <c r="O57" s="1415" t="n"/>
      <c r="P57" s="1415" t="n"/>
      <c r="Q57" s="1416" t="n"/>
      <c r="R57" s="1109" t="n"/>
      <c r="S57" s="1109" t="n"/>
      <c r="T57" s="1109" t="n"/>
      <c r="U57" s="1109" t="n"/>
      <c r="V57" s="1109" t="n"/>
      <c r="W57" s="1109" t="n"/>
      <c r="X57" s="1109" t="n"/>
      <c r="Y57" s="1109" t="n"/>
      <c r="Z57" s="1109" t="n"/>
      <c r="AA57" s="1564" t="n"/>
      <c r="AB57" s="1564" t="n"/>
      <c r="AC57" s="1564" t="n"/>
      <c r="AD57" s="1564" t="n"/>
      <c r="AE57" s="1564" t="n"/>
      <c r="AF57" s="1564" t="n"/>
      <c r="AG57" s="1564" t="n"/>
      <c r="AH57" s="1564" t="n"/>
      <c r="AI57" s="1564" t="n"/>
      <c r="AJ57" s="1564" t="n"/>
      <c r="AK57" s="1564" t="n"/>
      <c r="AL57" s="1564" t="n"/>
      <c r="AM57" s="1564" t="n"/>
      <c r="AN57" s="1564" t="n"/>
      <c r="AO57" s="1564">
        <f>SUM(AO50:AO56)</f>
        <v/>
      </c>
      <c r="AP57" s="1566">
        <f>SUM(AP50:AP56)</f>
        <v/>
      </c>
      <c r="AQ57" s="1566" t="n"/>
      <c r="AR57" s="1566" t="n"/>
      <c r="AS57" s="70" t="n"/>
    </row>
    <row r="58">
      <c r="A58" s="87" t="n"/>
      <c r="B58" s="1056" t="n"/>
      <c r="C58" s="88" t="n"/>
      <c r="D58" s="1579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1581">
        <f>AA36+AA49</f>
        <v/>
      </c>
      <c r="AB58" s="1581">
        <f>AB36+AB49</f>
        <v/>
      </c>
      <c r="AC58" s="1581" t="n"/>
      <c r="AD58" s="1581">
        <f>AD36+AD49</f>
        <v/>
      </c>
      <c r="AE58" s="1581">
        <f>AE36+AE49</f>
        <v/>
      </c>
      <c r="AF58" s="1581">
        <f>AF36+AF49</f>
        <v/>
      </c>
      <c r="AG58" s="1581">
        <f>AG36+AG49</f>
        <v/>
      </c>
      <c r="AH58" s="1581" t="n"/>
      <c r="AI58" s="1581">
        <f>AI36+AI49</f>
        <v/>
      </c>
      <c r="AJ58" s="1581">
        <f>AJ36+AJ49</f>
        <v/>
      </c>
      <c r="AK58" s="1581">
        <f>AK36+AK49</f>
        <v/>
      </c>
      <c r="AL58" s="1581">
        <f>AL36+AL49</f>
        <v/>
      </c>
      <c r="AM58" s="1581">
        <f>AM36+AM49</f>
        <v/>
      </c>
      <c r="AN58" s="1581">
        <f>AN36+AN49</f>
        <v/>
      </c>
      <c r="AO58" s="1581">
        <f>AO36+AO49</f>
        <v/>
      </c>
      <c r="AP58" s="1581" t="n"/>
      <c r="AQ58" s="1581">
        <f>SUM(AQ10:AQ35)+SUM(AQ45:AQ48)</f>
        <v/>
      </c>
      <c r="AR58" s="1581">
        <f>SUM(AR10:AR35)+SUM(AR45:AR48)+SUM(AR50:AR56)</f>
        <v/>
      </c>
      <c r="AS58" s="90" t="n"/>
      <c r="AT58" s="1549" t="n"/>
    </row>
    <row r="59">
      <c r="A59" s="87" t="n"/>
      <c r="B59" s="1056" t="n"/>
      <c r="C59" s="88" t="n"/>
      <c r="D59" s="1579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1581">
        <f>AA36+AA49+AA57</f>
        <v/>
      </c>
      <c r="AB59" s="1581">
        <f>AB36+AB49+AB57</f>
        <v/>
      </c>
      <c r="AC59" s="1581" t="n"/>
      <c r="AD59" s="1581">
        <f>AD36+AD49+AD57</f>
        <v/>
      </c>
      <c r="AE59" s="1581">
        <f>AE36+AE49+AE57</f>
        <v/>
      </c>
      <c r="AF59" s="1581">
        <f>AF36+AF49+AF57</f>
        <v/>
      </c>
      <c r="AG59" s="1581">
        <f>AG36+AG49+AG57</f>
        <v/>
      </c>
      <c r="AH59" s="1581" t="n"/>
      <c r="AI59" s="1581">
        <f>AI36+AI49+AI57</f>
        <v/>
      </c>
      <c r="AJ59" s="1581">
        <f>AJ36+AJ49+AJ57</f>
        <v/>
      </c>
      <c r="AK59" s="1581">
        <f>AK36+AK49+AK57</f>
        <v/>
      </c>
      <c r="AL59" s="1581">
        <f>AL36+AL49+AL57</f>
        <v/>
      </c>
      <c r="AM59" s="1581">
        <f>AM36+AM49+AM57</f>
        <v/>
      </c>
      <c r="AN59" s="1581">
        <f>AN36+AN49+AN57</f>
        <v/>
      </c>
      <c r="AO59" s="1581">
        <f>AO36+AO49+AO57</f>
        <v/>
      </c>
      <c r="AP59" s="1581" t="n"/>
      <c r="AQ59" s="1581" t="n"/>
      <c r="AR59" s="1581" t="n"/>
      <c r="AS59" s="90" t="n"/>
      <c r="AT59" s="1549" t="n"/>
    </row>
    <row r="60">
      <c r="A60" s="91" t="inlineStr">
        <is>
          <t>จัดทำโดย</t>
        </is>
      </c>
      <c r="B60" s="1045">
        <f>'Fr-03.1'!B35</f>
        <v/>
      </c>
      <c r="C60" s="1415" t="n"/>
      <c r="D60" s="1415" t="n"/>
      <c r="E60" s="1415" t="n"/>
      <c r="F60" s="1415" t="n"/>
      <c r="G60" s="1415" t="n"/>
      <c r="H60" s="1415" t="n"/>
      <c r="I60" s="1415" t="n"/>
      <c r="J60" s="1415" t="n"/>
      <c r="K60" s="1415" t="n"/>
      <c r="L60" s="1415" t="n"/>
      <c r="M60" s="1415" t="n"/>
      <c r="N60" s="1415" t="n"/>
      <c r="O60" s="1415" t="n"/>
      <c r="P60" s="1415" t="n"/>
      <c r="Q60" s="1415" t="n"/>
      <c r="R60" s="1046" t="n"/>
      <c r="S60" s="1046" t="n"/>
      <c r="T60" s="1046" t="n"/>
      <c r="U60" s="1046" t="n"/>
      <c r="V60" s="1046" t="n"/>
      <c r="W60" s="1046" t="n"/>
      <c r="X60" s="1046" t="n"/>
      <c r="Y60" s="1046" t="n"/>
      <c r="Z60" s="1046" t="n"/>
      <c r="AA60" s="92" t="n"/>
      <c r="AB60" s="92" t="n"/>
      <c r="AC60" s="92" t="n"/>
      <c r="AD60" s="92" t="n"/>
      <c r="AE60" s="92" t="n"/>
      <c r="AF60" s="92" t="n"/>
      <c r="AG60" s="92" t="n"/>
      <c r="AH60" s="92" t="n"/>
      <c r="AI60" s="92" t="n"/>
      <c r="AJ60" s="92" t="n"/>
      <c r="AK60" s="92" t="n"/>
      <c r="AL60" s="92" t="n"/>
      <c r="AM60" s="92" t="n"/>
      <c r="AN60" s="92" t="n"/>
      <c r="AO60" s="92" t="n"/>
      <c r="AP60" s="92" t="n"/>
      <c r="AQ60" s="92" t="n"/>
      <c r="AR60" s="92" t="n"/>
      <c r="AS60" s="816">
        <f t="array" ref="AS60:AU60">'Fr-03.1'!K35:M35</f>
        <v/>
      </c>
      <c r="AT60" t="n">
        <v>0</v>
      </c>
      <c r="AU60" t="n">
        <v>0</v>
      </c>
    </row>
    <row r="61">
      <c r="A61" s="1056" t="n"/>
      <c r="B61" s="1056" t="n"/>
      <c r="C61" s="1263" t="n"/>
      <c r="D61" s="1582" t="n"/>
      <c r="E61" s="1056" t="n"/>
      <c r="F61" s="1056" t="n"/>
      <c r="G61" s="1056" t="n"/>
      <c r="H61" s="1056" t="n"/>
      <c r="I61" s="1056" t="n"/>
      <c r="J61" s="1056" t="n"/>
      <c r="K61" s="1056" t="n"/>
      <c r="L61" s="1056" t="n"/>
      <c r="M61" s="1056" t="n"/>
      <c r="N61" s="1056" t="n"/>
      <c r="O61" s="1056" t="n"/>
      <c r="P61" s="1056" t="n"/>
      <c r="Q61" s="1056" t="n"/>
      <c r="R61" s="1056" t="n"/>
      <c r="S61" s="1056" t="n"/>
      <c r="T61" s="1056" t="n"/>
      <c r="U61" s="1056" t="n"/>
      <c r="V61" s="1056" t="n"/>
      <c r="W61" s="1056" t="n"/>
      <c r="X61" s="1056" t="n"/>
      <c r="Y61" s="1056" t="n"/>
      <c r="Z61" s="1056" t="n"/>
      <c r="AA61" s="1056" t="n"/>
      <c r="AB61" s="1056" t="n"/>
      <c r="AC61" s="1056" t="n"/>
      <c r="AD61" s="1056" t="n"/>
      <c r="AE61" s="1056" t="n"/>
      <c r="AF61" s="1056" t="n"/>
      <c r="AG61" s="1056" t="n"/>
      <c r="AH61" s="1056" t="n"/>
      <c r="AI61" s="1056" t="n"/>
      <c r="AJ61" s="1056" t="n"/>
      <c r="AK61" s="1056" t="n"/>
      <c r="AL61" s="1056" t="n"/>
      <c r="AM61" s="1056" t="n"/>
      <c r="AN61" s="1056" t="n"/>
      <c r="AO61" s="1056" t="n"/>
      <c r="AP61" s="1056" t="n"/>
      <c r="AQ61" s="1056" t="n"/>
      <c r="AR61" s="1056" t="n"/>
      <c r="AS61" s="1056" t="n"/>
      <c r="AT61" s="1583" t="n"/>
    </row>
    <row r="62">
      <c r="B62" s="1056" t="n"/>
    </row>
    <row r="63" ht="19.2" customHeight="1">
      <c r="B63" s="96" t="n"/>
    </row>
    <row r="64" ht="19.2" customHeight="1">
      <c r="B64" s="96" t="n"/>
    </row>
    <row r="65" ht="19.2" customHeight="1">
      <c r="B65" s="96" t="n"/>
    </row>
  </sheetData>
  <mergeCells count="57">
    <mergeCell ref="E36:Q36"/>
    <mergeCell ref="AA6:AF8"/>
    <mergeCell ref="E45:P48"/>
    <mergeCell ref="C6:D8"/>
    <mergeCell ref="B49:Q49"/>
    <mergeCell ref="T7:W7"/>
    <mergeCell ref="S8:S9"/>
    <mergeCell ref="A1:A4"/>
    <mergeCell ref="AA45:AN48"/>
    <mergeCell ref="AO1:AS2"/>
    <mergeCell ref="I4:AA4"/>
    <mergeCell ref="E8:L8"/>
    <mergeCell ref="AS6:AS9"/>
    <mergeCell ref="C3:F3"/>
    <mergeCell ref="R7:S7"/>
    <mergeCell ref="A6:A9"/>
    <mergeCell ref="AU6:AV6"/>
    <mergeCell ref="P8:P9"/>
    <mergeCell ref="AG6:AN8"/>
    <mergeCell ref="A10:A36"/>
    <mergeCell ref="AO4:AQ4"/>
    <mergeCell ref="T8:T9"/>
    <mergeCell ref="E6:N7"/>
    <mergeCell ref="AR4:AS4"/>
    <mergeCell ref="AP6:AP9"/>
    <mergeCell ref="Y6:Y9"/>
    <mergeCell ref="AR6:AR9"/>
    <mergeCell ref="A5:AS5"/>
    <mergeCell ref="C4:F4"/>
    <mergeCell ref="U8:U9"/>
    <mergeCell ref="A50:A57"/>
    <mergeCell ref="W8:W9"/>
    <mergeCell ref="Q6:Q9"/>
    <mergeCell ref="AB3:AD3"/>
    <mergeCell ref="B6:B9"/>
    <mergeCell ref="O6:P7"/>
    <mergeCell ref="O8:O9"/>
    <mergeCell ref="X7:X9"/>
    <mergeCell ref="A37:A44"/>
    <mergeCell ref="AE3:AN3"/>
    <mergeCell ref="A45:A49"/>
    <mergeCell ref="AO6:AO7"/>
    <mergeCell ref="M8:N8"/>
    <mergeCell ref="R6:X6"/>
    <mergeCell ref="B60:Q60"/>
    <mergeCell ref="E50:P56"/>
    <mergeCell ref="V8:V9"/>
    <mergeCell ref="B57:Q57"/>
    <mergeCell ref="R8:R9"/>
    <mergeCell ref="AR3:AS3"/>
    <mergeCell ref="AQ6:AQ9"/>
    <mergeCell ref="I3:AA3"/>
    <mergeCell ref="AA50:AN56"/>
    <mergeCell ref="Z6:Z9"/>
    <mergeCell ref="B1:AN2"/>
    <mergeCell ref="B44:Q44"/>
    <mergeCell ref="AO3:AQ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4"/>
  <sheetViews>
    <sheetView workbookViewId="0">
      <selection activeCell="E35" sqref="E35:Q35"/>
    </sheetView>
  </sheetViews>
  <sheetFormatPr baseColWidth="8" defaultRowHeight="13.8"/>
  <cols>
    <col width="25.09765625" customWidth="1" min="2" max="2"/>
    <col width="13.3984375" bestFit="1" customWidth="1" min="4" max="4"/>
    <col width="11.69921875" customWidth="1" min="15" max="15"/>
    <col width="13.09765625" customWidth="1" min="17" max="17"/>
    <col width="3.09765625" customWidth="1" min="18" max="25"/>
    <col width="16.59765625" customWidth="1" min="26" max="26"/>
    <col width="12.59765625" customWidth="1" min="41" max="44"/>
    <col width="44.59765625" customWidth="1" min="45" max="45"/>
    <col width="2.59765625" customWidth="1" min="46" max="46"/>
    <col width="10.296875" bestFit="1" customWidth="1" min="47" max="47"/>
    <col width="9.3984375" bestFit="1" customWidth="1" min="48" max="48"/>
  </cols>
  <sheetData>
    <row r="1" ht="15" customFormat="1" customHeight="1" s="228">
      <c r="A1" s="1465" t="n"/>
      <c r="B1" s="1584" t="inlineStr">
        <is>
          <t>บัญชีรายการก๊าซเรือนกระจก ปีฐาน (base year)</t>
        </is>
      </c>
      <c r="C1" s="1409" t="n"/>
      <c r="D1" s="1409" t="n"/>
      <c r="E1" s="1409" t="n"/>
      <c r="F1" s="1409" t="n"/>
      <c r="G1" s="1409" t="n"/>
      <c r="H1" s="1409" t="n"/>
      <c r="I1" s="1409" t="n"/>
      <c r="J1" s="1409" t="n"/>
      <c r="K1" s="1409" t="n"/>
      <c r="L1" s="1409" t="n"/>
      <c r="M1" s="1409" t="n"/>
      <c r="N1" s="1409" t="n"/>
      <c r="O1" s="1409" t="n"/>
      <c r="P1" s="1409" t="n"/>
      <c r="Q1" s="1409" t="n"/>
      <c r="R1" s="1409" t="n"/>
      <c r="S1" s="1409" t="n"/>
      <c r="T1" s="1409" t="n"/>
      <c r="U1" s="1409" t="n"/>
      <c r="V1" s="1409" t="n"/>
      <c r="W1" s="1409" t="n"/>
      <c r="X1" s="1409" t="n"/>
      <c r="Y1" s="1409" t="n"/>
      <c r="Z1" s="1409" t="n"/>
      <c r="AA1" s="1409" t="n"/>
      <c r="AB1" s="1409" t="n"/>
      <c r="AC1" s="1409" t="n"/>
      <c r="AD1" s="1409" t="n"/>
      <c r="AE1" s="1409" t="n"/>
      <c r="AF1" s="1409" t="n"/>
      <c r="AG1" s="1409" t="n"/>
      <c r="AH1" s="1409" t="n"/>
      <c r="AI1" s="1409" t="n"/>
      <c r="AJ1" s="1409" t="n"/>
      <c r="AK1" s="1409" t="n"/>
      <c r="AL1" s="1409" t="n"/>
      <c r="AM1" s="1409" t="n"/>
      <c r="AN1" s="1410" t="n"/>
      <c r="AO1" s="1467" t="inlineStr">
        <is>
          <t>TCFO_R_01
Version 04 : 21/2/2020</t>
        </is>
      </c>
      <c r="AP1" s="1409" t="n"/>
      <c r="AQ1" s="1409" t="n"/>
      <c r="AR1" s="1409" t="n"/>
      <c r="AS1" s="1410" t="n"/>
      <c r="BF1" s="236" t="n"/>
      <c r="BG1" s="236" t="n"/>
      <c r="BH1" s="236" t="n"/>
    </row>
    <row r="2" ht="15" customFormat="1" customHeight="1" s="228">
      <c r="A2" s="1412" t="n"/>
      <c r="B2" s="1413" t="n"/>
      <c r="C2" s="1414" t="n"/>
      <c r="D2" s="1414" t="n"/>
      <c r="E2" s="1414" t="n"/>
      <c r="F2" s="1414" t="n"/>
      <c r="G2" s="1414" t="n"/>
      <c r="H2" s="1414" t="n"/>
      <c r="I2" s="1414" t="n"/>
      <c r="J2" s="1414" t="n"/>
      <c r="K2" s="1414" t="n"/>
      <c r="L2" s="1414" t="n"/>
      <c r="M2" s="1414" t="n"/>
      <c r="N2" s="1414" t="n"/>
      <c r="O2" s="1414" t="n"/>
      <c r="P2" s="1414" t="n"/>
      <c r="Q2" s="1414" t="n"/>
      <c r="R2" s="1414" t="n"/>
      <c r="S2" s="1414" t="n"/>
      <c r="T2" s="1414" t="n"/>
      <c r="U2" s="1414" t="n"/>
      <c r="V2" s="1414" t="n"/>
      <c r="W2" s="1414" t="n"/>
      <c r="X2" s="1414" t="n"/>
      <c r="Y2" s="1414" t="n"/>
      <c r="Z2" s="1414" t="n"/>
      <c r="AA2" s="1414" t="n"/>
      <c r="AB2" s="1414" t="n"/>
      <c r="AC2" s="1414" t="n"/>
      <c r="AD2" s="1414" t="n"/>
      <c r="AE2" s="1414" t="n"/>
      <c r="AF2" s="1414" t="n"/>
      <c r="AG2" s="1414" t="n"/>
      <c r="AH2" s="1414" t="n"/>
      <c r="AI2" s="1414" t="n"/>
      <c r="AJ2" s="1414" t="n"/>
      <c r="AK2" s="1414" t="n"/>
      <c r="AL2" s="1414" t="n"/>
      <c r="AM2" s="1414" t="n"/>
      <c r="AN2" s="830" t="n"/>
      <c r="AO2" s="1413" t="n"/>
      <c r="AP2" s="1414" t="n"/>
      <c r="AQ2" s="1414" t="n"/>
      <c r="AR2" s="1414" t="n"/>
      <c r="AS2" s="830" t="n"/>
      <c r="BF2" s="236" t="n"/>
      <c r="BG2" s="236" t="n"/>
      <c r="BH2" s="236" t="n"/>
    </row>
    <row r="3" ht="21.75" customFormat="1" customHeight="1" s="228">
      <c r="A3" s="1412" t="n"/>
      <c r="B3" s="237" t="inlineStr">
        <is>
          <t>ชื่อฟอร์ม</t>
        </is>
      </c>
      <c r="C3" s="1468" t="inlineStr">
        <is>
          <t>บัญชีรายการก๊าซเรือนกระจก</t>
        </is>
      </c>
      <c r="D3" s="1415" t="n"/>
      <c r="E3" s="1415" t="n"/>
      <c r="F3" s="1416" t="n"/>
      <c r="G3" s="1194" t="n"/>
      <c r="H3" s="238" t="inlineStr">
        <is>
          <t>องค์กร</t>
        </is>
      </c>
      <c r="I3" s="1469">
        <f>'Fr-01'!$B$6</f>
        <v/>
      </c>
      <c r="J3" s="1415" t="n"/>
      <c r="K3" s="1415" t="n"/>
      <c r="L3" s="1415" t="n"/>
      <c r="M3" s="1415" t="n"/>
      <c r="N3" s="1415" t="n"/>
      <c r="O3" s="1415" t="n"/>
      <c r="P3" s="1415" t="n"/>
      <c r="Q3" s="1415" t="n"/>
      <c r="R3" s="1415" t="n"/>
      <c r="S3" s="1415" t="n"/>
      <c r="T3" s="1415" t="n"/>
      <c r="U3" s="1415" t="n"/>
      <c r="V3" s="1415" t="n"/>
      <c r="W3" s="1415" t="n"/>
      <c r="X3" s="1415" t="n"/>
      <c r="Y3" s="1415" t="n"/>
      <c r="Z3" s="1415" t="n"/>
      <c r="AA3" s="1416" t="n"/>
      <c r="AB3" s="1470" t="inlineStr">
        <is>
          <t>ปีฐาน</t>
        </is>
      </c>
      <c r="AC3" s="1415" t="n"/>
      <c r="AD3" s="1416" t="n"/>
      <c r="AE3" s="1469">
        <f>'Fr-01'!H38</f>
        <v/>
      </c>
      <c r="AF3" s="1415" t="n"/>
      <c r="AG3" s="1415" t="n"/>
      <c r="AH3" s="1415" t="n"/>
      <c r="AI3" s="1415" t="n"/>
      <c r="AJ3" s="1415" t="n"/>
      <c r="AK3" s="1415" t="n"/>
      <c r="AL3" s="1415" t="n"/>
      <c r="AM3" s="1415" t="n"/>
      <c r="AN3" s="1416" t="n"/>
      <c r="AO3" s="1471" t="inlineStr">
        <is>
          <t xml:space="preserve">หน้าที่ </t>
        </is>
      </c>
      <c r="AP3" s="1415" t="n"/>
      <c r="AQ3" s="1416" t="n"/>
      <c r="AR3" s="1472" t="n">
        <v>5</v>
      </c>
      <c r="AS3" s="1416" t="n"/>
      <c r="BF3" s="236" t="n"/>
      <c r="BG3" s="236" t="n"/>
      <c r="BH3" s="236" t="n"/>
    </row>
    <row r="4" ht="21" customFormat="1" customHeight="1" s="228">
      <c r="A4" s="1417" t="n"/>
      <c r="B4" s="237" t="inlineStr">
        <is>
          <t>รหัสฟอร์ม</t>
        </is>
      </c>
      <c r="C4" s="1468" t="inlineStr">
        <is>
          <t>Fr-04.2</t>
        </is>
      </c>
      <c r="D4" s="1415" t="n"/>
      <c r="E4" s="1415" t="n"/>
      <c r="F4" s="1416" t="n"/>
      <c r="G4" s="1194" t="n"/>
      <c r="H4" s="238" t="inlineStr">
        <is>
          <t>ผู้จัดทำ</t>
        </is>
      </c>
      <c r="I4" s="1473">
        <f>'Fr-01'!$G$4</f>
        <v/>
      </c>
      <c r="J4" s="1415" t="n"/>
      <c r="K4" s="1415" t="n"/>
      <c r="L4" s="1415" t="n"/>
      <c r="M4" s="1415" t="n"/>
      <c r="N4" s="1415" t="n"/>
      <c r="O4" s="1415" t="n"/>
      <c r="P4" s="1415" t="n"/>
      <c r="Q4" s="1415" t="n"/>
      <c r="R4" s="1415" t="n"/>
      <c r="S4" s="1415" t="n"/>
      <c r="T4" s="1415" t="n"/>
      <c r="U4" s="1415" t="n"/>
      <c r="V4" s="1415" t="n"/>
      <c r="W4" s="1415" t="n"/>
      <c r="X4" s="1415" t="n"/>
      <c r="Y4" s="1415" t="n"/>
      <c r="Z4" s="1415" t="n"/>
      <c r="AA4" s="1416" t="n"/>
      <c r="AB4" s="239" t="n"/>
      <c r="AC4" s="241" t="n"/>
      <c r="AD4" s="240" t="n"/>
      <c r="AE4" s="241" t="n"/>
      <c r="AF4" s="241" t="n"/>
      <c r="AG4" s="241" t="n"/>
      <c r="AH4" s="241" t="n"/>
      <c r="AI4" s="241" t="n"/>
      <c r="AJ4" s="241" t="n"/>
      <c r="AK4" s="241" t="n"/>
      <c r="AL4" s="241" t="n"/>
      <c r="AM4" s="241" t="n"/>
      <c r="AN4" s="240" t="n"/>
      <c r="AO4" s="1471" t="inlineStr">
        <is>
          <t>วันที่</t>
        </is>
      </c>
      <c r="AP4" s="1415" t="n"/>
      <c r="AQ4" s="1416" t="n"/>
      <c r="AR4" s="1474">
        <f>'Fr-04.1'!AR4</f>
        <v/>
      </c>
      <c r="AS4" s="1416" t="n"/>
      <c r="BF4" s="236" t="n"/>
      <c r="BG4" s="236" t="n"/>
      <c r="BH4" s="236" t="n"/>
    </row>
    <row r="5">
      <c r="A5" s="1475" t="n"/>
      <c r="B5" s="1415" t="n"/>
      <c r="C5" s="1415" t="n"/>
      <c r="D5" s="1415" t="n"/>
      <c r="E5" s="1415" t="n"/>
      <c r="F5" s="1415" t="n"/>
      <c r="G5" s="1415" t="n"/>
      <c r="H5" s="1415" t="n"/>
      <c r="I5" s="1415" t="n"/>
      <c r="J5" s="1415" t="n"/>
      <c r="K5" s="1415" t="n"/>
      <c r="L5" s="1415" t="n"/>
      <c r="M5" s="1415" t="n"/>
      <c r="N5" s="1415" t="n"/>
      <c r="O5" s="1415" t="n"/>
      <c r="P5" s="1415" t="n"/>
      <c r="Q5" s="1415" t="n"/>
      <c r="R5" s="1415" t="n"/>
      <c r="S5" s="1415" t="n"/>
      <c r="T5" s="1415" t="n"/>
      <c r="U5" s="1415" t="n"/>
      <c r="V5" s="1415" t="n"/>
      <c r="W5" s="1415" t="n"/>
      <c r="X5" s="1415" t="n"/>
      <c r="Y5" s="1415" t="n"/>
      <c r="Z5" s="1415" t="n"/>
      <c r="AA5" s="1415" t="n"/>
      <c r="AB5" s="1415" t="n"/>
      <c r="AC5" s="1415" t="n"/>
      <c r="AD5" s="1415" t="n"/>
      <c r="AE5" s="1415" t="n"/>
      <c r="AF5" s="1415" t="n"/>
      <c r="AG5" s="1415" t="n"/>
      <c r="AH5" s="1415" t="n"/>
      <c r="AI5" s="1415" t="n"/>
      <c r="AJ5" s="1415" t="n"/>
      <c r="AK5" s="1415" t="n"/>
      <c r="AL5" s="1415" t="n"/>
      <c r="AM5" s="1415" t="n"/>
      <c r="AN5" s="1415" t="n"/>
      <c r="AO5" s="1415" t="n"/>
      <c r="AP5" s="1415" t="n"/>
      <c r="AQ5" s="1415" t="n"/>
      <c r="AR5" s="1415" t="n"/>
      <c r="AS5" s="1416" t="n"/>
    </row>
    <row r="6" ht="15" customHeight="1">
      <c r="A6" s="1476" t="inlineStr">
        <is>
          <t>ขอบเขต</t>
        </is>
      </c>
      <c r="B6" s="1477" t="inlineStr">
        <is>
          <t>รายการ</t>
        </is>
      </c>
      <c r="C6" s="1478" t="inlineStr">
        <is>
          <t xml:space="preserve">ค่า LCI </t>
        </is>
      </c>
      <c r="D6" s="1479" t="n"/>
      <c r="E6" s="1480" t="inlineStr">
        <is>
          <t>GHG ที่ต้องรายงานตามข้อกำหนด</t>
        </is>
      </c>
      <c r="F6" s="1409" t="n"/>
      <c r="G6" s="1409" t="n"/>
      <c r="H6" s="1409" t="n"/>
      <c r="I6" s="1409" t="n"/>
      <c r="J6" s="1409" t="n"/>
      <c r="K6" s="1409" t="n"/>
      <c r="L6" s="1409" t="n"/>
      <c r="M6" s="1409" t="n"/>
      <c r="N6" s="1479" t="n"/>
      <c r="O6" s="1480" t="inlineStr">
        <is>
          <t>GHG ที่อยู่นอกข้อกำหนด</t>
        </is>
      </c>
      <c r="P6" s="1479" t="n"/>
      <c r="Q6" s="1481" t="inlineStr">
        <is>
          <t>Total (kgCO2e/หน่วย)</t>
        </is>
      </c>
      <c r="R6" s="1148" t="inlineStr">
        <is>
          <t>ที่มา</t>
        </is>
      </c>
      <c r="S6" s="1415" t="n"/>
      <c r="T6" s="1415" t="n"/>
      <c r="U6" s="1415" t="n"/>
      <c r="V6" s="1415" t="n"/>
      <c r="W6" s="1415" t="n"/>
      <c r="X6" s="1416" t="n"/>
      <c r="Y6" s="1482" t="inlineStr">
        <is>
          <t>Subsitute</t>
        </is>
      </c>
      <c r="Z6" s="1136" t="inlineStr">
        <is>
          <t>แหล่งอ้างอิง</t>
        </is>
      </c>
      <c r="AA6" s="1483" t="inlineStr">
        <is>
          <t>ผลคูณ (Ton GHG)</t>
        </is>
      </c>
      <c r="AB6" s="1409" t="n"/>
      <c r="AC6" s="1409" t="n"/>
      <c r="AD6" s="1409" t="n"/>
      <c r="AE6" s="1409" t="n"/>
      <c r="AF6" s="1479" t="n"/>
      <c r="AG6" s="1484" t="inlineStr">
        <is>
          <t>ผลคูณ (TonCO2e)</t>
        </is>
      </c>
      <c r="AH6" s="1409" t="n"/>
      <c r="AI6" s="1409" t="n"/>
      <c r="AJ6" s="1409" t="n"/>
      <c r="AK6" s="1409" t="n"/>
      <c r="AL6" s="1409" t="n"/>
      <c r="AM6" s="1409" t="n"/>
      <c r="AN6" s="1479" t="n"/>
      <c r="AO6" s="1190" t="inlineStr">
        <is>
          <t>Total GHG</t>
        </is>
      </c>
      <c r="AP6" s="1485" t="inlineStr">
        <is>
          <t>สัดส่วน (%)</t>
        </is>
      </c>
      <c r="AQ6" s="1485" t="inlineStr">
        <is>
          <t>สัดส่วน (%) (SCOPE 1+2)</t>
        </is>
      </c>
      <c r="AR6" s="1485" t="inlineStr">
        <is>
          <t>สัดส่วน (%) (SCOPE 1+2+3)</t>
        </is>
      </c>
      <c r="AS6" s="1585" t="inlineStr">
        <is>
          <t>ระบุความแตกต่างระหว่างการรายงานปริมาณก๊าซเรือนกระจกของปีฐานและปีปัจจุบัน</t>
        </is>
      </c>
      <c r="AU6" s="1487" t="inlineStr">
        <is>
          <t>GWP100</t>
        </is>
      </c>
      <c r="AV6" s="1416" t="n"/>
    </row>
    <row r="7" ht="15" customHeight="1">
      <c r="A7" s="1412" t="n"/>
      <c r="B7" s="1412" t="n"/>
      <c r="C7" s="1419" t="n"/>
      <c r="D7" s="1488" t="n"/>
      <c r="E7" s="1489" t="n"/>
      <c r="F7" s="1490" t="n"/>
      <c r="G7" s="1490" t="n"/>
      <c r="H7" s="1490" t="n"/>
      <c r="I7" s="1490" t="n"/>
      <c r="J7" s="1490" t="n"/>
      <c r="K7" s="1490" t="n"/>
      <c r="L7" s="1490" t="n"/>
      <c r="M7" s="1490" t="n"/>
      <c r="N7" s="1491" t="n"/>
      <c r="O7" s="1489" t="n"/>
      <c r="P7" s="1491" t="n"/>
      <c r="Q7" s="1492" t="n"/>
      <c r="R7" s="1148" t="inlineStr">
        <is>
          <t>1st</t>
        </is>
      </c>
      <c r="S7" s="1416" t="n"/>
      <c r="T7" s="1143" t="inlineStr">
        <is>
          <t>2nd</t>
        </is>
      </c>
      <c r="U7" s="1415" t="n"/>
      <c r="V7" s="1415" t="n"/>
      <c r="W7" s="1415" t="n"/>
      <c r="X7" s="1482" t="inlineStr">
        <is>
          <t>Other</t>
        </is>
      </c>
      <c r="Y7" s="1412" t="n"/>
      <c r="Z7" s="1412" t="n"/>
      <c r="AA7" s="1419" t="n"/>
      <c r="AF7" s="1488" t="n"/>
      <c r="AN7" s="1488" t="n"/>
      <c r="AO7" s="1493" t="n"/>
      <c r="AP7" s="1412" t="n"/>
      <c r="AQ7" s="1412" t="n"/>
      <c r="AR7" s="1412" t="n"/>
      <c r="AS7" s="1412" t="n"/>
      <c r="AT7" s="1494" t="n"/>
      <c r="AU7" s="2" t="inlineStr">
        <is>
          <t>ที่มา</t>
        </is>
      </c>
      <c r="AV7" s="131" t="inlineStr">
        <is>
          <t>IPCC, AR5</t>
        </is>
      </c>
    </row>
    <row r="8" ht="31.5" customHeight="1">
      <c r="A8" s="1412" t="n"/>
      <c r="B8" s="1412" t="n"/>
      <c r="C8" s="1413" t="n"/>
      <c r="D8" s="1495" t="n"/>
      <c r="E8" s="1496" t="inlineStr">
        <is>
          <t>ค่า EF (kg GHG/หน่วย)</t>
        </is>
      </c>
      <c r="F8" s="1497" t="n"/>
      <c r="G8" s="1497" t="n"/>
      <c r="H8" s="1497" t="n"/>
      <c r="I8" s="1497" t="n"/>
      <c r="J8" s="1497" t="n"/>
      <c r="K8" s="1497" t="n"/>
      <c r="L8" s="1498" t="n"/>
      <c r="M8" s="1496" t="inlineStr">
        <is>
          <t>GWP100</t>
        </is>
      </c>
      <c r="N8" s="1498" t="n"/>
      <c r="O8" s="6" t="inlineStr">
        <is>
          <t>ค่า EF (kg GHG/หน่วย)</t>
        </is>
      </c>
      <c r="P8" s="6" t="inlineStr">
        <is>
          <t>GWP100</t>
        </is>
      </c>
      <c r="Q8" s="1492" t="n"/>
      <c r="R8" s="1482" t="inlineStr">
        <is>
          <t>Self collct</t>
        </is>
      </c>
      <c r="S8" s="1499" t="inlineStr">
        <is>
          <t>Supplier</t>
        </is>
      </c>
      <c r="T8" s="1482" t="inlineStr">
        <is>
          <t>TH LCI DB</t>
        </is>
      </c>
      <c r="U8" s="1482" t="inlineStr">
        <is>
          <t>TGO EF</t>
        </is>
      </c>
      <c r="V8" s="1482" t="inlineStr">
        <is>
          <t>Thai Res.</t>
        </is>
      </c>
      <c r="W8" s="1500" t="inlineStr">
        <is>
          <t>Int. DB</t>
        </is>
      </c>
      <c r="X8" s="1412" t="n"/>
      <c r="Y8" s="1412" t="n"/>
      <c r="Z8" s="1412" t="n"/>
      <c r="AA8" s="1501" t="n"/>
      <c r="AB8" s="1490" t="n"/>
      <c r="AC8" s="1490" t="n"/>
      <c r="AD8" s="1490" t="n"/>
      <c r="AE8" s="1490" t="n"/>
      <c r="AF8" s="1491" t="n"/>
      <c r="AG8" s="1490" t="n"/>
      <c r="AH8" s="1490" t="n"/>
      <c r="AI8" s="1490" t="n"/>
      <c r="AJ8" s="1490" t="n"/>
      <c r="AK8" s="1490" t="n"/>
      <c r="AL8" s="1490" t="n"/>
      <c r="AM8" s="1490" t="n"/>
      <c r="AN8" s="1491" t="n"/>
      <c r="AO8" s="1191" t="inlineStr">
        <is>
          <t xml:space="preserve"> (TonCO2e)</t>
        </is>
      </c>
      <c r="AP8" s="1412" t="n"/>
      <c r="AQ8" s="1412" t="n"/>
      <c r="AR8" s="1412" t="n"/>
      <c r="AS8" s="1412" t="n"/>
      <c r="AT8" s="1494" t="n"/>
      <c r="AU8" s="2" t="inlineStr">
        <is>
          <t>CO2</t>
        </is>
      </c>
      <c r="AV8" s="2" t="n">
        <v>1</v>
      </c>
    </row>
    <row r="9">
      <c r="A9" s="1417" t="n"/>
      <c r="B9" s="1417" t="n"/>
      <c r="C9" s="4" t="inlineStr">
        <is>
          <t>หน่วย</t>
        </is>
      </c>
      <c r="D9" s="1503" t="inlineStr">
        <is>
          <t>ปริมาณ</t>
        </is>
      </c>
      <c r="E9" s="6" t="inlineStr">
        <is>
          <t>CO2</t>
        </is>
      </c>
      <c r="F9" s="7" t="inlineStr">
        <is>
          <t xml:space="preserve">Fossil CH4 </t>
        </is>
      </c>
      <c r="G9" s="7" t="inlineStr">
        <is>
          <t>CH4</t>
        </is>
      </c>
      <c r="H9" s="6" t="inlineStr">
        <is>
          <t>N2O</t>
        </is>
      </c>
      <c r="I9" s="8" t="inlineStr">
        <is>
          <t>SF6</t>
        </is>
      </c>
      <c r="J9" s="7" t="inlineStr">
        <is>
          <t>NF3</t>
        </is>
      </c>
      <c r="K9" s="7" t="inlineStr">
        <is>
          <t>HFCs</t>
        </is>
      </c>
      <c r="L9" s="7" t="inlineStr">
        <is>
          <t>PFCs</t>
        </is>
      </c>
      <c r="M9" s="7" t="inlineStr">
        <is>
          <t>HFCs</t>
        </is>
      </c>
      <c r="N9" s="7" t="inlineStr">
        <is>
          <t>PFCs</t>
        </is>
      </c>
      <c r="O9" s="1504" t="n"/>
      <c r="P9" s="1504" t="n"/>
      <c r="Q9" s="1505" t="n"/>
      <c r="R9" s="1417" t="n"/>
      <c r="S9" s="830" t="n"/>
      <c r="T9" s="1417" t="n"/>
      <c r="U9" s="1417" t="n"/>
      <c r="V9" s="1417" t="n"/>
      <c r="W9" s="1413" t="n"/>
      <c r="X9" s="1417" t="n"/>
      <c r="Y9" s="1417" t="n"/>
      <c r="Z9" s="1412" t="n"/>
      <c r="AA9" s="9" t="inlineStr">
        <is>
          <t>CO2</t>
        </is>
      </c>
      <c r="AB9" s="10" t="inlineStr">
        <is>
          <t xml:space="preserve">Fossil CH4 </t>
        </is>
      </c>
      <c r="AC9" s="10" t="inlineStr">
        <is>
          <t>CH4</t>
        </is>
      </c>
      <c r="AD9" s="11" t="inlineStr">
        <is>
          <t>N2O</t>
        </is>
      </c>
      <c r="AE9" s="11" t="inlineStr">
        <is>
          <t>SF6</t>
        </is>
      </c>
      <c r="AF9" s="12" t="inlineStr">
        <is>
          <t>NF3</t>
        </is>
      </c>
      <c r="AG9" s="10" t="inlineStr">
        <is>
          <t xml:space="preserve">Fossil CH4 </t>
        </is>
      </c>
      <c r="AH9" s="10" t="inlineStr">
        <is>
          <t>CH4</t>
        </is>
      </c>
      <c r="AI9" s="11" t="inlineStr">
        <is>
          <t>N2O</t>
        </is>
      </c>
      <c r="AJ9" s="11" t="inlineStr">
        <is>
          <t>SF6</t>
        </is>
      </c>
      <c r="AK9" s="11" t="inlineStr">
        <is>
          <t>NF3</t>
        </is>
      </c>
      <c r="AL9" s="11" t="inlineStr">
        <is>
          <t>HFCs</t>
        </is>
      </c>
      <c r="AM9" s="11" t="inlineStr">
        <is>
          <t>PFCs</t>
        </is>
      </c>
      <c r="AN9" s="11" t="inlineStr">
        <is>
          <t>Other</t>
        </is>
      </c>
      <c r="AO9" s="13" t="n"/>
      <c r="AP9" s="1417" t="n"/>
      <c r="AQ9" s="1417" t="n"/>
      <c r="AR9" s="1417" t="n"/>
      <c r="AS9" s="1417" t="n"/>
      <c r="AU9" s="2" t="inlineStr">
        <is>
          <t xml:space="preserve">Fossil CH4 </t>
        </is>
      </c>
      <c r="AV9" s="1502" t="n">
        <v>30</v>
      </c>
    </row>
    <row r="10">
      <c r="A10" s="1506" t="inlineStr">
        <is>
          <t>ขอบเขต 1</t>
        </is>
      </c>
      <c r="B10" s="14">
        <f>'Fr-04.1'!B10</f>
        <v/>
      </c>
      <c r="C10" s="15" t="n"/>
      <c r="D10" s="1507" t="n"/>
      <c r="E10" s="1509" t="n"/>
      <c r="F10" s="1509" t="n"/>
      <c r="G10" s="1509" t="n"/>
      <c r="H10" s="1509" t="n"/>
      <c r="I10" s="1509" t="n"/>
      <c r="J10" s="1509" t="n"/>
      <c r="K10" s="1509" t="n"/>
      <c r="L10" s="1509" t="n"/>
      <c r="M10" s="1510" t="n"/>
      <c r="N10" s="1511" t="n"/>
      <c r="O10" s="1512" t="n"/>
      <c r="P10" s="1513" t="n"/>
      <c r="Q10" s="1514">
        <f>(E10*$AV$8)+(F10*$AV$9)+(G10*$AV$10)+(H10*$AV$11)+(I10*$AV$12)+(J10*$AV$13)+(K10*M10)+(L10*N10)</f>
        <v/>
      </c>
      <c r="R10" s="1515" t="n"/>
      <c r="S10" s="1515" t="n"/>
      <c r="T10" s="1515" t="n"/>
      <c r="U10" s="1515" t="n"/>
      <c r="V10" s="1515" t="n"/>
      <c r="W10" s="1515" t="n"/>
      <c r="X10" s="1515" t="n"/>
      <c r="Y10" s="1515" t="n"/>
      <c r="Z10" s="1515" t="n"/>
      <c r="AA10" s="1517">
        <f>D10*E10/1000</f>
        <v/>
      </c>
      <c r="AB10" s="1517">
        <f>D10*F10/1000</f>
        <v/>
      </c>
      <c r="AC10" s="1517">
        <f>D10*G10/1000</f>
        <v/>
      </c>
      <c r="AD10" s="1517">
        <f>D10*H10/1000</f>
        <v/>
      </c>
      <c r="AE10" s="1517">
        <f>D10*I10/1000</f>
        <v/>
      </c>
      <c r="AF10" s="1517">
        <f>D10*J10/1000</f>
        <v/>
      </c>
      <c r="AG10" s="1517">
        <f>D10*F10*$AV$9/1000</f>
        <v/>
      </c>
      <c r="AH10" s="1517">
        <f>D10*G10*$AV$10/1000</f>
        <v/>
      </c>
      <c r="AI10" s="1517">
        <f>D10*H10*$AV$11/1000</f>
        <v/>
      </c>
      <c r="AJ10" s="1517">
        <f>D10*I10*$AV$12/1000</f>
        <v/>
      </c>
      <c r="AK10" s="1517">
        <f>D10*J10*$AV$13/1000</f>
        <v/>
      </c>
      <c r="AL10" s="1517">
        <f>D10*K10*M10/1000</f>
        <v/>
      </c>
      <c r="AM10" s="1517">
        <f>D10*L10*N10/1000</f>
        <v/>
      </c>
      <c r="AN10" s="1518" t="n"/>
      <c r="AO10" s="1517">
        <f>D10*Q10/1000</f>
        <v/>
      </c>
      <c r="AP10" s="1517">
        <f>AO10/$AO$35</f>
        <v/>
      </c>
      <c r="AQ10" s="1517">
        <f>AO10/$AO$57</f>
        <v/>
      </c>
      <c r="AR10" s="1517">
        <f>AO10/$AO$58</f>
        <v/>
      </c>
      <c r="AS10" s="25" t="n"/>
      <c r="AU10" s="2" t="inlineStr">
        <is>
          <t>CH4</t>
        </is>
      </c>
      <c r="AV10" s="1502" t="n">
        <v>28</v>
      </c>
    </row>
    <row r="11">
      <c r="A11" s="1412" t="n"/>
      <c r="B11" s="26">
        <f>'Fr-04.1'!B11</f>
        <v/>
      </c>
      <c r="C11" s="15">
        <f>'Fr-04.1'!C11</f>
        <v/>
      </c>
      <c r="D11" s="1519">
        <f>'Fr-04.1'!D11</f>
        <v/>
      </c>
      <c r="E11" s="1515">
        <f>'EF TGO AR5'!D11</f>
        <v/>
      </c>
      <c r="F11" s="1515">
        <f>'EF TGO AR5'!E11</f>
        <v/>
      </c>
      <c r="G11" s="1515">
        <f>'EF TGO AR5'!F11</f>
        <v/>
      </c>
      <c r="H11" s="1515">
        <f>'EF TGO AR5'!G11</f>
        <v/>
      </c>
      <c r="I11" s="1515" t="n"/>
      <c r="J11" s="1515" t="n"/>
      <c r="K11" s="1515" t="n"/>
      <c r="L11" s="1515" t="n"/>
      <c r="M11" s="1510" t="n"/>
      <c r="N11" s="1511" t="n"/>
      <c r="O11" s="1520" t="n"/>
      <c r="P11" s="1513" t="n"/>
      <c r="Q11" s="1514">
        <f>(E11*$AV$8)+(F11*$AV$9)+(G11*$AV$10)+(H11*$AV$11)+(I11*$AV$12)+(J11*$AV$13)+(K11*M11)+(L11*N11)</f>
        <v/>
      </c>
      <c r="R11" s="1515" t="n"/>
      <c r="S11" s="1515" t="n"/>
      <c r="T11" s="1515" t="n"/>
      <c r="U11" s="1521" t="inlineStr">
        <is>
          <t>/</t>
        </is>
      </c>
      <c r="V11" s="1515" t="n"/>
      <c r="W11" s="1515" t="n"/>
      <c r="X11" s="1515" t="n"/>
      <c r="Y11" s="1515" t="n"/>
      <c r="Z11" s="1515">
        <f>'Fr-04.1'!Z11</f>
        <v/>
      </c>
      <c r="AA11" s="1517">
        <f>D11*E11/1000</f>
        <v/>
      </c>
      <c r="AB11" s="1517">
        <f>D11*F11/1000</f>
        <v/>
      </c>
      <c r="AC11" s="1517">
        <f>D11*G11/1000</f>
        <v/>
      </c>
      <c r="AD11" s="1517">
        <f>D11*H11/1000</f>
        <v/>
      </c>
      <c r="AE11" s="1517">
        <f>D11*I11/1000</f>
        <v/>
      </c>
      <c r="AF11" s="1517">
        <f>D11*J11/1000</f>
        <v/>
      </c>
      <c r="AG11" s="1517">
        <f>D11*F11*$AV$9/1000</f>
        <v/>
      </c>
      <c r="AH11" s="1517">
        <f>D11*G11*$AV$10/1000</f>
        <v/>
      </c>
      <c r="AI11" s="1517">
        <f>D11*H11*$AV$11/1000</f>
        <v/>
      </c>
      <c r="AJ11" s="1517">
        <f>D11*I11*$AV$12/1000</f>
        <v/>
      </c>
      <c r="AK11" s="1517">
        <f>D11*J11*$AV$13/1000</f>
        <v/>
      </c>
      <c r="AL11" s="1517">
        <f>D11*K11*M11/1000</f>
        <v/>
      </c>
      <c r="AM11" s="1517">
        <f>D11*L11*N11/1000</f>
        <v/>
      </c>
      <c r="AN11" s="1518" t="n"/>
      <c r="AO11" s="1517">
        <f>D11*Q11/1000</f>
        <v/>
      </c>
      <c r="AP11" s="1517">
        <f>AO11/$AO$35</f>
        <v/>
      </c>
      <c r="AQ11" s="1517">
        <f>AO11/$AO$57</f>
        <v/>
      </c>
      <c r="AR11" s="1517">
        <f>AO11/$AO$58</f>
        <v/>
      </c>
      <c r="AS11" s="1522" t="n"/>
      <c r="AT11" s="1523" t="n"/>
      <c r="AU11" s="2" t="inlineStr">
        <is>
          <t>N2O</t>
        </is>
      </c>
      <c r="AV11" s="2" t="n">
        <v>265</v>
      </c>
    </row>
    <row r="12">
      <c r="A12" s="1412" t="n"/>
      <c r="B12" s="26">
        <f>'Fr-04.1'!B12</f>
        <v/>
      </c>
      <c r="C12" s="15">
        <f>'Fr-04.1'!C12</f>
        <v/>
      </c>
      <c r="D12" s="1519">
        <f>'Fr-04.1'!D12</f>
        <v/>
      </c>
      <c r="E12" s="1515">
        <f>'EF TGO AR5'!D17</f>
        <v/>
      </c>
      <c r="F12" s="1515">
        <f>'EF TGO AR5'!E17</f>
        <v/>
      </c>
      <c r="G12" s="1515">
        <f>'EF TGO AR5'!F17</f>
        <v/>
      </c>
      <c r="H12" s="1515">
        <f>'EF TGO AR5'!G17</f>
        <v/>
      </c>
      <c r="I12" s="1515" t="n"/>
      <c r="J12" s="1515" t="n"/>
      <c r="K12" s="1515" t="n"/>
      <c r="L12" s="1515" t="n"/>
      <c r="M12" s="1510" t="n"/>
      <c r="N12" s="1511" t="n"/>
      <c r="O12" s="1520" t="n"/>
      <c r="P12" s="1513" t="n"/>
      <c r="Q12" s="1514">
        <f>(E12*$AV$8)+(F12*$AV$9)+(G12*$AV$10)+(H12*$AV$11)+(I12*$AV$12)+(J12*$AV$13)+(K12*M12)+(L12*N12)</f>
        <v/>
      </c>
      <c r="R12" s="1515" t="n"/>
      <c r="S12" s="1515" t="n"/>
      <c r="T12" s="1515" t="n"/>
      <c r="U12" s="1521" t="inlineStr">
        <is>
          <t>/</t>
        </is>
      </c>
      <c r="V12" s="1515" t="n"/>
      <c r="W12" s="1515" t="n"/>
      <c r="X12" s="1515" t="n"/>
      <c r="Y12" s="1515" t="n"/>
      <c r="Z12" s="1515">
        <f>'Fr-04.1'!Z12</f>
        <v/>
      </c>
      <c r="AA12" s="1517">
        <f>D12*E12/1000</f>
        <v/>
      </c>
      <c r="AB12" s="1517">
        <f>D12*F12/1000</f>
        <v/>
      </c>
      <c r="AC12" s="1517">
        <f>D12*G12/1000</f>
        <v/>
      </c>
      <c r="AD12" s="1517">
        <f>D12*H12/1000</f>
        <v/>
      </c>
      <c r="AE12" s="1517">
        <f>D12*I12/1000</f>
        <v/>
      </c>
      <c r="AF12" s="1517">
        <f>D12*J12/1000</f>
        <v/>
      </c>
      <c r="AG12" s="1517">
        <f>D12*F12*$AV$9/1000</f>
        <v/>
      </c>
      <c r="AH12" s="1517">
        <f>D12*G12*$AV$10/1000</f>
        <v/>
      </c>
      <c r="AI12" s="1517">
        <f>D12*H12*$AV$11/1000</f>
        <v/>
      </c>
      <c r="AJ12" s="1517">
        <f>D12*I12*$AV$12/1000</f>
        <v/>
      </c>
      <c r="AK12" s="1517">
        <f>D12*J12*$AV$13/1000</f>
        <v/>
      </c>
      <c r="AL12" s="1517">
        <f>D12*K12*M12/1000</f>
        <v/>
      </c>
      <c r="AM12" s="1517">
        <f>D12*L12*N12/1000</f>
        <v/>
      </c>
      <c r="AN12" s="1518" t="n"/>
      <c r="AO12" s="1517">
        <f>D12*Q12/1000</f>
        <v/>
      </c>
      <c r="AP12" s="1517">
        <f>AO12/$AO$35</f>
        <v/>
      </c>
      <c r="AQ12" s="1517">
        <f>AO12/$AO$57</f>
        <v/>
      </c>
      <c r="AR12" s="1517">
        <f>AO12/$AO$58</f>
        <v/>
      </c>
      <c r="AS12" s="1522" t="n"/>
      <c r="AT12" s="1523" t="n"/>
      <c r="AU12" s="2" t="inlineStr">
        <is>
          <t>SF6</t>
        </is>
      </c>
      <c r="AV12" s="2" t="n">
        <v>23500</v>
      </c>
    </row>
    <row r="13">
      <c r="A13" s="1412" t="n"/>
      <c r="B13" s="26">
        <f>'Fr-04.1'!B13</f>
        <v/>
      </c>
      <c r="C13" s="15">
        <f>'Fr-04.1'!C13</f>
        <v/>
      </c>
      <c r="D13" s="1519">
        <f>'Fr-04.1'!D13</f>
        <v/>
      </c>
      <c r="E13" s="1515">
        <f>'EF (1)'!B9</f>
        <v/>
      </c>
      <c r="F13" s="1515" t="n"/>
      <c r="G13" s="1515" t="n"/>
      <c r="H13" s="1515" t="n"/>
      <c r="I13" s="1515" t="n"/>
      <c r="J13" s="1515" t="n"/>
      <c r="K13" s="1515" t="n"/>
      <c r="L13" s="1515" t="n"/>
      <c r="M13" s="1510" t="n"/>
      <c r="N13" s="1511" t="n"/>
      <c r="O13" s="1520" t="n"/>
      <c r="P13" s="1513" t="n"/>
      <c r="Q13" s="1514">
        <f>(E13*$AV$8)+(F13*$AV$9)+(G13*$AV$10)+(H13*$AV$11)+(I13*$AV$12)+(J13*$AV$13)+(K13*M13)+(L13*N13)</f>
        <v/>
      </c>
      <c r="R13" s="1515" t="n"/>
      <c r="S13" s="1515" t="n"/>
      <c r="T13" s="1515" t="n"/>
      <c r="U13" s="1515" t="n"/>
      <c r="V13" s="1515" t="n"/>
      <c r="W13" s="1515" t="n"/>
      <c r="X13" s="1521" t="inlineStr">
        <is>
          <t>/</t>
        </is>
      </c>
      <c r="Y13" s="1515" t="n"/>
      <c r="Z13" s="1515">
        <f>'Fr-04.1'!Z13</f>
        <v/>
      </c>
      <c r="AA13" s="1517">
        <f>D13*E13/1000</f>
        <v/>
      </c>
      <c r="AB13" s="1517">
        <f>D13*F13/1000</f>
        <v/>
      </c>
      <c r="AC13" s="1517">
        <f>D13*G13/1000</f>
        <v/>
      </c>
      <c r="AD13" s="1517">
        <f>D13*H13/1000</f>
        <v/>
      </c>
      <c r="AE13" s="1517">
        <f>D13*I13/1000</f>
        <v/>
      </c>
      <c r="AF13" s="1517">
        <f>D13*J13/1000</f>
        <v/>
      </c>
      <c r="AG13" s="1517">
        <f>D13*F13*$AV$9/1000</f>
        <v/>
      </c>
      <c r="AH13" s="1517">
        <f>D13*G13*$AV$10/1000</f>
        <v/>
      </c>
      <c r="AI13" s="1517">
        <f>D13*H13*$AV$11/1000</f>
        <v/>
      </c>
      <c r="AJ13" s="1517">
        <f>D13*I13*$AV$12/1000</f>
        <v/>
      </c>
      <c r="AK13" s="1517">
        <f>D13*J13*$AV$13/1000</f>
        <v/>
      </c>
      <c r="AL13" s="1517">
        <f>D13*K13*M13/1000</f>
        <v/>
      </c>
      <c r="AM13" s="1517">
        <f>D13*L13*N13/1000</f>
        <v/>
      </c>
      <c r="AN13" s="1518" t="n"/>
      <c r="AO13" s="1517">
        <f>D13*Q13/1000</f>
        <v/>
      </c>
      <c r="AP13" s="1517">
        <f>AO13/$AO$35</f>
        <v/>
      </c>
      <c r="AQ13" s="1517">
        <f>AO13/$AO$57</f>
        <v/>
      </c>
      <c r="AR13" s="1517">
        <f>AO13/$AO$58</f>
        <v/>
      </c>
      <c r="AS13" s="1524" t="n"/>
      <c r="AT13" s="1523" t="n"/>
      <c r="AU13" s="2" t="inlineStr">
        <is>
          <t>NF3</t>
        </is>
      </c>
      <c r="AV13" s="2" t="n">
        <v>16100</v>
      </c>
    </row>
    <row r="14">
      <c r="A14" s="1412" t="n"/>
      <c r="B14" s="26">
        <f>'Fr-04.1'!B14</f>
        <v/>
      </c>
      <c r="C14" s="15">
        <f>'Fr-04.1'!C14</f>
        <v/>
      </c>
      <c r="D14" s="1519">
        <f>'Fr-04.1'!D14</f>
        <v/>
      </c>
      <c r="E14" s="1515" t="n"/>
      <c r="F14" s="1515" t="n"/>
      <c r="G14" s="1515">
        <f>'EF (1)'!F28*'EF (1)'!D28</f>
        <v/>
      </c>
      <c r="H14" s="1515">
        <f>'EF (1)'!F28*'EF (1)'!E28</f>
        <v/>
      </c>
      <c r="I14" s="1515" t="n"/>
      <c r="J14" s="1515" t="n"/>
      <c r="K14" s="1515" t="n"/>
      <c r="L14" s="1515" t="n"/>
      <c r="M14" s="1510" t="n"/>
      <c r="N14" s="1511" t="n"/>
      <c r="O14" s="1520" t="n"/>
      <c r="P14" s="1513" t="n"/>
      <c r="Q14" s="1514">
        <f>(E14*$AV$8)+(F14*$AV$9)+(G14*$AV$10)+(H14*$AV$11)+(I14*$AV$12)+(J14*$AV$13)+(K14*M14)+(L14*N14)</f>
        <v/>
      </c>
      <c r="R14" s="1515" t="n"/>
      <c r="S14" s="1515" t="n"/>
      <c r="T14" s="1515" t="n"/>
      <c r="U14" s="1515" t="n"/>
      <c r="V14" s="1515" t="n"/>
      <c r="W14" s="1521" t="inlineStr">
        <is>
          <t>/</t>
        </is>
      </c>
      <c r="X14" s="1515" t="n"/>
      <c r="Y14" s="1515" t="n"/>
      <c r="Z14" s="1515">
        <f>'Fr-04.1'!Z14</f>
        <v/>
      </c>
      <c r="AA14" s="1517">
        <f>D14*E14/1000</f>
        <v/>
      </c>
      <c r="AB14" s="1517">
        <f>D14*F14/1000</f>
        <v/>
      </c>
      <c r="AC14" s="1517">
        <f>D14*G14/1000</f>
        <v/>
      </c>
      <c r="AD14" s="1517">
        <f>D14*H14/1000</f>
        <v/>
      </c>
      <c r="AE14" s="1517">
        <f>D14*I14/1000</f>
        <v/>
      </c>
      <c r="AF14" s="1517">
        <f>D14*J14/1000</f>
        <v/>
      </c>
      <c r="AG14" s="1517">
        <f>D14*F14*$AV$9/1000</f>
        <v/>
      </c>
      <c r="AH14" s="1517">
        <f>D14*G14*$AV$10/1000</f>
        <v/>
      </c>
      <c r="AI14" s="1517">
        <f>D14*H14*$AV$11/1000</f>
        <v/>
      </c>
      <c r="AJ14" s="1517">
        <f>D14*I14*$AV$12/1000</f>
        <v/>
      </c>
      <c r="AK14" s="1517">
        <f>D14*J14*$AV$13/1000</f>
        <v/>
      </c>
      <c r="AL14" s="1517">
        <f>D14*K14*M14/1000</f>
        <v/>
      </c>
      <c r="AM14" s="1517">
        <f>D14*L14*N14/1000</f>
        <v/>
      </c>
      <c r="AN14" s="1518" t="n"/>
      <c r="AO14" s="1517">
        <f>D14*Q14/1000</f>
        <v/>
      </c>
      <c r="AP14" s="1517">
        <f>AO14/$AO$35</f>
        <v/>
      </c>
      <c r="AQ14" s="1517">
        <f>AO14/$AO$57</f>
        <v/>
      </c>
      <c r="AR14" s="1517">
        <f>AO14/$AO$58</f>
        <v/>
      </c>
      <c r="AS14" s="1522" t="n"/>
      <c r="AT14" s="1523" t="n"/>
    </row>
    <row r="15">
      <c r="A15" s="1412" t="n"/>
      <c r="B15" s="26">
        <f>'Fr-04.1'!B15</f>
        <v/>
      </c>
      <c r="C15" s="15">
        <f>'Fr-04.1'!C15</f>
        <v/>
      </c>
      <c r="D15" s="1519">
        <f>'Fr-04.1'!D15</f>
        <v/>
      </c>
      <c r="E15" s="1515" t="n"/>
      <c r="F15" s="1515" t="n"/>
      <c r="G15" s="1515">
        <f>'EF (1)'!F29*'EF (1)'!D29</f>
        <v/>
      </c>
      <c r="H15" s="1515">
        <f>'EF (1)'!F29*'EF (1)'!E29</f>
        <v/>
      </c>
      <c r="I15" s="1515" t="n"/>
      <c r="J15" s="1515" t="n"/>
      <c r="K15" s="1515" t="n"/>
      <c r="L15" s="1515" t="n"/>
      <c r="M15" s="1510" t="n"/>
      <c r="N15" s="1511" t="n"/>
      <c r="O15" s="1520" t="n"/>
      <c r="P15" s="1513" t="n"/>
      <c r="Q15" s="1514">
        <f>(E15*$AV$8)+(F15*$AV$9)+(G15*$AV$10)+(H15*$AV$11)+(I15*$AV$12)+(J15*$AV$13)+(K15*M15)+(L15*N15)</f>
        <v/>
      </c>
      <c r="R15" s="1515" t="n"/>
      <c r="S15" s="1515" t="n"/>
      <c r="T15" s="1515" t="n"/>
      <c r="U15" s="1515" t="n"/>
      <c r="V15" s="1515" t="n"/>
      <c r="W15" s="1521" t="inlineStr">
        <is>
          <t>/</t>
        </is>
      </c>
      <c r="X15" s="1515" t="n"/>
      <c r="Y15" s="1515" t="n"/>
      <c r="Z15" s="1515">
        <f>'Fr-04.1'!Z15</f>
        <v/>
      </c>
      <c r="AA15" s="1517">
        <f>D15*E15/1000</f>
        <v/>
      </c>
      <c r="AB15" s="1517">
        <f>D15*F15/1000</f>
        <v/>
      </c>
      <c r="AC15" s="1517">
        <f>D15*G15/1000</f>
        <v/>
      </c>
      <c r="AD15" s="1517">
        <f>D15*H15/1000</f>
        <v/>
      </c>
      <c r="AE15" s="1517">
        <f>D15*I15/1000</f>
        <v/>
      </c>
      <c r="AF15" s="1517">
        <f>D15*J15/1000</f>
        <v/>
      </c>
      <c r="AG15" s="1517">
        <f>D15*F15*$AV$9/1000</f>
        <v/>
      </c>
      <c r="AH15" s="1517">
        <f>D15*G15*$AV$10/1000</f>
        <v/>
      </c>
      <c r="AI15" s="1517">
        <f>D15*H15*$AV$11/1000</f>
        <v/>
      </c>
      <c r="AJ15" s="1517">
        <f>D15*I15*$AV$12/1000</f>
        <v/>
      </c>
      <c r="AK15" s="1517">
        <f>D15*J15*$AV$13/1000</f>
        <v/>
      </c>
      <c r="AL15" s="1517">
        <f>D15*K15*M15/1000</f>
        <v/>
      </c>
      <c r="AM15" s="1517">
        <f>D15*L15*N15/1000</f>
        <v/>
      </c>
      <c r="AN15" s="1518" t="n"/>
      <c r="AO15" s="1517">
        <f>D15*Q15/1000</f>
        <v/>
      </c>
      <c r="AP15" s="1517">
        <f>AO15/$AO$35</f>
        <v/>
      </c>
      <c r="AQ15" s="1517">
        <f>AO15/$AO$57</f>
        <v/>
      </c>
      <c r="AR15" s="1517">
        <f>AO15/$AO$58</f>
        <v/>
      </c>
      <c r="AS15" s="1522" t="n"/>
      <c r="AT15" s="1523" t="n"/>
    </row>
    <row r="16">
      <c r="A16" s="1412" t="n"/>
      <c r="B16" s="14">
        <f>'Fr-04.1'!B16</f>
        <v/>
      </c>
      <c r="C16" s="15" t="n"/>
      <c r="D16" s="1519" t="n"/>
      <c r="E16" s="1515" t="n"/>
      <c r="F16" s="1515" t="n"/>
      <c r="G16" s="1515" t="n"/>
      <c r="H16" s="1515" t="n"/>
      <c r="I16" s="1515" t="n"/>
      <c r="J16" s="1515" t="n"/>
      <c r="K16" s="1515" t="n"/>
      <c r="L16" s="1515" t="n"/>
      <c r="M16" s="1515" t="n"/>
      <c r="N16" s="1511" t="n"/>
      <c r="O16" s="1520" t="n"/>
      <c r="P16" s="1527" t="n"/>
      <c r="Q16" s="1514">
        <f>(E16*$AV$8)+(F16*$AV$9)+(G16*$AV$10)+(H16*$AV$11)+(I16*$AV$12)+(J16*$AV$13)+(K16*M16)+(L16*N16)</f>
        <v/>
      </c>
      <c r="R16" s="1515" t="n"/>
      <c r="S16" s="1515" t="n"/>
      <c r="T16" s="1515" t="n"/>
      <c r="U16" s="1515" t="n"/>
      <c r="V16" s="1515" t="n"/>
      <c r="W16" s="1515" t="n"/>
      <c r="X16" s="1515" t="n"/>
      <c r="Y16" s="1515" t="n"/>
      <c r="Z16" s="1515">
        <f>'Fr-04.1'!Z16</f>
        <v/>
      </c>
      <c r="AA16" s="1517">
        <f>D16*E16/1000</f>
        <v/>
      </c>
      <c r="AB16" s="1517">
        <f>D16*F16/1000</f>
        <v/>
      </c>
      <c r="AC16" s="1517">
        <f>D16*G16/1000</f>
        <v/>
      </c>
      <c r="AD16" s="1517">
        <f>D16*H16/1000</f>
        <v/>
      </c>
      <c r="AE16" s="1517">
        <f>D16*I16/1000</f>
        <v/>
      </c>
      <c r="AF16" s="1517">
        <f>D16*J16/1000</f>
        <v/>
      </c>
      <c r="AG16" s="1517">
        <f>D16*F16*$AV$9/1000</f>
        <v/>
      </c>
      <c r="AH16" s="1517">
        <f>D16*G16*$AV$10/1000</f>
        <v/>
      </c>
      <c r="AI16" s="1517">
        <f>D16*H16*$AV$11/1000</f>
        <v/>
      </c>
      <c r="AJ16" s="1517">
        <f>D16*I16*$AV$12/1000</f>
        <v/>
      </c>
      <c r="AK16" s="1517">
        <f>D16*J16*$AV$13/1000</f>
        <v/>
      </c>
      <c r="AL16" s="1517">
        <f>D16*K16*M16/1000</f>
        <v/>
      </c>
      <c r="AM16" s="1517">
        <f>D16*L16*N16/1000</f>
        <v/>
      </c>
      <c r="AN16" s="1518" t="n"/>
      <c r="AO16" s="1517">
        <f>D16*Q16/1000</f>
        <v/>
      </c>
      <c r="AP16" s="1517">
        <f>AO16/$AO$35</f>
        <v/>
      </c>
      <c r="AQ16" s="1517">
        <f>AO16/$AO$57</f>
        <v/>
      </c>
      <c r="AR16" s="1517">
        <f>AO16/$AO$58</f>
        <v/>
      </c>
      <c r="AS16" s="1522" t="n"/>
      <c r="AT16" s="1523" t="n"/>
    </row>
    <row r="17">
      <c r="A17" s="1412" t="n"/>
      <c r="B17" s="26">
        <f>'Fr-04.1'!B17</f>
        <v/>
      </c>
      <c r="C17" s="15">
        <f>'Fr-04.1'!C17</f>
        <v/>
      </c>
      <c r="D17" s="1519">
        <f>'Fr-04.1'!D17</f>
        <v/>
      </c>
      <c r="E17" s="1515">
        <f>'EF TGO AR5'!D32</f>
        <v/>
      </c>
      <c r="F17" s="1515">
        <f>'EF TGO AR5'!E32</f>
        <v/>
      </c>
      <c r="G17" s="1515">
        <f>'EF TGO AR5'!F32</f>
        <v/>
      </c>
      <c r="H17" s="1515">
        <f>'EF TGO AR5'!G32</f>
        <v/>
      </c>
      <c r="I17" s="1515" t="n"/>
      <c r="J17" s="1515" t="n"/>
      <c r="K17" s="1515" t="n"/>
      <c r="L17" s="1515" t="n"/>
      <c r="M17" s="1510" t="n"/>
      <c r="N17" s="1511" t="n"/>
      <c r="O17" s="1520" t="n"/>
      <c r="P17" s="1513" t="n"/>
      <c r="Q17" s="1514">
        <f>(E17*$AV$8)+(F17*$AV$9)+(G17*$AV$10)+(H17*$AV$11)+(I17*$AV$12)+(J17*$AV$13)+(K17*M17)+(L17*N17)</f>
        <v/>
      </c>
      <c r="R17" s="1515" t="n"/>
      <c r="S17" s="1515" t="n"/>
      <c r="T17" s="1515" t="n"/>
      <c r="U17" s="1521" t="inlineStr">
        <is>
          <t>/</t>
        </is>
      </c>
      <c r="V17" s="1515" t="n"/>
      <c r="W17" s="1515" t="n"/>
      <c r="X17" s="1515" t="n"/>
      <c r="Y17" s="1515" t="n"/>
      <c r="Z17" s="1515">
        <f>'Fr-04.1'!Z17</f>
        <v/>
      </c>
      <c r="AA17" s="1517">
        <f>D17*E17/1000</f>
        <v/>
      </c>
      <c r="AB17" s="1517">
        <f>D17*F17/1000</f>
        <v/>
      </c>
      <c r="AC17" s="1517">
        <f>D17*G17/1000</f>
        <v/>
      </c>
      <c r="AD17" s="1517">
        <f>D17*H17/1000</f>
        <v/>
      </c>
      <c r="AE17" s="1517">
        <f>D17*I17/1000</f>
        <v/>
      </c>
      <c r="AF17" s="1517">
        <f>D17*J17/1000</f>
        <v/>
      </c>
      <c r="AG17" s="1517">
        <f>D17*F17*$AV$9/1000</f>
        <v/>
      </c>
      <c r="AH17" s="1517">
        <f>D17*G17*$AV$10/1000</f>
        <v/>
      </c>
      <c r="AI17" s="1517">
        <f>D17*H17*$AV$11/1000</f>
        <v/>
      </c>
      <c r="AJ17" s="1517">
        <f>D17*I17*$AV$12/1000</f>
        <v/>
      </c>
      <c r="AK17" s="1517">
        <f>D17*J17*$AV$13/1000</f>
        <v/>
      </c>
      <c r="AL17" s="1517">
        <f>D17*K17*M17/1000</f>
        <v/>
      </c>
      <c r="AM17" s="1517">
        <f>D17*L17*N17/1000</f>
        <v/>
      </c>
      <c r="AN17" s="1518" t="n"/>
      <c r="AO17" s="1517">
        <f>D17*Q17/1000</f>
        <v/>
      </c>
      <c r="AP17" s="1517">
        <f>AO17/$AO$35</f>
        <v/>
      </c>
      <c r="AQ17" s="1517">
        <f>AO17/$AO$57</f>
        <v/>
      </c>
      <c r="AR17" s="1517">
        <f>AO17/$AO$58</f>
        <v/>
      </c>
      <c r="AS17" s="1522" t="n"/>
      <c r="AT17" s="1523" t="n"/>
    </row>
    <row r="18">
      <c r="A18" s="1412" t="n"/>
      <c r="B18" s="26">
        <f>'Fr-04.1'!B18</f>
        <v/>
      </c>
      <c r="C18" s="15">
        <f>'Fr-04.1'!C18</f>
        <v/>
      </c>
      <c r="D18" s="1519">
        <f>'Fr-04.1'!D18</f>
        <v/>
      </c>
      <c r="E18" s="1515">
        <f>'EF TGO AR5'!D32</f>
        <v/>
      </c>
      <c r="F18" s="1515">
        <f>'EF TGO AR5'!E32</f>
        <v/>
      </c>
      <c r="G18" s="1515">
        <f>'EF TGO AR5'!F32</f>
        <v/>
      </c>
      <c r="H18" s="1515">
        <f>'EF TGO AR5'!G32</f>
        <v/>
      </c>
      <c r="I18" s="1515" t="n"/>
      <c r="J18" s="1515" t="n"/>
      <c r="K18" s="1515" t="n"/>
      <c r="L18" s="1515" t="n"/>
      <c r="M18" s="1510" t="n"/>
      <c r="N18" s="1511" t="n"/>
      <c r="O18" s="1520" t="n"/>
      <c r="P18" s="1513" t="n"/>
      <c r="Q18" s="1514">
        <f>(E18*$AV$8)+(F18*$AV$9)+(G18*$AV$10)+(H18*$AV$11)+(I18*$AV$12)+(J18*$AV$13)+(K18*M18)+(L18*N18)</f>
        <v/>
      </c>
      <c r="R18" s="1515" t="n"/>
      <c r="S18" s="1515" t="n"/>
      <c r="T18" s="1515" t="n"/>
      <c r="U18" s="1521" t="inlineStr">
        <is>
          <t>/</t>
        </is>
      </c>
      <c r="V18" s="1515" t="n"/>
      <c r="W18" s="1515" t="n"/>
      <c r="X18" s="1515" t="n"/>
      <c r="Y18" s="1515" t="n"/>
      <c r="Z18" s="1515">
        <f>'Fr-04.1'!Z18</f>
        <v/>
      </c>
      <c r="AA18" s="1517">
        <f>D18*E18/1000</f>
        <v/>
      </c>
      <c r="AB18" s="1517">
        <f>D18*F18/1000</f>
        <v/>
      </c>
      <c r="AC18" s="1517">
        <f>D18*G18/1000</f>
        <v/>
      </c>
      <c r="AD18" s="1517">
        <f>D18*H18/1000</f>
        <v/>
      </c>
      <c r="AE18" s="1517">
        <f>D18*I18/1000</f>
        <v/>
      </c>
      <c r="AF18" s="1517">
        <f>D18*J18/1000</f>
        <v/>
      </c>
      <c r="AG18" s="1517">
        <f>D18*F18*$AV$9/1000</f>
        <v/>
      </c>
      <c r="AH18" s="1517">
        <f>D18*G18*$AV$10/1000</f>
        <v/>
      </c>
      <c r="AI18" s="1517">
        <f>D18*H18*$AV$11/1000</f>
        <v/>
      </c>
      <c r="AJ18" s="1517">
        <f>D18*I18*$AV$12/1000</f>
        <v/>
      </c>
      <c r="AK18" s="1517">
        <f>D18*J18*$AV$13/1000</f>
        <v/>
      </c>
      <c r="AL18" s="1517">
        <f>D18*K18*M18/1000</f>
        <v/>
      </c>
      <c r="AM18" s="1517">
        <f>D18*L18*N18/1000</f>
        <v/>
      </c>
      <c r="AN18" s="1518" t="n"/>
      <c r="AO18" s="1517">
        <f>D18*Q18/1000</f>
        <v/>
      </c>
      <c r="AP18" s="1517">
        <f>AO18/$AO$35</f>
        <v/>
      </c>
      <c r="AQ18" s="1517">
        <f>AO18/$AO$57</f>
        <v/>
      </c>
      <c r="AR18" s="1517">
        <f>AO18/$AO$58</f>
        <v/>
      </c>
      <c r="AS18" s="1522" t="n"/>
      <c r="AT18" s="1523" t="n"/>
    </row>
    <row r="19">
      <c r="A19" s="1412" t="n"/>
      <c r="B19" s="26">
        <f>'Fr-04.1'!B19</f>
        <v/>
      </c>
      <c r="C19" s="15">
        <f>'Fr-04.1'!C19</f>
        <v/>
      </c>
      <c r="D19" s="1519">
        <f>'Fr-04.1'!D19</f>
        <v/>
      </c>
      <c r="E19" s="1515">
        <f>'EF TGO AR5'!D30</f>
        <v/>
      </c>
      <c r="F19" s="1515">
        <f>'EF TGO AR5'!E30</f>
        <v/>
      </c>
      <c r="G19" s="1515">
        <f>'EF TGO AR5'!F30</f>
        <v/>
      </c>
      <c r="H19" s="1515">
        <f>'EF TGO AR5'!G30</f>
        <v/>
      </c>
      <c r="I19" s="1515" t="n"/>
      <c r="J19" s="1515" t="n"/>
      <c r="K19" s="1515" t="n"/>
      <c r="L19" s="1515" t="n"/>
      <c r="M19" s="1510" t="n"/>
      <c r="N19" s="1511" t="n"/>
      <c r="O19" s="1520" t="n"/>
      <c r="P19" s="1513" t="n"/>
      <c r="Q19" s="1514">
        <f>(E19*$AV$8)+(F19*$AV$9)+(G19*$AV$10)+(H19*$AV$11)+(I19*$AV$12)+(J19*$AV$13)+(K19*M19)+(L19*N19)</f>
        <v/>
      </c>
      <c r="R19" s="1515" t="n"/>
      <c r="S19" s="1515" t="n"/>
      <c r="T19" s="1515" t="n"/>
      <c r="U19" s="1521" t="inlineStr">
        <is>
          <t>/</t>
        </is>
      </c>
      <c r="V19" s="1515" t="n"/>
      <c r="W19" s="1515" t="n"/>
      <c r="X19" s="1515" t="n"/>
      <c r="Y19" s="1515" t="n"/>
      <c r="Z19" s="1515">
        <f>'Fr-04.1'!Z19</f>
        <v/>
      </c>
      <c r="AA19" s="1517">
        <f>D19*E19/1000</f>
        <v/>
      </c>
      <c r="AB19" s="1517">
        <f>D19*F19/1000</f>
        <v/>
      </c>
      <c r="AC19" s="1517">
        <f>D19*G19/1000</f>
        <v/>
      </c>
      <c r="AD19" s="1517">
        <f>D19*H19/1000</f>
        <v/>
      </c>
      <c r="AE19" s="1517">
        <f>D19*I19/1000</f>
        <v/>
      </c>
      <c r="AF19" s="1517">
        <f>D19*J19/1000</f>
        <v/>
      </c>
      <c r="AG19" s="1517">
        <f>D19*F19*$AV$9/1000</f>
        <v/>
      </c>
      <c r="AH19" s="1517">
        <f>D19*G19*$AV$10/1000</f>
        <v/>
      </c>
      <c r="AI19" s="1517">
        <f>D19*H19*$AV$11/1000</f>
        <v/>
      </c>
      <c r="AJ19" s="1517">
        <f>D19*I19*$AV$12/1000</f>
        <v/>
      </c>
      <c r="AK19" s="1517">
        <f>D19*J19*$AV$13/1000</f>
        <v/>
      </c>
      <c r="AL19" s="1517">
        <f>D19*K19*M19/1000</f>
        <v/>
      </c>
      <c r="AM19" s="1517">
        <f>D19*L19*N19/1000</f>
        <v/>
      </c>
      <c r="AN19" s="1518" t="n"/>
      <c r="AO19" s="1517">
        <f>D19*Q19/1000</f>
        <v/>
      </c>
      <c r="AP19" s="1517">
        <f>AO19/$AO$35</f>
        <v/>
      </c>
      <c r="AQ19" s="1517">
        <f>AO19/$AO$57</f>
        <v/>
      </c>
      <c r="AR19" s="1517">
        <f>AO19/$AO$58</f>
        <v/>
      </c>
      <c r="AS19" s="1522" t="n"/>
      <c r="AT19" s="1523" t="n"/>
    </row>
    <row r="20">
      <c r="A20" s="1412" t="n"/>
      <c r="B20" s="26">
        <f>'Fr-04.1'!B20</f>
        <v/>
      </c>
      <c r="C20" s="15">
        <f>'Fr-04.1'!C20</f>
        <v/>
      </c>
      <c r="D20" s="1519">
        <f>'Fr-04.1'!D20</f>
        <v/>
      </c>
      <c r="E20" s="1515">
        <f>'EF TGO AR5'!D30</f>
        <v/>
      </c>
      <c r="F20" s="1515">
        <f>'EF TGO AR5'!E30</f>
        <v/>
      </c>
      <c r="G20" s="1515">
        <f>'EF TGO AR5'!F30</f>
        <v/>
      </c>
      <c r="H20" s="1515">
        <f>'EF TGO AR5'!G30</f>
        <v/>
      </c>
      <c r="I20" s="1515" t="n"/>
      <c r="J20" s="1515" t="n"/>
      <c r="K20" s="1515" t="n"/>
      <c r="L20" s="1515" t="n"/>
      <c r="M20" s="1510" t="n"/>
      <c r="N20" s="1511" t="n"/>
      <c r="O20" s="1520" t="n"/>
      <c r="P20" s="1513" t="n"/>
      <c r="Q20" s="1514">
        <f>(E20*$AV$8)+(F20*$AV$9)+(G20*$AV$10)+(H20*$AV$11)+(I20*$AV$12)+(J20*$AV$13)+(K20*M20)+(L20*N20)</f>
        <v/>
      </c>
      <c r="R20" s="1515" t="n"/>
      <c r="S20" s="1515" t="n"/>
      <c r="T20" s="1515" t="n"/>
      <c r="U20" s="1515" t="n"/>
      <c r="V20" s="1515" t="n"/>
      <c r="W20" s="1521" t="inlineStr">
        <is>
          <t>/</t>
        </is>
      </c>
      <c r="X20" s="1515" t="n"/>
      <c r="Y20" s="1515" t="n"/>
      <c r="Z20" s="1515">
        <f>'Fr-04.1'!Z20</f>
        <v/>
      </c>
      <c r="AA20" s="1517">
        <f>D20*E20/1000</f>
        <v/>
      </c>
      <c r="AB20" s="1517">
        <f>D20*F20/1000</f>
        <v/>
      </c>
      <c r="AC20" s="1517">
        <f>D20*G20/1000</f>
        <v/>
      </c>
      <c r="AD20" s="1517">
        <f>D20*H20/1000</f>
        <v/>
      </c>
      <c r="AE20" s="1517">
        <f>D20*I20/1000</f>
        <v/>
      </c>
      <c r="AF20" s="1517">
        <f>D20*J20/1000</f>
        <v/>
      </c>
      <c r="AG20" s="1517">
        <f>D20*F20*$AV$9/1000</f>
        <v/>
      </c>
      <c r="AH20" s="1517">
        <f>D20*G20*$AV$10/1000</f>
        <v/>
      </c>
      <c r="AI20" s="1517">
        <f>D20*H20*$AV$11/1000</f>
        <v/>
      </c>
      <c r="AJ20" s="1517">
        <f>D20*I20*$AV$12/1000</f>
        <v/>
      </c>
      <c r="AK20" s="1517">
        <f>D20*J20*$AV$13/1000</f>
        <v/>
      </c>
      <c r="AL20" s="1517">
        <f>D20*K20*M20/1000</f>
        <v/>
      </c>
      <c r="AM20" s="1517">
        <f>D20*L20*N20/1000</f>
        <v/>
      </c>
      <c r="AN20" s="1518" t="n"/>
      <c r="AO20" s="1517">
        <f>D20*Q20/1000</f>
        <v/>
      </c>
      <c r="AP20" s="1517">
        <f>AO20/$AO$35</f>
        <v/>
      </c>
      <c r="AQ20" s="1517">
        <f>AO20/$AO$57</f>
        <v/>
      </c>
      <c r="AR20" s="1517">
        <f>AO20/$AO$58</f>
        <v/>
      </c>
      <c r="AS20" s="1522" t="n"/>
      <c r="AT20" s="1523" t="n"/>
    </row>
    <row r="21">
      <c r="A21" s="1412" t="n"/>
      <c r="B21" s="26">
        <f>'Fr-04.1'!B21</f>
        <v/>
      </c>
      <c r="C21" s="15">
        <f>'Fr-04.1'!C21</f>
        <v/>
      </c>
      <c r="D21" s="1519">
        <f>'Fr-04.1'!D21</f>
        <v/>
      </c>
      <c r="E21" s="1515">
        <f>'EF TGO AR5'!D40</f>
        <v/>
      </c>
      <c r="F21" s="1515">
        <f>'EF TGO AR5'!E40</f>
        <v/>
      </c>
      <c r="G21" s="1515">
        <f>'EF TGO AR5'!F40</f>
        <v/>
      </c>
      <c r="H21" s="1515">
        <f>'EF TGO AR5'!G40</f>
        <v/>
      </c>
      <c r="I21" s="1515" t="n"/>
      <c r="J21" s="1515" t="n"/>
      <c r="K21" s="1515" t="n"/>
      <c r="L21" s="1515" t="n"/>
      <c r="M21" s="1510" t="n"/>
      <c r="N21" s="1511" t="n"/>
      <c r="O21" s="1520" t="n"/>
      <c r="P21" s="1513" t="n"/>
      <c r="Q21" s="1514">
        <f>(E21*$AV$8)+(F21*$AV$9)+(G21*$AV$10)+(H21*$AV$11)+(I21*$AV$12)+(J21*$AV$13)+(K21*M21)+(L21*N21)</f>
        <v/>
      </c>
      <c r="R21" s="1515" t="n"/>
      <c r="S21" s="1515" t="n"/>
      <c r="T21" s="1515" t="n"/>
      <c r="U21" s="1515" t="n"/>
      <c r="V21" s="1515" t="n"/>
      <c r="W21" s="1521" t="inlineStr">
        <is>
          <t>/</t>
        </is>
      </c>
      <c r="X21" s="1515" t="n"/>
      <c r="Y21" s="1515" t="n"/>
      <c r="Z21" s="1515">
        <f>'Fr-04.1'!Z21</f>
        <v/>
      </c>
      <c r="AA21" s="1517">
        <f>D21*E21/1000</f>
        <v/>
      </c>
      <c r="AB21" s="1517">
        <f>D21*F21/1000</f>
        <v/>
      </c>
      <c r="AC21" s="1517">
        <f>D21*G21/1000</f>
        <v/>
      </c>
      <c r="AD21" s="1517">
        <f>D21*H21/1000</f>
        <v/>
      </c>
      <c r="AE21" s="1517">
        <f>D21*I21/1000</f>
        <v/>
      </c>
      <c r="AF21" s="1517">
        <f>D21*J21/1000</f>
        <v/>
      </c>
      <c r="AG21" s="1517">
        <f>D21*F21*$AV$9/1000</f>
        <v/>
      </c>
      <c r="AH21" s="1517">
        <f>D21*G21*$AV$10/1000</f>
        <v/>
      </c>
      <c r="AI21" s="1517">
        <f>D21*H21*$AV$11/1000</f>
        <v/>
      </c>
      <c r="AJ21" s="1517">
        <f>D21*I21*$AV$12/1000</f>
        <v/>
      </c>
      <c r="AK21" s="1517">
        <f>D21*J21*$AV$13/1000</f>
        <v/>
      </c>
      <c r="AL21" s="1517">
        <f>D21*K21*M21/1000</f>
        <v/>
      </c>
      <c r="AM21" s="1517">
        <f>D21*L21*N21/1000</f>
        <v/>
      </c>
      <c r="AN21" s="1518" t="n"/>
      <c r="AO21" s="1517">
        <f>D21*Q21/1000</f>
        <v/>
      </c>
      <c r="AP21" s="1517">
        <f>AO21/$AO$35</f>
        <v/>
      </c>
      <c r="AQ21" s="1517">
        <f>AO21/$AO$57</f>
        <v/>
      </c>
      <c r="AR21" s="1517">
        <f>AO21/$AO$58</f>
        <v/>
      </c>
      <c r="AS21" s="1522" t="n"/>
      <c r="AT21" s="1523" t="n"/>
    </row>
    <row r="22">
      <c r="A22" s="1412" t="n"/>
      <c r="B22" s="26">
        <f>'Fr-04.1'!B22</f>
        <v/>
      </c>
      <c r="C22" s="15">
        <f>'Fr-04.1'!C22</f>
        <v/>
      </c>
      <c r="D22" s="1519">
        <f>'Fr-04.1'!D22</f>
        <v/>
      </c>
      <c r="E22" s="1515" t="n"/>
      <c r="F22" s="1515" t="n"/>
      <c r="G22" s="1515">
        <f>'EF (1)'!F30*'EF (1)'!D30</f>
        <v/>
      </c>
      <c r="H22" s="1515">
        <f>'EF (1)'!F30*'EF (1)'!E30</f>
        <v/>
      </c>
      <c r="I22" s="1515" t="n"/>
      <c r="J22" s="1515" t="n"/>
      <c r="K22" s="1515" t="n"/>
      <c r="L22" s="1515" t="n"/>
      <c r="M22" s="1510" t="n"/>
      <c r="N22" s="1511" t="n"/>
      <c r="O22" s="1520" t="n"/>
      <c r="P22" s="1513" t="n"/>
      <c r="Q22" s="1514">
        <f>(E22*$AV$8)+(F22*$AV$9)+(G22*$AV$10)+(H22*$AV$11)+(I22*$AV$12)+(J22*$AV$13)+(K22*M22)+(L22*N22)</f>
        <v/>
      </c>
      <c r="R22" s="1515" t="n"/>
      <c r="S22" s="1515" t="n"/>
      <c r="T22" s="1515" t="n"/>
      <c r="U22" s="1515" t="n"/>
      <c r="V22" s="1515" t="n"/>
      <c r="W22" s="1521" t="inlineStr">
        <is>
          <t>/</t>
        </is>
      </c>
      <c r="X22" s="1515" t="n"/>
      <c r="Y22" s="1515" t="n"/>
      <c r="Z22" s="1515">
        <f>'Fr-04.1'!Z22</f>
        <v/>
      </c>
      <c r="AA22" s="1517">
        <f>D22*E22/1000</f>
        <v/>
      </c>
      <c r="AB22" s="1517">
        <f>D22*F22/1000</f>
        <v/>
      </c>
      <c r="AC22" s="1517">
        <f>D22*G22/1000</f>
        <v/>
      </c>
      <c r="AD22" s="1517">
        <f>D22*H22/1000</f>
        <v/>
      </c>
      <c r="AE22" s="1517">
        <f>D22*I22/1000</f>
        <v/>
      </c>
      <c r="AF22" s="1517">
        <f>D22*J22/1000</f>
        <v/>
      </c>
      <c r="AG22" s="1517">
        <f>D22*F22*$AV$9/1000</f>
        <v/>
      </c>
      <c r="AH22" s="1517">
        <f>D22*G22*$AV$10/1000</f>
        <v/>
      </c>
      <c r="AI22" s="1517">
        <f>D22*H22*$AV$11/1000</f>
        <v/>
      </c>
      <c r="AJ22" s="1517">
        <f>D22*I22*$AV$12/1000</f>
        <v/>
      </c>
      <c r="AK22" s="1517">
        <f>D22*J22*$AV$13/1000</f>
        <v/>
      </c>
      <c r="AL22" s="1517">
        <f>D22*K22*M22/1000</f>
        <v/>
      </c>
      <c r="AM22" s="1517">
        <f>D22*L22*N22/1000</f>
        <v/>
      </c>
      <c r="AN22" s="1518" t="n"/>
      <c r="AO22" s="1517">
        <f>D22*Q22/1000</f>
        <v/>
      </c>
      <c r="AP22" s="1517">
        <f>AO22/$AO$35</f>
        <v/>
      </c>
      <c r="AQ22" s="1517">
        <f>AO22/$AO$57</f>
        <v/>
      </c>
      <c r="AR22" s="1517">
        <f>AO22/$AO$58</f>
        <v/>
      </c>
      <c r="AS22" s="1522" t="n"/>
      <c r="AT22" s="1523" t="n"/>
    </row>
    <row r="23">
      <c r="A23" s="1412" t="n"/>
      <c r="B23" s="26">
        <f>'Fr-04.1'!B23</f>
        <v/>
      </c>
      <c r="C23" s="15">
        <f>'Fr-04.1'!C23</f>
        <v/>
      </c>
      <c r="D23" s="1519">
        <f>'Fr-04.1'!D23</f>
        <v/>
      </c>
      <c r="E23" s="1515" t="n"/>
      <c r="F23" s="1515" t="n"/>
      <c r="G23" s="1515">
        <f>'EF (1)'!F32*'EF (1)'!D32</f>
        <v/>
      </c>
      <c r="H23" s="1515">
        <f>'EF (1)'!F32*'EF (1)'!E32</f>
        <v/>
      </c>
      <c r="I23" s="1515" t="n"/>
      <c r="J23" s="1515" t="n"/>
      <c r="K23" s="1515" t="n"/>
      <c r="L23" s="1515" t="n"/>
      <c r="M23" s="1510" t="n"/>
      <c r="N23" s="1511" t="n"/>
      <c r="O23" s="1520" t="n"/>
      <c r="P23" s="1513" t="n"/>
      <c r="Q23" s="1514">
        <f>(E23*$AV$8)+(F23*$AV$9)+(G23*$AV$10)+(H23*$AV$11)+(I23*$AV$12)+(J23*$AV$13)+(K23*M23)+(L23*N23)</f>
        <v/>
      </c>
      <c r="R23" s="1515" t="n"/>
      <c r="S23" s="1515" t="n"/>
      <c r="T23" s="1515" t="n"/>
      <c r="U23" s="1515" t="n"/>
      <c r="V23" s="1515" t="n"/>
      <c r="W23" s="1521" t="inlineStr">
        <is>
          <t>/</t>
        </is>
      </c>
      <c r="X23" s="1515" t="n"/>
      <c r="Y23" s="1515" t="n"/>
      <c r="Z23" s="1515">
        <f>'Fr-04.1'!Z23</f>
        <v/>
      </c>
      <c r="AA23" s="1517">
        <f>D23*E23/1000</f>
        <v/>
      </c>
      <c r="AB23" s="1517">
        <f>D23*F23/1000</f>
        <v/>
      </c>
      <c r="AC23" s="1517">
        <f>D23*G23/1000</f>
        <v/>
      </c>
      <c r="AD23" s="1517">
        <f>D23*H23/1000</f>
        <v/>
      </c>
      <c r="AE23" s="1517">
        <f>D23*I23/1000</f>
        <v/>
      </c>
      <c r="AF23" s="1517">
        <f>D23*J23/1000</f>
        <v/>
      </c>
      <c r="AG23" s="1517">
        <f>D23*F23*$AV$9/1000</f>
        <v/>
      </c>
      <c r="AH23" s="1517">
        <f>D23*G23*$AV$10/1000</f>
        <v/>
      </c>
      <c r="AI23" s="1517">
        <f>D23*H23*$AV$11/1000</f>
        <v/>
      </c>
      <c r="AJ23" s="1517">
        <f>D23*I23*$AV$12/1000</f>
        <v/>
      </c>
      <c r="AK23" s="1517">
        <f>D23*J23*$AV$13/1000</f>
        <v/>
      </c>
      <c r="AL23" s="1517">
        <f>D23*K23*M23/1000</f>
        <v/>
      </c>
      <c r="AM23" s="1517">
        <f>D23*L23*N23/1000</f>
        <v/>
      </c>
      <c r="AN23" s="1518" t="n"/>
      <c r="AO23" s="1517">
        <f>D23*Q23/1000</f>
        <v/>
      </c>
      <c r="AP23" s="1517">
        <f>AO23/$AO$35</f>
        <v/>
      </c>
      <c r="AQ23" s="1517">
        <f>AO23/$AO$57</f>
        <v/>
      </c>
      <c r="AR23" s="1517">
        <f>AO23/$AO$58</f>
        <v/>
      </c>
      <c r="AS23" s="1522" t="n"/>
      <c r="AT23" s="1523" t="n"/>
    </row>
    <row r="24">
      <c r="A24" s="1412" t="n"/>
      <c r="B24" s="26">
        <f>'Fr-04.1'!B24</f>
        <v/>
      </c>
      <c r="C24" s="15">
        <f>'Fr-04.1'!C24</f>
        <v/>
      </c>
      <c r="D24" s="1519">
        <f>'Fr-04.1'!D24</f>
        <v/>
      </c>
      <c r="E24" s="1515" t="n"/>
      <c r="F24" s="1515" t="n"/>
      <c r="G24" s="1515">
        <f>'EF (1)'!F31*'EF (1)'!D31</f>
        <v/>
      </c>
      <c r="H24" s="1515">
        <f>'EF (1)'!F31*'EF (1)'!E31</f>
        <v/>
      </c>
      <c r="I24" s="1515" t="n"/>
      <c r="J24" s="1515" t="n"/>
      <c r="K24" s="1515" t="n"/>
      <c r="L24" s="1515" t="n"/>
      <c r="M24" s="1510" t="n"/>
      <c r="N24" s="1511" t="n"/>
      <c r="O24" s="1520" t="n"/>
      <c r="P24" s="1513" t="n"/>
      <c r="Q24" s="1514">
        <f>(E24*$AV$8)+(F24*$AV$9)+(G24*$AV$10)+(H24*$AV$11)+(I24*$AV$12)+(J24*$AV$13)+(K24*M24)+(L24*N24)</f>
        <v/>
      </c>
      <c r="R24" s="1515" t="n"/>
      <c r="S24" s="1515" t="n"/>
      <c r="T24" s="1515" t="n"/>
      <c r="U24" s="1515" t="n"/>
      <c r="V24" s="1515" t="n"/>
      <c r="W24" s="1521" t="inlineStr">
        <is>
          <t>/</t>
        </is>
      </c>
      <c r="X24" s="1515" t="n"/>
      <c r="Y24" s="1515" t="n"/>
      <c r="Z24" s="1515">
        <f>'Fr-04.1'!Z24</f>
        <v/>
      </c>
      <c r="AA24" s="1517">
        <f>D24*E24/1000</f>
        <v/>
      </c>
      <c r="AB24" s="1517">
        <f>D24*F24/1000</f>
        <v/>
      </c>
      <c r="AC24" s="1517">
        <f>D24*G24/1000</f>
        <v/>
      </c>
      <c r="AD24" s="1517">
        <f>D24*H24/1000</f>
        <v/>
      </c>
      <c r="AE24" s="1517">
        <f>D24*I24/1000</f>
        <v/>
      </c>
      <c r="AF24" s="1517">
        <f>D24*J24/1000</f>
        <v/>
      </c>
      <c r="AG24" s="1517">
        <f>D24*F24*$AV$9/1000</f>
        <v/>
      </c>
      <c r="AH24" s="1517">
        <f>D24*G24*$AV$10/1000</f>
        <v/>
      </c>
      <c r="AI24" s="1517">
        <f>D24*H24*$AV$11/1000</f>
        <v/>
      </c>
      <c r="AJ24" s="1517">
        <f>D24*I24*$AV$12/1000</f>
        <v/>
      </c>
      <c r="AK24" s="1517">
        <f>D24*J24*$AV$13/1000</f>
        <v/>
      </c>
      <c r="AL24" s="1517">
        <f>D24*K24*M24/1000</f>
        <v/>
      </c>
      <c r="AM24" s="1517">
        <f>D24*L24*N24/1000</f>
        <v/>
      </c>
      <c r="AN24" s="1518" t="n"/>
      <c r="AO24" s="1517">
        <f>D24*Q24/1000</f>
        <v/>
      </c>
      <c r="AP24" s="1517">
        <f>AO24/$AO$35</f>
        <v/>
      </c>
      <c r="AQ24" s="1517">
        <f>AO24/$AO$57</f>
        <v/>
      </c>
      <c r="AR24" s="1517">
        <f>AO24/$AO$58</f>
        <v/>
      </c>
      <c r="AS24" s="1522" t="n"/>
      <c r="AT24" s="1523" t="n"/>
    </row>
    <row r="25">
      <c r="A25" s="1412" t="n"/>
      <c r="B25" s="14">
        <f>'Fr-04.1'!B25</f>
        <v/>
      </c>
      <c r="C25" s="15" t="n"/>
      <c r="D25" s="1519" t="n"/>
      <c r="E25" s="1515" t="n"/>
      <c r="F25" s="1515" t="n"/>
      <c r="G25" s="1515" t="n"/>
      <c r="H25" s="1515" t="n"/>
      <c r="I25" s="1515" t="n"/>
      <c r="J25" s="1515" t="n"/>
      <c r="K25" s="1515" t="n"/>
      <c r="L25" s="1515" t="n"/>
      <c r="M25" s="1510" t="n"/>
      <c r="N25" s="1511" t="n"/>
      <c r="O25" s="1520" t="n"/>
      <c r="P25" s="1513" t="n"/>
      <c r="Q25" s="1514">
        <f>(E25*$AV$8)+(F25*$AV$9)+(G25*$AV$10)+(H25*$AV$11)+(I25*$AV$12)+(J25*$AV$13)+(K25*M25)+(L25*N25)</f>
        <v/>
      </c>
      <c r="R25" s="1515" t="n"/>
      <c r="S25" s="1515" t="n"/>
      <c r="T25" s="1515" t="n"/>
      <c r="U25" s="1515" t="n"/>
      <c r="V25" s="1515" t="n"/>
      <c r="W25" s="1515" t="n"/>
      <c r="X25" s="1515" t="n"/>
      <c r="Y25" s="1515" t="n"/>
      <c r="Z25" s="1515">
        <f>'Fr-04.1'!Z25</f>
        <v/>
      </c>
      <c r="AA25" s="1517">
        <f>D25*E25/1000</f>
        <v/>
      </c>
      <c r="AB25" s="1517">
        <f>D25*F25/1000</f>
        <v/>
      </c>
      <c r="AC25" s="1517">
        <f>D25*G25/1000</f>
        <v/>
      </c>
      <c r="AD25" s="1517">
        <f>D25*H25/1000</f>
        <v/>
      </c>
      <c r="AE25" s="1517">
        <f>D25*I25/1000</f>
        <v/>
      </c>
      <c r="AF25" s="1517">
        <f>D25*J25/1000</f>
        <v/>
      </c>
      <c r="AG25" s="1517">
        <f>D25*F25*$AV$9/1000</f>
        <v/>
      </c>
      <c r="AH25" s="1517">
        <f>D25*G25*$AV$10/1000</f>
        <v/>
      </c>
      <c r="AI25" s="1517">
        <f>D25*H25*$AV$11/1000</f>
        <v/>
      </c>
      <c r="AJ25" s="1517">
        <f>D25*I25*$AV$12/1000</f>
        <v/>
      </c>
      <c r="AK25" s="1517">
        <f>D25*J25*$AV$13/1000</f>
        <v/>
      </c>
      <c r="AL25" s="1517">
        <f>D25*K25*M25/1000</f>
        <v/>
      </c>
      <c r="AM25" s="1517">
        <f>D25*L25*N25/1000</f>
        <v/>
      </c>
      <c r="AN25" s="1518" t="n"/>
      <c r="AO25" s="1517">
        <f>D25*Q25/1000</f>
        <v/>
      </c>
      <c r="AP25" s="1517">
        <f>AO25/$AO$35</f>
        <v/>
      </c>
      <c r="AQ25" s="1517">
        <f>AO25/$AO$57</f>
        <v/>
      </c>
      <c r="AR25" s="1517">
        <f>AO25/$AO$58</f>
        <v/>
      </c>
      <c r="AS25" s="1522" t="n"/>
      <c r="AT25" s="1523" t="n"/>
    </row>
    <row r="26">
      <c r="A26" s="1412" t="n"/>
      <c r="B26" s="26">
        <f>'Fr-04.1'!B26</f>
        <v/>
      </c>
      <c r="C26" s="15">
        <f>'Fr-04.1'!C26</f>
        <v/>
      </c>
      <c r="D26" s="1519">
        <f>'Fr-04.1'!D26</f>
        <v/>
      </c>
      <c r="E26" s="1515" t="n"/>
      <c r="F26" s="1515" t="n"/>
      <c r="G26" s="1515" t="n"/>
      <c r="H26" s="1515" t="n"/>
      <c r="I26" s="1515" t="n"/>
      <c r="J26" s="1515" t="n"/>
      <c r="K26" s="1515" t="n">
        <v>1</v>
      </c>
      <c r="L26" s="1515" t="n"/>
      <c r="M26" s="1510">
        <f>'EF TGO AR5'!H56</f>
        <v/>
      </c>
      <c r="N26" s="1511" t="n"/>
      <c r="O26" s="1520" t="n"/>
      <c r="P26" s="1513" t="n"/>
      <c r="Q26" s="1514">
        <f>(E26*$AV$8)+(F26*$AV$9)+(G26*$AV$10)+(H26*$AV$11)+(I26*$AV$12)+(J26*$AV$13)+(K26*M26)+(L26*N26)</f>
        <v/>
      </c>
      <c r="R26" s="1515" t="n"/>
      <c r="S26" s="1515" t="n"/>
      <c r="T26" s="1515" t="n"/>
      <c r="U26" s="1515" t="n"/>
      <c r="V26" s="1515" t="n"/>
      <c r="W26" s="1521" t="inlineStr">
        <is>
          <t>/</t>
        </is>
      </c>
      <c r="X26" s="1515" t="n"/>
      <c r="Y26" s="1515" t="n"/>
      <c r="Z26" s="1515">
        <f>'Fr-04.1'!Z26</f>
        <v/>
      </c>
      <c r="AA26" s="1517">
        <f>D26*E26/1000</f>
        <v/>
      </c>
      <c r="AB26" s="1517">
        <f>D26*F26/1000</f>
        <v/>
      </c>
      <c r="AC26" s="1517">
        <f>D26*G26/1000</f>
        <v/>
      </c>
      <c r="AD26" s="1517">
        <f>D26*H26/1000</f>
        <v/>
      </c>
      <c r="AE26" s="1517">
        <f>D26*I26/1000</f>
        <v/>
      </c>
      <c r="AF26" s="1517">
        <f>D26*J26/1000</f>
        <v/>
      </c>
      <c r="AG26" s="1517">
        <f>D26*F26*$AV$9/1000</f>
        <v/>
      </c>
      <c r="AH26" s="1517">
        <f>D26*G26*$AV$10/1000</f>
        <v/>
      </c>
      <c r="AI26" s="1517">
        <f>D26*H26*$AV$11/1000</f>
        <v/>
      </c>
      <c r="AJ26" s="1517">
        <f>D26*I26*$AV$12/1000</f>
        <v/>
      </c>
      <c r="AK26" s="1517">
        <f>D26*J26*$AV$13/1000</f>
        <v/>
      </c>
      <c r="AL26" s="1517">
        <f>D26*K26*M26/1000</f>
        <v/>
      </c>
      <c r="AM26" s="1517">
        <f>D26*L26*N26/1000</f>
        <v/>
      </c>
      <c r="AN26" s="1518" t="n"/>
      <c r="AO26" s="1517">
        <f>D26*Q26/1000</f>
        <v/>
      </c>
      <c r="AP26" s="1517">
        <f>AO26/$AO$35</f>
        <v/>
      </c>
      <c r="AQ26" s="1517">
        <f>AO26/$AO$57</f>
        <v/>
      </c>
      <c r="AR26" s="1517">
        <f>AO26/$AO$58</f>
        <v/>
      </c>
      <c r="AS26" s="1522" t="n"/>
      <c r="AT26" s="1523" t="n"/>
    </row>
    <row r="27">
      <c r="A27" s="1412" t="n"/>
      <c r="B27" s="26">
        <f>'Fr-04.1'!B27</f>
        <v/>
      </c>
      <c r="C27" s="15">
        <f>'Fr-04.1'!C27</f>
        <v/>
      </c>
      <c r="D27" s="1519">
        <f>'Fr-04.1'!D27</f>
        <v/>
      </c>
      <c r="E27" s="1515" t="n"/>
      <c r="F27" s="1515" t="n"/>
      <c r="G27" s="1515" t="n"/>
      <c r="H27" s="1515" t="n"/>
      <c r="I27" s="1515" t="n"/>
      <c r="J27" s="1515" t="n"/>
      <c r="K27" s="1515" t="n">
        <v>1</v>
      </c>
      <c r="L27" s="1515" t="n"/>
      <c r="M27" s="1510">
        <f>'EF (1)'!E16</f>
        <v/>
      </c>
      <c r="N27" s="1511" t="n"/>
      <c r="O27" s="1520" t="n"/>
      <c r="P27" s="1513" t="n"/>
      <c r="Q27" s="1514">
        <f>(E27*$AV$8)+(F27*$AV$9)+(G27*$AV$10)+(H27*$AV$11)+(I27*$AV$12)+(J27*$AV$13)+(K27*M27)+(L27*N27)</f>
        <v/>
      </c>
      <c r="R27" s="1515" t="n"/>
      <c r="S27" s="1515" t="n"/>
      <c r="T27" s="1515" t="n"/>
      <c r="U27" s="1515" t="n"/>
      <c r="V27" s="1515" t="n"/>
      <c r="W27" s="1521" t="inlineStr">
        <is>
          <t>/</t>
        </is>
      </c>
      <c r="X27" s="1515" t="n"/>
      <c r="Y27" s="1515" t="n"/>
      <c r="Z27" s="1515">
        <f>'Fr-04.1'!Z27</f>
        <v/>
      </c>
      <c r="AA27" s="1517">
        <f>D27*E27/1000</f>
        <v/>
      </c>
      <c r="AB27" s="1517">
        <f>D27*F27/1000</f>
        <v/>
      </c>
      <c r="AC27" s="1517">
        <f>D27*G27/1000</f>
        <v/>
      </c>
      <c r="AD27" s="1517">
        <f>D27*H27/1000</f>
        <v/>
      </c>
      <c r="AE27" s="1517">
        <f>D27*I27/1000</f>
        <v/>
      </c>
      <c r="AF27" s="1517">
        <f>D27*J27/1000</f>
        <v/>
      </c>
      <c r="AG27" s="1517">
        <f>D27*F27*$AV$9/1000</f>
        <v/>
      </c>
      <c r="AH27" s="1517">
        <f>D27*G27*$AV$10/1000</f>
        <v/>
      </c>
      <c r="AI27" s="1517">
        <f>D27*H27*$AV$11/1000</f>
        <v/>
      </c>
      <c r="AJ27" s="1517">
        <f>D27*I27*$AV$12/1000</f>
        <v/>
      </c>
      <c r="AK27" s="1517">
        <f>D27*J27*$AV$13/1000</f>
        <v/>
      </c>
      <c r="AL27" s="1517">
        <f>D27*K27*M27/1000</f>
        <v/>
      </c>
      <c r="AM27" s="1517">
        <f>D27*L27*N27/1000</f>
        <v/>
      </c>
      <c r="AN27" s="1518" t="n"/>
      <c r="AO27" s="1517">
        <f>D27*Q27/1000</f>
        <v/>
      </c>
      <c r="AP27" s="1517">
        <f>AO27/$AO$35</f>
        <v/>
      </c>
      <c r="AQ27" s="1517">
        <f>AO27/$AO$57</f>
        <v/>
      </c>
      <c r="AR27" s="1517">
        <f>AO27/$AO$58</f>
        <v/>
      </c>
      <c r="AS27" s="1522" t="n"/>
      <c r="AT27" s="1523" t="n"/>
    </row>
    <row r="28">
      <c r="A28" s="1412" t="n"/>
      <c r="B28" s="26">
        <f>'Fr-04.1'!B28</f>
        <v/>
      </c>
      <c r="C28" s="15">
        <f>'Fr-04.1'!C28</f>
        <v/>
      </c>
      <c r="D28" s="1519">
        <f>'Fr-04.1'!D28</f>
        <v/>
      </c>
      <c r="E28" s="1515" t="n"/>
      <c r="F28" s="1515" t="n"/>
      <c r="G28" s="1515" t="n"/>
      <c r="H28" s="1515" t="n"/>
      <c r="I28" s="1515" t="n"/>
      <c r="J28" s="1515" t="n"/>
      <c r="K28" s="1515" t="n">
        <v>1</v>
      </c>
      <c r="L28" s="1515" t="n"/>
      <c r="M28" s="1510">
        <f>'EF TGO AR5'!H59</f>
        <v/>
      </c>
      <c r="N28" s="1511" t="n"/>
      <c r="O28" s="1520" t="n"/>
      <c r="P28" s="1513" t="n"/>
      <c r="Q28" s="1514">
        <f>(E28*$AV$8)+(F28*$AV$9)+(G28*$AV$10)+(H28*$AV$11)+(I28*$AV$12)+(J28*$AV$13)+(K28*M28)+(L28*N28)</f>
        <v/>
      </c>
      <c r="R28" s="1515" t="n"/>
      <c r="S28" s="1515" t="n"/>
      <c r="T28" s="1515" t="n"/>
      <c r="U28" s="1515" t="n"/>
      <c r="V28" s="1515" t="n"/>
      <c r="W28" s="1521" t="inlineStr">
        <is>
          <t>/</t>
        </is>
      </c>
      <c r="X28" s="1515" t="n"/>
      <c r="Y28" s="1515" t="n"/>
      <c r="Z28" s="1515">
        <f>'Fr-04.1'!Z28</f>
        <v/>
      </c>
      <c r="AA28" s="1517">
        <f>D28*E28/1000</f>
        <v/>
      </c>
      <c r="AB28" s="1517">
        <f>D28*F28/1000</f>
        <v/>
      </c>
      <c r="AC28" s="1517">
        <f>D28*G28/1000</f>
        <v/>
      </c>
      <c r="AD28" s="1517">
        <f>D28*H28/1000</f>
        <v/>
      </c>
      <c r="AE28" s="1517">
        <f>D28*I28/1000</f>
        <v/>
      </c>
      <c r="AF28" s="1517">
        <f>D28*J28/1000</f>
        <v/>
      </c>
      <c r="AG28" s="1517">
        <f>D28*F28*$AV$9/1000</f>
        <v/>
      </c>
      <c r="AH28" s="1517">
        <f>D28*G28*$AV$10/1000</f>
        <v/>
      </c>
      <c r="AI28" s="1517">
        <f>D28*H28*$AV$11/1000</f>
        <v/>
      </c>
      <c r="AJ28" s="1517">
        <f>D28*I28*$AV$12/1000</f>
        <v/>
      </c>
      <c r="AK28" s="1517">
        <f>D28*J28*$AV$13/1000</f>
        <v/>
      </c>
      <c r="AL28" s="1517">
        <f>D28*K28*M28/1000</f>
        <v/>
      </c>
      <c r="AM28" s="1517">
        <f>D28*L28*N28/1000</f>
        <v/>
      </c>
      <c r="AN28" s="1518" t="n"/>
      <c r="AO28" s="1517">
        <f>D28*Q28/1000</f>
        <v/>
      </c>
      <c r="AP28" s="1517">
        <f>AO28/$AO$35</f>
        <v/>
      </c>
      <c r="AQ28" s="1517">
        <f>AO28/$AO$57</f>
        <v/>
      </c>
      <c r="AR28" s="1517">
        <f>AO28/$AO$58</f>
        <v/>
      </c>
      <c r="AS28" s="1522" t="n"/>
      <c r="AT28" s="1523" t="n"/>
    </row>
    <row r="29">
      <c r="A29" s="1412" t="n"/>
      <c r="B29" s="26">
        <f>'Fr-04.1'!B29</f>
        <v/>
      </c>
      <c r="C29" s="15">
        <f>'Fr-04.1'!C29</f>
        <v/>
      </c>
      <c r="D29" s="1519">
        <f>'Fr-04.1'!D29</f>
        <v/>
      </c>
      <c r="E29" s="1515" t="n"/>
      <c r="F29" s="1515" t="n"/>
      <c r="G29" s="1515" t="n"/>
      <c r="H29" s="1515" t="n"/>
      <c r="I29" s="1515" t="n"/>
      <c r="J29" s="1515" t="n"/>
      <c r="K29" s="1515" t="n">
        <v>1</v>
      </c>
      <c r="L29" s="1515" t="n"/>
      <c r="M29" s="1510">
        <f>'EF (1)'!E19</f>
        <v/>
      </c>
      <c r="N29" s="1511" t="n"/>
      <c r="O29" s="1520" t="n"/>
      <c r="P29" s="1513" t="n"/>
      <c r="Q29" s="1514">
        <f>(E29*$AV$8)+(F29*$AV$9)+(G29*$AV$10)+(H29*$AV$11)+(I29*$AV$12)+(J29*$AV$13)+(K29*M29)+(L29*N29)</f>
        <v/>
      </c>
      <c r="R29" s="1515" t="n"/>
      <c r="S29" s="1515" t="n"/>
      <c r="T29" s="1515" t="n"/>
      <c r="U29" s="1515" t="n"/>
      <c r="V29" s="1515" t="n"/>
      <c r="W29" s="1521" t="inlineStr">
        <is>
          <t>/</t>
        </is>
      </c>
      <c r="X29" s="1515" t="n"/>
      <c r="Y29" s="1515" t="n"/>
      <c r="Z29" s="1515">
        <f>'Fr-04.1'!Z29</f>
        <v/>
      </c>
      <c r="AA29" s="1517">
        <f>D29*E29/1000</f>
        <v/>
      </c>
      <c r="AB29" s="1517">
        <f>D29*F29/1000</f>
        <v/>
      </c>
      <c r="AC29" s="1517">
        <f>D29*G29/1000</f>
        <v/>
      </c>
      <c r="AD29" s="1517">
        <f>D29*H29/1000</f>
        <v/>
      </c>
      <c r="AE29" s="1517">
        <f>D29*I29/1000</f>
        <v/>
      </c>
      <c r="AF29" s="1517">
        <f>D29*J29/1000</f>
        <v/>
      </c>
      <c r="AG29" s="1517">
        <f>D29*F29*$AV$9/1000</f>
        <v/>
      </c>
      <c r="AH29" s="1517">
        <f>D29*G29*$AV$10/1000</f>
        <v/>
      </c>
      <c r="AI29" s="1517">
        <f>D29*H29*$AV$11/1000</f>
        <v/>
      </c>
      <c r="AJ29" s="1517">
        <f>D29*I29*$AV$12/1000</f>
        <v/>
      </c>
      <c r="AK29" s="1517">
        <f>D29*J29*$AV$13/1000</f>
        <v/>
      </c>
      <c r="AL29" s="1517">
        <f>D29*K29*M29/1000</f>
        <v/>
      </c>
      <c r="AM29" s="1517">
        <f>D29*L29*N29/1000</f>
        <v/>
      </c>
      <c r="AN29" s="1518" t="n"/>
      <c r="AO29" s="1517">
        <f>D29*Q29/1000</f>
        <v/>
      </c>
      <c r="AP29" s="1517">
        <f>AO29/$AO$35</f>
        <v/>
      </c>
      <c r="AQ29" s="1517">
        <f>AO29/$AO$57</f>
        <v/>
      </c>
      <c r="AR29" s="1517">
        <f>AO29/$AO$58</f>
        <v/>
      </c>
      <c r="AS29" s="1522" t="n"/>
      <c r="AT29" s="1523" t="n"/>
    </row>
    <row r="30">
      <c r="A30" s="1412" t="n"/>
      <c r="B30" s="26">
        <f>'Fr-04.1'!B30</f>
        <v/>
      </c>
      <c r="C30" s="15">
        <f>'Fr-04.1'!C30</f>
        <v/>
      </c>
      <c r="D30" s="1519">
        <f>'Fr-04.1'!D30</f>
        <v/>
      </c>
      <c r="E30" s="1515" t="n">
        <v>1</v>
      </c>
      <c r="F30" s="1515" t="n"/>
      <c r="G30" s="1515" t="n"/>
      <c r="H30" s="1515" t="n"/>
      <c r="I30" s="1515" t="n"/>
      <c r="J30" s="1515" t="n"/>
      <c r="K30" s="1515" t="n"/>
      <c r="L30" s="1515" t="n"/>
      <c r="M30" s="1510" t="n"/>
      <c r="N30" s="1511" t="n"/>
      <c r="O30" s="1520" t="n"/>
      <c r="P30" s="1513" t="n"/>
      <c r="Q30" s="1514">
        <f>(E30*$AV$8)+(F30*$AV$9)+(G30*$AV$10)+(H30*$AV$11)+(I30*$AV$12)+(J30*$AV$13)+(K30*M30)+(L30*N30)</f>
        <v/>
      </c>
      <c r="R30" s="1515" t="n"/>
      <c r="S30" s="1515" t="n"/>
      <c r="T30" s="1515" t="n"/>
      <c r="U30" s="1515" t="n"/>
      <c r="V30" s="1515" t="n"/>
      <c r="W30" s="1521" t="inlineStr">
        <is>
          <t>/</t>
        </is>
      </c>
      <c r="X30" s="1515" t="n"/>
      <c r="Y30" s="1515" t="n"/>
      <c r="Z30" s="1515">
        <f>'Fr-04.1'!Z30</f>
        <v/>
      </c>
      <c r="AA30" s="1517">
        <f>D30*E30/1000</f>
        <v/>
      </c>
      <c r="AB30" s="1517">
        <f>D30*F30/1000</f>
        <v/>
      </c>
      <c r="AC30" s="1517">
        <f>D30*G30/1000</f>
        <v/>
      </c>
      <c r="AD30" s="1517">
        <f>D30*H30/1000</f>
        <v/>
      </c>
      <c r="AE30" s="1517">
        <f>D30*I30/1000</f>
        <v/>
      </c>
      <c r="AF30" s="1517">
        <f>D30*J30/1000</f>
        <v/>
      </c>
      <c r="AG30" s="1517">
        <f>D30*F30*$AV$9/1000</f>
        <v/>
      </c>
      <c r="AH30" s="1517">
        <f>D30*G30*$AV$10/1000</f>
        <v/>
      </c>
      <c r="AI30" s="1517">
        <f>D30*H30*$AV$11/1000</f>
        <v/>
      </c>
      <c r="AJ30" s="1517">
        <f>D30*I30*$AV$12/1000</f>
        <v/>
      </c>
      <c r="AK30" s="1517">
        <f>D30*J30*$AV$13/1000</f>
        <v/>
      </c>
      <c r="AL30" s="1517">
        <f>D30*K30*M30/1000</f>
        <v/>
      </c>
      <c r="AM30" s="1517">
        <f>D30*L30*N30/1000</f>
        <v/>
      </c>
      <c r="AN30" s="1518" t="n"/>
      <c r="AO30" s="1517">
        <f>D30*Q30/1000</f>
        <v/>
      </c>
      <c r="AP30" s="1517">
        <f>AO30/$AO$35</f>
        <v/>
      </c>
      <c r="AQ30" s="1517">
        <f>AO30/$AO$57</f>
        <v/>
      </c>
      <c r="AR30" s="1517">
        <f>AO30/$AO$58</f>
        <v/>
      </c>
      <c r="AS30" s="1522" t="n"/>
      <c r="AT30" s="1523" t="n"/>
    </row>
    <row r="31">
      <c r="A31" s="1412" t="n"/>
      <c r="B31" s="26">
        <f>'Fr-04.1'!B31</f>
        <v/>
      </c>
      <c r="C31" s="15">
        <f>'Fr-04.1'!C31</f>
        <v/>
      </c>
      <c r="D31" s="1519">
        <f>'Fr-04.1'!D31</f>
        <v/>
      </c>
      <c r="E31" s="1515" t="n"/>
      <c r="F31" s="1515" t="n"/>
      <c r="G31" s="1515" t="n">
        <v>1</v>
      </c>
      <c r="H31" s="1515" t="n"/>
      <c r="I31" s="1515" t="n"/>
      <c r="J31" s="1515" t="n"/>
      <c r="K31" s="1515" t="n"/>
      <c r="L31" s="1515" t="n"/>
      <c r="M31" s="1510" t="n"/>
      <c r="N31" s="1515" t="n"/>
      <c r="O31" s="1520" t="n"/>
      <c r="P31" s="1513" t="n"/>
      <c r="Q31" s="1514">
        <f>(E31*$AV$8)+(F31*$AV$9)+(G31*$AV$10)+(H31*$AV$11)+(I31*$AV$12)+(J31*$AV$13)+(K31*M31)+(L31*N31)</f>
        <v/>
      </c>
      <c r="R31" s="1515" t="n"/>
      <c r="S31" s="1515" t="n"/>
      <c r="T31" s="1515" t="n"/>
      <c r="U31" s="1515" t="n"/>
      <c r="V31" s="1515" t="n"/>
      <c r="W31" s="1521" t="inlineStr">
        <is>
          <t>/</t>
        </is>
      </c>
      <c r="X31" s="1515" t="n"/>
      <c r="Y31" s="1515" t="n"/>
      <c r="Z31" s="1515">
        <f>'Fr-04.1'!Z31</f>
        <v/>
      </c>
      <c r="AA31" s="1517">
        <f>D31*E31/1000</f>
        <v/>
      </c>
      <c r="AB31" s="1517">
        <f>D31*F31/1000</f>
        <v/>
      </c>
      <c r="AC31" s="1517">
        <f>D31*G31/1000</f>
        <v/>
      </c>
      <c r="AD31" s="1517">
        <f>D31*H31/1000</f>
        <v/>
      </c>
      <c r="AE31" s="1517">
        <f>D31*I31/1000</f>
        <v/>
      </c>
      <c r="AF31" s="1517">
        <f>D31*J31/1000</f>
        <v/>
      </c>
      <c r="AG31" s="1517">
        <f>D31*F31*$AV$9/1000</f>
        <v/>
      </c>
      <c r="AH31" s="1517">
        <f>D31*G31*$AV$10/1000</f>
        <v/>
      </c>
      <c r="AI31" s="1517">
        <f>D31*H31*$AV$11/1000</f>
        <v/>
      </c>
      <c r="AJ31" s="1517">
        <f>D31*I31*$AV$12/1000</f>
        <v/>
      </c>
      <c r="AK31" s="1517">
        <f>D31*J31*$AV$13/1000</f>
        <v/>
      </c>
      <c r="AL31" s="1517">
        <f>D31*K31*M31/1000</f>
        <v/>
      </c>
      <c r="AM31" s="1517">
        <f>D31*L31*N31/1000</f>
        <v/>
      </c>
      <c r="AN31" s="1518" t="n"/>
      <c r="AO31" s="1517">
        <f>D31*Q31/1000</f>
        <v/>
      </c>
      <c r="AP31" s="1517">
        <f>AO31/$AO$35</f>
        <v/>
      </c>
      <c r="AQ31" s="1517">
        <f>AO31/$AO$57</f>
        <v/>
      </c>
      <c r="AR31" s="1517">
        <f>AO31/$AO$58</f>
        <v/>
      </c>
      <c r="AS31" s="1522" t="n"/>
      <c r="AT31" s="1523" t="n"/>
    </row>
    <row r="32">
      <c r="A32" s="1412" t="n"/>
      <c r="B32" s="26">
        <f>'Fr-04.1'!B32</f>
        <v/>
      </c>
      <c r="C32" s="15">
        <f>'Fr-04.1'!C32</f>
        <v/>
      </c>
      <c r="D32" s="1519">
        <f>'Fr-04.1'!D32</f>
        <v/>
      </c>
      <c r="E32" s="1515" t="n"/>
      <c r="F32" s="1515" t="n"/>
      <c r="G32" s="1515" t="n"/>
      <c r="H32" s="1515">
        <f>'1.4.4 ปุ๋ย'!Q3</f>
        <v/>
      </c>
      <c r="I32" s="1515" t="n"/>
      <c r="J32" s="1515" t="n"/>
      <c r="K32" s="1515" t="n"/>
      <c r="L32" s="1515" t="n"/>
      <c r="M32" s="1510" t="n"/>
      <c r="N32" s="1515" t="n"/>
      <c r="O32" s="1520" t="n"/>
      <c r="P32" s="1513" t="n"/>
      <c r="Q32" s="1514">
        <f>(E32*$AV$8)+(F32*$AV$9)+(G32*$AV$10)+(H32*$AV$11)+(I32*$AV$12)+(J32*$AV$13)+(K32*M32)+(L32*N32)</f>
        <v/>
      </c>
      <c r="R32" s="1515" t="n"/>
      <c r="S32" s="1515" t="n"/>
      <c r="T32" s="1515" t="n"/>
      <c r="U32" s="1515" t="n"/>
      <c r="V32" s="1515" t="n"/>
      <c r="W32" s="1521" t="inlineStr">
        <is>
          <t>/</t>
        </is>
      </c>
      <c r="X32" s="1515" t="n"/>
      <c r="Y32" s="1515" t="n"/>
      <c r="Z32" s="1515">
        <f>'Fr-04.1'!Z32</f>
        <v/>
      </c>
      <c r="AA32" s="1517">
        <f>D32*E32/1000</f>
        <v/>
      </c>
      <c r="AB32" s="1517">
        <f>D32*F32/1000</f>
        <v/>
      </c>
      <c r="AC32" s="1517">
        <f>D32*G32/1000</f>
        <v/>
      </c>
      <c r="AD32" s="1517">
        <f>D32*H32/1000</f>
        <v/>
      </c>
      <c r="AE32" s="1517">
        <f>D32*I32/1000</f>
        <v/>
      </c>
      <c r="AF32" s="1517">
        <f>D32*J32/1000</f>
        <v/>
      </c>
      <c r="AG32" s="1517">
        <f>D32*F32*$AV$9/1000</f>
        <v/>
      </c>
      <c r="AH32" s="1517">
        <f>D32*G32*$AV$10/1000</f>
        <v/>
      </c>
      <c r="AI32" s="1517">
        <f>D32*H32*$AV$11/1000</f>
        <v/>
      </c>
      <c r="AJ32" s="1517">
        <f>D32*I32*$AV$12/1000</f>
        <v/>
      </c>
      <c r="AK32" s="1517">
        <f>D32*J32*$AV$13/1000</f>
        <v/>
      </c>
      <c r="AL32" s="1517">
        <f>D32*K32*M32/1000</f>
        <v/>
      </c>
      <c r="AM32" s="1517">
        <f>D32*L32*N32/1000</f>
        <v/>
      </c>
      <c r="AN32" s="1518" t="n"/>
      <c r="AO32" s="1517">
        <f>D32*Q32/1000</f>
        <v/>
      </c>
      <c r="AP32" s="1517">
        <f>AO32/$AO$35</f>
        <v/>
      </c>
      <c r="AQ32" s="1517">
        <f>AO32/$AO$57</f>
        <v/>
      </c>
      <c r="AR32" s="1517">
        <f>AO32/$AO$58</f>
        <v/>
      </c>
      <c r="AS32" s="1522" t="n"/>
      <c r="AT32" s="1523" t="n"/>
    </row>
    <row r="33">
      <c r="A33" s="1412" t="n"/>
      <c r="B33" s="26" t="n"/>
      <c r="C33" s="15" t="n"/>
      <c r="D33" s="1519" t="n"/>
      <c r="E33" s="1515" t="n"/>
      <c r="F33" s="1515" t="n"/>
      <c r="G33" s="1515" t="n"/>
      <c r="H33" s="1515" t="n"/>
      <c r="I33" s="1515" t="n"/>
      <c r="J33" s="1515" t="n"/>
      <c r="K33" s="1515" t="n"/>
      <c r="L33" s="1515" t="n"/>
      <c r="M33" s="1510" t="n"/>
      <c r="N33" s="1511" t="n"/>
      <c r="O33" s="1520" t="n"/>
      <c r="P33" s="1513" t="n"/>
      <c r="Q33" s="1514">
        <f>(E33*$AV$8)+(F33*$AV$9)+(G33*$AV$10)+(H33*$AV$11)+(I33*$AV$12)+(J33*$AV$13)+(K33*M33)+(L33*N33)</f>
        <v/>
      </c>
      <c r="R33" s="1515" t="n"/>
      <c r="S33" s="1515" t="n"/>
      <c r="T33" s="1515" t="n"/>
      <c r="U33" s="1515" t="n"/>
      <c r="V33" s="1515" t="n"/>
      <c r="W33" s="1515" t="n"/>
      <c r="X33" s="1515" t="n"/>
      <c r="Y33" s="1515" t="n"/>
      <c r="Z33" s="1515" t="n"/>
      <c r="AA33" s="1517">
        <f>D33*E33/1000</f>
        <v/>
      </c>
      <c r="AB33" s="1517">
        <f>D33*F33/1000</f>
        <v/>
      </c>
      <c r="AC33" s="1517">
        <f>D33*G33/1000</f>
        <v/>
      </c>
      <c r="AD33" s="1517">
        <f>D33*H33/1000</f>
        <v/>
      </c>
      <c r="AE33" s="1517">
        <f>D33*I33/1000</f>
        <v/>
      </c>
      <c r="AF33" s="1517">
        <f>D33*J33/1000</f>
        <v/>
      </c>
      <c r="AG33" s="1517">
        <f>D33*F33*$AV$9/1000</f>
        <v/>
      </c>
      <c r="AH33" s="1517">
        <f>D33*G33*$AV$10/1000</f>
        <v/>
      </c>
      <c r="AI33" s="1517">
        <f>D33*H33*$AV$11/1000</f>
        <v/>
      </c>
      <c r="AJ33" s="1517">
        <f>D33*I33*$AV$12/1000</f>
        <v/>
      </c>
      <c r="AK33" s="1517">
        <f>D33*J33*$AV$13/1000</f>
        <v/>
      </c>
      <c r="AL33" s="1517">
        <f>D33*K33*M33/1000</f>
        <v/>
      </c>
      <c r="AM33" s="1517">
        <f>D33*L33*N33/1000</f>
        <v/>
      </c>
      <c r="AN33" s="1518" t="n"/>
      <c r="AO33" s="1517">
        <f>D33*Q33/1000</f>
        <v/>
      </c>
      <c r="AP33" s="1517">
        <f>AO33/$AO$35</f>
        <v/>
      </c>
      <c r="AQ33" s="1517">
        <f>AO33/$AO$57</f>
        <v/>
      </c>
      <c r="AR33" s="1517">
        <f>AO33/$AO$58</f>
        <v/>
      </c>
      <c r="AS33" s="35" t="n"/>
      <c r="AT33" s="1523" t="n"/>
    </row>
    <row r="34">
      <c r="A34" s="1412" t="n"/>
      <c r="B34" s="26" t="n"/>
      <c r="C34" s="15" t="n"/>
      <c r="D34" s="1530" t="n"/>
      <c r="E34" s="1531" t="n"/>
      <c r="F34" s="1531" t="n"/>
      <c r="G34" s="1531" t="n"/>
      <c r="H34" s="1531" t="n"/>
      <c r="I34" s="1531" t="n"/>
      <c r="J34" s="1531" t="n"/>
      <c r="K34" s="1531" t="n"/>
      <c r="L34" s="1531" t="n"/>
      <c r="M34" s="1510" t="n"/>
      <c r="N34" s="1532" t="n"/>
      <c r="O34" s="1520" t="n"/>
      <c r="P34" s="1513" t="n"/>
      <c r="Q34" s="1514">
        <f>(E34*$AV$8)+(F34*$AV$9)+(G34*$AV$10)+(H34*$AV$11)+(I34*$AV$12)+(J34*$AV$13)+(K34*M34)+(L34*N34)</f>
        <v/>
      </c>
      <c r="R34" s="1515" t="n"/>
      <c r="S34" s="1515" t="n"/>
      <c r="T34" s="1515" t="n"/>
      <c r="U34" s="1515" t="n"/>
      <c r="V34" s="1515" t="n"/>
      <c r="W34" s="1515" t="n"/>
      <c r="X34" s="1515" t="n"/>
      <c r="Y34" s="1515" t="n"/>
      <c r="Z34" s="1515" t="n"/>
      <c r="AA34" s="1517">
        <f>D34*E34/1000</f>
        <v/>
      </c>
      <c r="AB34" s="1517">
        <f>D34*F34/1000</f>
        <v/>
      </c>
      <c r="AC34" s="1517">
        <f>D34*G34/1000</f>
        <v/>
      </c>
      <c r="AD34" s="1517">
        <f>D34*H34/1000</f>
        <v/>
      </c>
      <c r="AE34" s="1517">
        <f>D34*I34/1000</f>
        <v/>
      </c>
      <c r="AF34" s="1517">
        <f>D34*J34/1000</f>
        <v/>
      </c>
      <c r="AG34" s="1517">
        <f>D34*F34*$AV$9/1000</f>
        <v/>
      </c>
      <c r="AH34" s="1517">
        <f>D34*G34*$AV$10/1000</f>
        <v/>
      </c>
      <c r="AI34" s="1517">
        <f>D34*H34*$AV$11/1000</f>
        <v/>
      </c>
      <c r="AJ34" s="1517">
        <f>D34*I34*$AV$12/1000</f>
        <v/>
      </c>
      <c r="AK34" s="1517">
        <f>D34*J34*$AV$13/1000</f>
        <v/>
      </c>
      <c r="AL34" s="1517">
        <f>D34*K34*M34/1000</f>
        <v/>
      </c>
      <c r="AM34" s="1517">
        <f>D34*L34*N34/1000</f>
        <v/>
      </c>
      <c r="AN34" s="1518" t="n"/>
      <c r="AO34" s="1517">
        <f>D34*Q34/1000</f>
        <v/>
      </c>
      <c r="AP34" s="1517">
        <f>AO34/$AO$35</f>
        <v/>
      </c>
      <c r="AQ34" s="1517">
        <f>AO34/$AO$57</f>
        <v/>
      </c>
      <c r="AR34" s="1517">
        <f>AO34/$AO$58</f>
        <v/>
      </c>
      <c r="AS34" s="25" t="n"/>
      <c r="AT34" s="1523" t="n"/>
    </row>
    <row r="35">
      <c r="A35" s="1417" t="n"/>
      <c r="B35" s="1107" t="n"/>
      <c r="C35" s="40" t="n"/>
      <c r="D35" s="1533" t="n"/>
      <c r="E35" s="1534" t="n"/>
      <c r="F35" s="1409" t="n"/>
      <c r="G35" s="1409" t="n"/>
      <c r="H35" s="1409" t="n"/>
      <c r="I35" s="1409" t="n"/>
      <c r="J35" s="1409" t="n"/>
      <c r="K35" s="1409" t="n"/>
      <c r="L35" s="1409" t="n"/>
      <c r="M35" s="1409" t="n"/>
      <c r="N35" s="1409" t="n"/>
      <c r="O35" s="1409" t="n"/>
      <c r="P35" s="1409" t="n"/>
      <c r="Q35" s="1410" t="n"/>
      <c r="R35" s="1135" t="n"/>
      <c r="S35" s="1135" t="n"/>
      <c r="T35" s="1135" t="n"/>
      <c r="U35" s="1135" t="n"/>
      <c r="V35" s="1135" t="n"/>
      <c r="W35" s="1135" t="n"/>
      <c r="X35" s="1135" t="n"/>
      <c r="Y35" s="1135" t="n"/>
      <c r="Z35" s="1135" t="n"/>
      <c r="AA35" s="1535">
        <f>SUM(AA10:AA34)</f>
        <v/>
      </c>
      <c r="AB35" s="1535">
        <f>SUM(AB10:AB34)</f>
        <v/>
      </c>
      <c r="AC35" s="1535">
        <f>SUM(AC10:AC34)</f>
        <v/>
      </c>
      <c r="AD35" s="1535">
        <f>SUM(AD10:AD34)</f>
        <v/>
      </c>
      <c r="AE35" s="1535">
        <f>SUM(AE10:AE34)</f>
        <v/>
      </c>
      <c r="AF35" s="1535">
        <f>SUM(AF10:AF34)</f>
        <v/>
      </c>
      <c r="AG35" s="1535">
        <f>SUM(AG10:AG34)</f>
        <v/>
      </c>
      <c r="AH35" s="1535">
        <f>SUM(AH10:AH34)</f>
        <v/>
      </c>
      <c r="AI35" s="1535">
        <f>SUM(AI10:AI34)</f>
        <v/>
      </c>
      <c r="AJ35" s="1535">
        <f>SUM(AJ10:AJ34)</f>
        <v/>
      </c>
      <c r="AK35" s="1535">
        <f>SUM(AK10:AK34)</f>
        <v/>
      </c>
      <c r="AL35" s="1535">
        <f>SUM(AL10:AL34)</f>
        <v/>
      </c>
      <c r="AM35" s="1535">
        <f>SUM(AM10:AM34)</f>
        <v/>
      </c>
      <c r="AN35" s="1535">
        <f>SUM(AN10:AN34)</f>
        <v/>
      </c>
      <c r="AO35" s="1535">
        <f>SUM(AO10:AO34)</f>
        <v/>
      </c>
      <c r="AP35" s="1535">
        <f>SUM(AP10:AP34)</f>
        <v/>
      </c>
      <c r="AQ35" s="1535" t="n"/>
      <c r="AR35" s="1535" t="n"/>
      <c r="AS35" s="1536" t="n"/>
    </row>
    <row r="36">
      <c r="A36" s="1586" t="inlineStr">
        <is>
          <t>การปล่อย GHG โดยตรงที่ทำการรายงานแยก</t>
        </is>
      </c>
      <c r="B36" s="44">
        <f>'Fr-04.1'!B37</f>
        <v/>
      </c>
      <c r="C36" s="45">
        <f>'Fr-04.1'!C37</f>
        <v/>
      </c>
      <c r="D36" s="1587">
        <f>'Fr-04.1'!D37</f>
        <v/>
      </c>
      <c r="E36" s="1509" t="n"/>
      <c r="F36" s="1588" t="n"/>
      <c r="G36" s="1589" t="n"/>
      <c r="H36" s="1589" t="n"/>
      <c r="I36" s="1589" t="n"/>
      <c r="J36" s="1589" t="n"/>
      <c r="K36" s="1589" t="n"/>
      <c r="L36" s="1589" t="n"/>
      <c r="M36" s="1589" t="n"/>
      <c r="N36" s="1590" t="n"/>
      <c r="O36" s="1509" t="n">
        <v>1</v>
      </c>
      <c r="P36" s="1509">
        <f>'EF TGO AR5'!H55</f>
        <v/>
      </c>
      <c r="Q36" s="1514">
        <f>(E36*$AV$8)+(O36*P36)</f>
        <v/>
      </c>
      <c r="R36" s="1515" t="n"/>
      <c r="S36" s="1515" t="n"/>
      <c r="T36" s="1515" t="n"/>
      <c r="U36" s="1515" t="n"/>
      <c r="V36" s="1515" t="n"/>
      <c r="W36" s="1521" t="inlineStr">
        <is>
          <t>/</t>
        </is>
      </c>
      <c r="X36" s="1515" t="n"/>
      <c r="Y36" s="1515" t="n"/>
      <c r="Z36" s="1515">
        <f>'Fr-04.1'!Z37</f>
        <v/>
      </c>
      <c r="AA36" s="1517">
        <f>D36*E36*$AV$8/1000</f>
        <v/>
      </c>
      <c r="AB36" s="1591" t="n"/>
      <c r="AC36" s="1592" t="n"/>
      <c r="AD36" s="1592" t="n"/>
      <c r="AE36" s="1592" t="n"/>
      <c r="AF36" s="1592" t="n"/>
      <c r="AG36" s="1591" t="n"/>
      <c r="AH36" s="1592" t="n"/>
      <c r="AI36" s="1592" t="n"/>
      <c r="AJ36" s="1592" t="n"/>
      <c r="AK36" s="1592" t="n"/>
      <c r="AL36" s="1592" t="n"/>
      <c r="AM36" s="1592" t="n"/>
      <c r="AN36" s="1517">
        <f>D36*O36*P36/1000</f>
        <v/>
      </c>
      <c r="AO36" s="1517">
        <f>D36*Q36/1000</f>
        <v/>
      </c>
      <c r="AP36" s="1517">
        <f>AO36/$AO$43</f>
        <v/>
      </c>
      <c r="AQ36" s="1517" t="n"/>
      <c r="AR36" s="1517" t="n"/>
      <c r="AS36" s="1522" t="n"/>
    </row>
    <row r="37">
      <c r="A37" s="1412" t="n"/>
      <c r="B37" s="52">
        <f>'Fr-04.1'!B38</f>
        <v/>
      </c>
      <c r="C37" s="83">
        <f>'Fr-04.1'!C38</f>
        <v/>
      </c>
      <c r="D37" s="1519">
        <f>'Fr-04.1'!D38</f>
        <v/>
      </c>
      <c r="E37" s="1511" t="n"/>
      <c r="F37" s="1527" t="n"/>
      <c r="G37" s="1513" t="n"/>
      <c r="H37" s="1513" t="n"/>
      <c r="I37" s="1513" t="n"/>
      <c r="J37" s="1513" t="n"/>
      <c r="K37" s="1513" t="n"/>
      <c r="L37" s="1513" t="n"/>
      <c r="M37" s="1513" t="n"/>
      <c r="N37" s="1539" t="n"/>
      <c r="O37" s="1515" t="n">
        <v>1</v>
      </c>
      <c r="P37" s="1515">
        <f>'EF (1)'!E13</f>
        <v/>
      </c>
      <c r="Q37" s="1514">
        <f>(E37*$AV$8)+(O37*P37)</f>
        <v/>
      </c>
      <c r="R37" s="1515" t="n"/>
      <c r="S37" s="1515" t="n"/>
      <c r="T37" s="1515" t="n"/>
      <c r="U37" s="1515" t="n"/>
      <c r="V37" s="1515" t="n"/>
      <c r="W37" s="1521" t="inlineStr">
        <is>
          <t>/</t>
        </is>
      </c>
      <c r="X37" s="1515" t="n"/>
      <c r="Y37" s="1515" t="n"/>
      <c r="Z37" s="1515">
        <f>'Fr-04.1'!Z38</f>
        <v/>
      </c>
      <c r="AA37" s="1517">
        <f>D37*E37*$AV$8/1000</f>
        <v/>
      </c>
      <c r="AB37" s="1541" t="n"/>
      <c r="AC37" s="1542" t="n"/>
      <c r="AD37" s="1542" t="n"/>
      <c r="AE37" s="1542" t="n"/>
      <c r="AF37" s="1542" t="n"/>
      <c r="AG37" s="1541" t="n"/>
      <c r="AH37" s="1542" t="n"/>
      <c r="AI37" s="1542" t="n"/>
      <c r="AJ37" s="1542" t="n"/>
      <c r="AK37" s="1542" t="n"/>
      <c r="AL37" s="1542" t="n"/>
      <c r="AM37" s="1542" t="n"/>
      <c r="AN37" s="1517">
        <f>D37*O37*P37/1000</f>
        <v/>
      </c>
      <c r="AO37" s="1517">
        <f>D37*Q37/1000</f>
        <v/>
      </c>
      <c r="AP37" s="1517">
        <f>AO37/$AO$43</f>
        <v/>
      </c>
      <c r="AQ37" s="1546" t="n"/>
      <c r="AR37" s="1546" t="n"/>
      <c r="AS37" s="1544" t="n"/>
    </row>
    <row r="38">
      <c r="A38" s="1412" t="n"/>
      <c r="B38" s="52">
        <f>'Fr-04.1'!B39</f>
        <v/>
      </c>
      <c r="C38" s="53">
        <f>'Fr-04.1'!C39</f>
        <v/>
      </c>
      <c r="D38" s="1538">
        <f>'Fr-04.1'!D39</f>
        <v/>
      </c>
      <c r="E38" s="1511">
        <f>'EF (1)'!F28*'EF (1)'!C28</f>
        <v/>
      </c>
      <c r="F38" s="1527" t="n"/>
      <c r="G38" s="1513" t="n"/>
      <c r="H38" s="1513" t="n"/>
      <c r="I38" s="1513" t="n"/>
      <c r="J38" s="1513" t="n"/>
      <c r="K38" s="1513" t="n"/>
      <c r="L38" s="1513" t="n"/>
      <c r="M38" s="1513" t="n"/>
      <c r="N38" s="1539" t="n"/>
      <c r="O38" s="1515" t="n"/>
      <c r="P38" s="1515" t="n"/>
      <c r="Q38" s="1514">
        <f>(E38*$AV$8)+(O38*P38)</f>
        <v/>
      </c>
      <c r="R38" s="1515" t="n"/>
      <c r="S38" s="1515" t="n"/>
      <c r="T38" s="1515" t="n"/>
      <c r="U38" s="1515" t="n"/>
      <c r="V38" s="1515" t="n"/>
      <c r="W38" s="1521" t="inlineStr">
        <is>
          <t>/</t>
        </is>
      </c>
      <c r="X38" s="1515" t="n"/>
      <c r="Y38" s="1515" t="n"/>
      <c r="Z38" s="1515">
        <f>'Fr-04.1'!Z39</f>
        <v/>
      </c>
      <c r="AA38" s="1517">
        <f>D38*E38*$AV$8/1000</f>
        <v/>
      </c>
      <c r="AB38" s="1541" t="n"/>
      <c r="AC38" s="1542" t="n"/>
      <c r="AD38" s="1542" t="n"/>
      <c r="AE38" s="1542" t="n"/>
      <c r="AF38" s="1542" t="n"/>
      <c r="AG38" s="1541" t="n"/>
      <c r="AH38" s="1542" t="n"/>
      <c r="AI38" s="1542" t="n"/>
      <c r="AJ38" s="1542" t="n"/>
      <c r="AK38" s="1542" t="n"/>
      <c r="AL38" s="1542" t="n"/>
      <c r="AM38" s="1542" t="n"/>
      <c r="AN38" s="1517">
        <f>D38*O38*P38/1000</f>
        <v/>
      </c>
      <c r="AO38" s="1517">
        <f>D38*Q38/1000</f>
        <v/>
      </c>
      <c r="AP38" s="1517">
        <f>AO38/$AO$43</f>
        <v/>
      </c>
      <c r="AQ38" s="1543" t="n"/>
      <c r="AR38" s="1543" t="n"/>
      <c r="AS38" s="1544" t="n"/>
    </row>
    <row r="39">
      <c r="A39" s="1412" t="n"/>
      <c r="B39" s="52">
        <f>'Fr-04.1'!B40</f>
        <v/>
      </c>
      <c r="C39" s="53">
        <f>'Fr-04.1'!C40</f>
        <v/>
      </c>
      <c r="D39" s="1538">
        <f>'Fr-04.1'!D40</f>
        <v/>
      </c>
      <c r="E39" s="1511">
        <f>'EF (1)'!F29*'EF (1)'!C29</f>
        <v/>
      </c>
      <c r="F39" s="1527" t="n"/>
      <c r="G39" s="1513" t="n"/>
      <c r="H39" s="1513" t="n"/>
      <c r="I39" s="1513" t="n"/>
      <c r="J39" s="1513" t="n"/>
      <c r="K39" s="1513" t="n"/>
      <c r="L39" s="1513" t="n"/>
      <c r="M39" s="1513" t="n"/>
      <c r="N39" s="1539" t="n"/>
      <c r="O39" s="1515" t="n"/>
      <c r="P39" s="1515" t="n"/>
      <c r="Q39" s="1514">
        <f>(E39*$AV$8)+(O39*P39)</f>
        <v/>
      </c>
      <c r="R39" s="1515" t="n"/>
      <c r="S39" s="1515" t="n"/>
      <c r="T39" s="1515" t="n"/>
      <c r="U39" s="1515" t="n"/>
      <c r="V39" s="1515" t="n"/>
      <c r="W39" s="1521" t="inlineStr">
        <is>
          <t>/</t>
        </is>
      </c>
      <c r="X39" s="1515" t="n"/>
      <c r="Y39" s="1515" t="n"/>
      <c r="Z39" s="1515">
        <f>'Fr-04.1'!Z40</f>
        <v/>
      </c>
      <c r="AA39" s="1517">
        <f>D39*E39*$AV$8/1000</f>
        <v/>
      </c>
      <c r="AB39" s="1541" t="n"/>
      <c r="AC39" s="1542" t="n"/>
      <c r="AD39" s="1542" t="n"/>
      <c r="AE39" s="1542" t="n"/>
      <c r="AF39" s="1542" t="n"/>
      <c r="AG39" s="1541" t="n"/>
      <c r="AH39" s="1542" t="n"/>
      <c r="AI39" s="1542" t="n"/>
      <c r="AJ39" s="1542" t="n"/>
      <c r="AK39" s="1542" t="n"/>
      <c r="AL39" s="1542" t="n"/>
      <c r="AM39" s="1542" t="n"/>
      <c r="AN39" s="1517">
        <f>D39*O39*P39/1000</f>
        <v/>
      </c>
      <c r="AO39" s="1517">
        <f>D39*Q39/1000</f>
        <v/>
      </c>
      <c r="AP39" s="1517">
        <f>AO39/$AO$43</f>
        <v/>
      </c>
      <c r="AQ39" s="1543" t="n"/>
      <c r="AR39" s="1543" t="n"/>
      <c r="AS39" s="1544" t="n"/>
    </row>
    <row r="40">
      <c r="A40" s="1412" t="n"/>
      <c r="B40" s="52">
        <f>'Fr-04.1'!B41</f>
        <v/>
      </c>
      <c r="C40" s="53">
        <f>'Fr-04.1'!C41</f>
        <v/>
      </c>
      <c r="D40" s="1538">
        <f>'Fr-04.1'!D41</f>
        <v/>
      </c>
      <c r="E40" s="1547">
        <f>'EF (1)'!C34</f>
        <v/>
      </c>
      <c r="F40" s="1527" t="n"/>
      <c r="G40" s="1513" t="n"/>
      <c r="H40" s="1513" t="n"/>
      <c r="I40" s="1513" t="n"/>
      <c r="J40" s="1513" t="n"/>
      <c r="K40" s="1513" t="n"/>
      <c r="L40" s="1513" t="n"/>
      <c r="M40" s="1548" t="n"/>
      <c r="N40" s="1539" t="n"/>
      <c r="O40" s="1515" t="n"/>
      <c r="P40" s="1538" t="n"/>
      <c r="Q40" s="1514">
        <f>(E40*$AV$8)+(O40*P40)</f>
        <v/>
      </c>
      <c r="R40" s="1515" t="n"/>
      <c r="S40" s="1515" t="n"/>
      <c r="T40" s="1515" t="n"/>
      <c r="U40" s="1515" t="n"/>
      <c r="V40" s="1515" t="n"/>
      <c r="W40" s="1521" t="inlineStr">
        <is>
          <t>/</t>
        </is>
      </c>
      <c r="X40" s="1515" t="n"/>
      <c r="Y40" s="1515" t="n"/>
      <c r="Z40" s="1515">
        <f>'Fr-04.1'!Z41</f>
        <v/>
      </c>
      <c r="AA40" s="1517">
        <f>D40*E40*$AV$8/1000</f>
        <v/>
      </c>
      <c r="AB40" s="1541" t="n"/>
      <c r="AC40" s="1542" t="n"/>
      <c r="AD40" s="1542" t="n"/>
      <c r="AE40" s="1542" t="n"/>
      <c r="AF40" s="1542" t="n"/>
      <c r="AG40" s="1541" t="n"/>
      <c r="AH40" s="1542" t="n"/>
      <c r="AI40" s="1542" t="n"/>
      <c r="AJ40" s="1542" t="n"/>
      <c r="AK40" s="1542" t="n"/>
      <c r="AL40" s="1542" t="n"/>
      <c r="AM40" s="1542" t="n"/>
      <c r="AN40" s="1517">
        <f>D40*O40*P40/1000</f>
        <v/>
      </c>
      <c r="AO40" s="1517">
        <f>D40*Q40/1000</f>
        <v/>
      </c>
      <c r="AP40" s="1517">
        <f>AO40/$AO$43</f>
        <v/>
      </c>
      <c r="AQ40" s="1543" t="n"/>
      <c r="AR40" s="1543" t="n"/>
      <c r="AS40" s="60" t="n"/>
      <c r="AT40" s="1549" t="n"/>
    </row>
    <row r="41">
      <c r="A41" s="1412" t="n"/>
      <c r="B41" s="52">
        <f>'Fr-04.1'!B42</f>
        <v/>
      </c>
      <c r="C41" s="53">
        <f>'Fr-04.1'!C42</f>
        <v/>
      </c>
      <c r="D41" s="1538">
        <f>'Fr-04.1'!D42</f>
        <v/>
      </c>
      <c r="E41" s="1547">
        <f>'EF (1)'!C36</f>
        <v/>
      </c>
      <c r="F41" s="1527" t="n"/>
      <c r="G41" s="1513" t="n"/>
      <c r="H41" s="1513" t="n"/>
      <c r="I41" s="1513" t="n"/>
      <c r="J41" s="1513" t="n"/>
      <c r="K41" s="1513" t="n"/>
      <c r="L41" s="1513" t="n"/>
      <c r="M41" s="1548" t="n"/>
      <c r="N41" s="1513" t="n"/>
      <c r="O41" s="1511" t="n"/>
      <c r="P41" s="1538" t="n"/>
      <c r="Q41" s="1551">
        <f>(E41*$AV$8)+(O41*P41)</f>
        <v/>
      </c>
      <c r="R41" s="1515" t="n"/>
      <c r="S41" s="1515" t="n"/>
      <c r="T41" s="1515" t="n"/>
      <c r="U41" s="1515" t="n"/>
      <c r="V41" s="1515" t="n"/>
      <c r="W41" s="1521" t="inlineStr">
        <is>
          <t>/</t>
        </is>
      </c>
      <c r="X41" s="1515" t="n"/>
      <c r="Y41" s="1515" t="n"/>
      <c r="Z41" s="1515">
        <f>'Fr-04.1'!Z42</f>
        <v/>
      </c>
      <c r="AA41" s="1552">
        <f>D41*E41*$AV$8/1000</f>
        <v/>
      </c>
      <c r="AB41" s="1541" t="n"/>
      <c r="AC41" s="1542" t="n"/>
      <c r="AD41" s="1542" t="n"/>
      <c r="AE41" s="1542" t="n"/>
      <c r="AF41" s="1553" t="n"/>
      <c r="AG41" s="1542" t="n"/>
      <c r="AH41" s="1542" t="n"/>
      <c r="AI41" s="1542" t="n"/>
      <c r="AJ41" s="1542" t="n"/>
      <c r="AK41" s="1542" t="n"/>
      <c r="AL41" s="1542" t="n"/>
      <c r="AM41" s="1553" t="n"/>
      <c r="AN41" s="1546">
        <f>D41*O41*P41/1000</f>
        <v/>
      </c>
      <c r="AO41" s="1517">
        <f>D41*Q41/1000</f>
        <v/>
      </c>
      <c r="AP41" s="1517">
        <f>AO41/$AO$43</f>
        <v/>
      </c>
      <c r="AQ41" s="1543" t="n"/>
      <c r="AR41" s="1543" t="n"/>
      <c r="AS41" s="60" t="n"/>
      <c r="AT41" s="1549" t="n"/>
    </row>
    <row r="42">
      <c r="A42" s="1412" t="n"/>
      <c r="B42" s="52">
        <f>'Fr-04.1'!B43</f>
        <v/>
      </c>
      <c r="C42" s="53">
        <f>'Fr-04.1'!C43</f>
        <v/>
      </c>
      <c r="D42" s="1538">
        <f>'Fr-04.1'!D43</f>
        <v/>
      </c>
      <c r="E42" s="1554">
        <f>'EF (1)'!C35</f>
        <v/>
      </c>
      <c r="F42" s="1527" t="n"/>
      <c r="G42" s="1513" t="n"/>
      <c r="H42" s="1513" t="n"/>
      <c r="I42" s="1513" t="n"/>
      <c r="J42" s="1513" t="n"/>
      <c r="K42" s="1513" t="n"/>
      <c r="L42" s="1513" t="n"/>
      <c r="M42" s="1548" t="n"/>
      <c r="N42" s="1513" t="n"/>
      <c r="O42" s="1511" t="n"/>
      <c r="P42" s="1538" t="n"/>
      <c r="Q42" s="1551">
        <f>(E42*$AV$8)+(O42*P42)</f>
        <v/>
      </c>
      <c r="R42" s="1516" t="n"/>
      <c r="S42" s="1516" t="n"/>
      <c r="T42" s="1516" t="n"/>
      <c r="U42" s="1516" t="n"/>
      <c r="V42" s="1516" t="n"/>
      <c r="W42" s="1521" t="inlineStr">
        <is>
          <t>/</t>
        </is>
      </c>
      <c r="X42" s="1516" t="n"/>
      <c r="Y42" s="1516" t="n"/>
      <c r="Z42" s="1515">
        <f>'Fr-04.1'!Z43</f>
        <v/>
      </c>
      <c r="AA42" s="1552">
        <f>D42*E42*$AV$8/1000</f>
        <v/>
      </c>
      <c r="AB42" s="1541" t="n"/>
      <c r="AC42" s="1542" t="n"/>
      <c r="AD42" s="1542" t="n"/>
      <c r="AE42" s="1542" t="n"/>
      <c r="AF42" s="1553" t="n"/>
      <c r="AG42" s="1542" t="n"/>
      <c r="AH42" s="1542" t="n"/>
      <c r="AI42" s="1542" t="n"/>
      <c r="AJ42" s="1542" t="n"/>
      <c r="AK42" s="1542" t="n"/>
      <c r="AL42" s="1542" t="n"/>
      <c r="AM42" s="1553" t="n"/>
      <c r="AN42" s="1546">
        <f>D42*O42*P42/1000</f>
        <v/>
      </c>
      <c r="AO42" s="1517">
        <f>D42*Q42/1000</f>
        <v/>
      </c>
      <c r="AP42" s="1517">
        <f>AO42/$AO$43</f>
        <v/>
      </c>
      <c r="AQ42" s="1546" t="n"/>
      <c r="AR42" s="1546" t="n"/>
      <c r="AS42" s="60" t="n"/>
      <c r="AT42" s="1549" t="n"/>
    </row>
    <row r="43">
      <c r="A43" s="1417" t="n"/>
      <c r="B43" s="1563" t="n"/>
      <c r="C43" s="1414" t="n"/>
      <c r="D43" s="1414" t="n"/>
      <c r="E43" s="1414" t="n"/>
      <c r="F43" s="1414" t="n"/>
      <c r="G43" s="1414" t="n"/>
      <c r="H43" s="1414" t="n"/>
      <c r="I43" s="1414" t="n"/>
      <c r="J43" s="1414" t="n"/>
      <c r="K43" s="1414" t="n"/>
      <c r="L43" s="1414" t="n"/>
      <c r="M43" s="1414" t="n"/>
      <c r="N43" s="1414" t="n"/>
      <c r="O43" s="1414" t="n"/>
      <c r="P43" s="1414" t="n"/>
      <c r="Q43" s="830" t="n"/>
      <c r="R43" s="1123" t="n"/>
      <c r="S43" s="1123" t="n"/>
      <c r="T43" s="1123" t="n"/>
      <c r="U43" s="1123" t="n"/>
      <c r="V43" s="1123" t="n"/>
      <c r="W43" s="1123" t="n"/>
      <c r="X43" s="1123" t="n"/>
      <c r="Y43" s="1123" t="n"/>
      <c r="Z43" s="1123" t="n"/>
      <c r="AA43" s="1564" t="n"/>
      <c r="AB43" s="1565" t="n"/>
      <c r="AC43" s="1565" t="n"/>
      <c r="AD43" s="1565" t="n"/>
      <c r="AE43" s="1565" t="n"/>
      <c r="AF43" s="1565" t="n"/>
      <c r="AG43" s="1565" t="n"/>
      <c r="AH43" s="1565" t="n"/>
      <c r="AI43" s="1565" t="n"/>
      <c r="AJ43" s="1565" t="n"/>
      <c r="AK43" s="1565" t="n"/>
      <c r="AL43" s="1565" t="n"/>
      <c r="AM43" s="1565" t="n"/>
      <c r="AN43" s="1565" t="n"/>
      <c r="AO43" s="1564">
        <f>SUM(AO36:AO42)</f>
        <v/>
      </c>
      <c r="AP43" s="1566">
        <f>SUM(AP36:AP42)</f>
        <v/>
      </c>
      <c r="AQ43" s="1566" t="n"/>
      <c r="AR43" s="1566" t="n"/>
      <c r="AS43" s="70" t="n"/>
      <c r="AT43" s="1549" t="n"/>
    </row>
    <row r="44">
      <c r="A44" s="1506" t="inlineStr">
        <is>
          <t>ขอบเขต 2</t>
        </is>
      </c>
      <c r="B44" s="71">
        <f>'Fr-04.1'!B45</f>
        <v/>
      </c>
      <c r="C44" s="102">
        <f>'Fr-04.1'!C45</f>
        <v/>
      </c>
      <c r="D44" s="1567">
        <f>'Fr-04.1'!D45</f>
        <v/>
      </c>
      <c r="E44" s="1568" t="n"/>
      <c r="F44" s="1409" t="n"/>
      <c r="G44" s="1409" t="n"/>
      <c r="H44" s="1409" t="n"/>
      <c r="I44" s="1409" t="n"/>
      <c r="J44" s="1409" t="n"/>
      <c r="K44" s="1409" t="n"/>
      <c r="L44" s="1409" t="n"/>
      <c r="M44" s="1409" t="n"/>
      <c r="N44" s="1409" t="n"/>
      <c r="O44" s="1409" t="n"/>
      <c r="P44" s="1410" t="n"/>
      <c r="Q44" s="1569">
        <f>'Fr-04.1'!Q45</f>
        <v/>
      </c>
      <c r="R44" s="1515" t="n"/>
      <c r="S44" s="1515" t="n"/>
      <c r="T44" s="1515" t="n"/>
      <c r="U44" s="1521" t="inlineStr">
        <is>
          <t>/</t>
        </is>
      </c>
      <c r="V44" s="1515" t="n"/>
      <c r="W44" s="1515" t="n"/>
      <c r="X44" s="1515" t="n"/>
      <c r="Y44" s="1515" t="n"/>
      <c r="Z44" s="1515">
        <f>'Fr-04.1'!Z45</f>
        <v/>
      </c>
      <c r="AA44" s="1570" t="n"/>
      <c r="AB44" s="1409" t="n"/>
      <c r="AC44" s="1409" t="n"/>
      <c r="AD44" s="1409" t="n"/>
      <c r="AE44" s="1409" t="n"/>
      <c r="AF44" s="1409" t="n"/>
      <c r="AG44" s="1409" t="n"/>
      <c r="AH44" s="1409" t="n"/>
      <c r="AI44" s="1409" t="n"/>
      <c r="AJ44" s="1409" t="n"/>
      <c r="AK44" s="1409" t="n"/>
      <c r="AL44" s="1409" t="n"/>
      <c r="AM44" s="1409" t="n"/>
      <c r="AN44" s="1410" t="n"/>
      <c r="AO44" s="1517">
        <f>D44*Q44/1000</f>
        <v/>
      </c>
      <c r="AP44" s="1517">
        <f>AO44/$AO$48</f>
        <v/>
      </c>
      <c r="AQ44" s="1517">
        <f>AO44/$AO$57</f>
        <v/>
      </c>
      <c r="AR44" s="1517">
        <f>AO44/$AO$58</f>
        <v/>
      </c>
      <c r="AS44" s="25" t="n"/>
      <c r="AU44" s="74" t="n"/>
    </row>
    <row r="45">
      <c r="A45" s="1412" t="n"/>
      <c r="B45" s="71">
        <f>'Fr-04.1'!B46</f>
        <v/>
      </c>
      <c r="C45" s="102">
        <f>'Fr-04.1'!C46</f>
        <v/>
      </c>
      <c r="D45" s="1519">
        <f>'Fr-04.1'!D46</f>
        <v/>
      </c>
      <c r="E45" s="1419" t="n"/>
      <c r="P45" s="1420" t="n"/>
      <c r="Q45" s="1571">
        <f>'Fr-04.1'!Q46</f>
        <v/>
      </c>
      <c r="R45" s="1515" t="n"/>
      <c r="S45" s="1515" t="n"/>
      <c r="T45" s="1515" t="n"/>
      <c r="U45" s="1521" t="inlineStr">
        <is>
          <t>/</t>
        </is>
      </c>
      <c r="V45" s="1515" t="n"/>
      <c r="W45" s="1515" t="n"/>
      <c r="X45" s="1515" t="n"/>
      <c r="Y45" s="1515" t="n"/>
      <c r="Z45" s="1515">
        <f>'Fr-04.1'!Z46</f>
        <v/>
      </c>
      <c r="AN45" s="1420" t="n"/>
      <c r="AO45" s="1517">
        <f>D45*Q45/1000</f>
        <v/>
      </c>
      <c r="AP45" s="1517">
        <f>AO45/$AO$48</f>
        <v/>
      </c>
      <c r="AQ45" s="1517">
        <f>AO45/$AO$57</f>
        <v/>
      </c>
      <c r="AR45" s="1517">
        <f>AO45/$AO$58</f>
        <v/>
      </c>
      <c r="AS45" s="1522" t="n"/>
      <c r="AT45" s="1523" t="n"/>
      <c r="AU45" s="1572" t="n"/>
    </row>
    <row r="46">
      <c r="A46" s="1412" t="n"/>
      <c r="B46" s="71" t="n"/>
      <c r="C46" s="15" t="n"/>
      <c r="D46" s="1519" t="n"/>
      <c r="E46" s="1419" t="n"/>
      <c r="P46" s="1420" t="n"/>
      <c r="Q46" s="1571" t="n"/>
      <c r="R46" s="1515" t="n"/>
      <c r="S46" s="1515" t="n"/>
      <c r="T46" s="1515" t="n"/>
      <c r="U46" s="1515" t="n"/>
      <c r="V46" s="1515" t="n"/>
      <c r="W46" s="1515" t="n"/>
      <c r="X46" s="1515" t="n"/>
      <c r="Y46" s="1515" t="n"/>
      <c r="Z46" s="1515" t="n"/>
      <c r="AN46" s="1420" t="n"/>
      <c r="AO46" s="1517">
        <f>D46*Q46/1000</f>
        <v/>
      </c>
      <c r="AP46" s="1517">
        <f>AO46/$AO$48</f>
        <v/>
      </c>
      <c r="AQ46" s="1517">
        <f>AO46/$AO$57</f>
        <v/>
      </c>
      <c r="AR46" s="1517">
        <f>AO46/$AO$58</f>
        <v/>
      </c>
      <c r="AS46" s="25" t="n"/>
    </row>
    <row r="47">
      <c r="A47" s="1412" t="n"/>
      <c r="B47" s="71" t="n"/>
      <c r="C47" s="15" t="n"/>
      <c r="D47" s="1573" t="n"/>
      <c r="E47" s="1413" t="n"/>
      <c r="F47" s="1414" t="n"/>
      <c r="G47" s="1414" t="n"/>
      <c r="H47" s="1414" t="n"/>
      <c r="I47" s="1414" t="n"/>
      <c r="J47" s="1414" t="n"/>
      <c r="K47" s="1414" t="n"/>
      <c r="L47" s="1414" t="n"/>
      <c r="M47" s="1414" t="n"/>
      <c r="N47" s="1414" t="n"/>
      <c r="O47" s="1414" t="n"/>
      <c r="P47" s="830" t="n"/>
      <c r="Q47" s="1574" t="n"/>
      <c r="R47" s="1515" t="n"/>
      <c r="S47" s="1515" t="n"/>
      <c r="T47" s="1515" t="n"/>
      <c r="U47" s="1515" t="n"/>
      <c r="V47" s="1515" t="n"/>
      <c r="W47" s="1515" t="n"/>
      <c r="X47" s="1515" t="n"/>
      <c r="Y47" s="1515" t="n"/>
      <c r="Z47" s="1515" t="n"/>
      <c r="AA47" s="1414" t="n"/>
      <c r="AB47" s="1414" t="n"/>
      <c r="AC47" s="1414" t="n"/>
      <c r="AD47" s="1414" t="n"/>
      <c r="AE47" s="1414" t="n"/>
      <c r="AF47" s="1414" t="n"/>
      <c r="AG47" s="1414" t="n"/>
      <c r="AH47" s="1414" t="n"/>
      <c r="AI47" s="1414" t="n"/>
      <c r="AJ47" s="1414" t="n"/>
      <c r="AK47" s="1414" t="n"/>
      <c r="AL47" s="1414" t="n"/>
      <c r="AM47" s="1414" t="n"/>
      <c r="AN47" s="830" t="n"/>
      <c r="AO47" s="1517" t="n"/>
      <c r="AP47" s="1517">
        <f>AO47/$AO$48</f>
        <v/>
      </c>
      <c r="AQ47" s="1517">
        <f>AO47/$AO$57</f>
        <v/>
      </c>
      <c r="AR47" s="1517">
        <f>AO47/$AO$58</f>
        <v/>
      </c>
      <c r="AS47" s="25" t="n"/>
      <c r="AU47" s="79" t="n"/>
    </row>
    <row r="48">
      <c r="A48" s="1417" t="n"/>
      <c r="B48" s="1575" t="n"/>
      <c r="C48" s="1415" t="n"/>
      <c r="D48" s="1415" t="n"/>
      <c r="E48" s="1415" t="n"/>
      <c r="F48" s="1415" t="n"/>
      <c r="G48" s="1415" t="n"/>
      <c r="H48" s="1415" t="n"/>
      <c r="I48" s="1415" t="n"/>
      <c r="J48" s="1415" t="n"/>
      <c r="K48" s="1415" t="n"/>
      <c r="L48" s="1415" t="n"/>
      <c r="M48" s="1415" t="n"/>
      <c r="N48" s="1415" t="n"/>
      <c r="O48" s="1415" t="n"/>
      <c r="P48" s="1415" t="n"/>
      <c r="Q48" s="1416" t="n"/>
      <c r="R48" s="1109" t="n"/>
      <c r="S48" s="1109" t="n"/>
      <c r="T48" s="1109" t="n"/>
      <c r="U48" s="1109" t="n"/>
      <c r="V48" s="1109" t="n"/>
      <c r="W48" s="1109" t="n"/>
      <c r="X48" s="1109" t="n"/>
      <c r="Y48" s="1109" t="n"/>
      <c r="Z48" s="1109" t="n"/>
      <c r="AA48" s="1564" t="n"/>
      <c r="AB48" s="1564" t="n"/>
      <c r="AC48" s="1564" t="n"/>
      <c r="AD48" s="1564" t="n"/>
      <c r="AE48" s="1564" t="n"/>
      <c r="AF48" s="1564" t="n"/>
      <c r="AG48" s="1564" t="n"/>
      <c r="AH48" s="1564" t="n"/>
      <c r="AI48" s="1564" t="n"/>
      <c r="AJ48" s="1564" t="n"/>
      <c r="AK48" s="1564" t="n"/>
      <c r="AL48" s="1564" t="n"/>
      <c r="AM48" s="1564" t="n"/>
      <c r="AN48" s="1564" t="n"/>
      <c r="AO48" s="1564">
        <f>SUM(AO44:AO47)</f>
        <v/>
      </c>
      <c r="AP48" s="1564">
        <f>SUM(AP44:AP47)</f>
        <v/>
      </c>
      <c r="AQ48" s="1564" t="n"/>
      <c r="AR48" s="1564" t="n"/>
      <c r="AS48" s="80" t="n"/>
    </row>
    <row r="49">
      <c r="A49" s="1506" t="inlineStr">
        <is>
          <t>ขอบเขต 3</t>
        </is>
      </c>
      <c r="B49" s="811">
        <f>'Fr-04.1'!B50</f>
        <v/>
      </c>
      <c r="C49" s="81" t="n"/>
      <c r="D49" s="1576" t="n"/>
      <c r="E49" s="1577" t="n"/>
      <c r="F49" s="1409" t="n"/>
      <c r="G49" s="1409" t="n"/>
      <c r="H49" s="1409" t="n"/>
      <c r="I49" s="1409" t="n"/>
      <c r="J49" s="1409" t="n"/>
      <c r="K49" s="1409" t="n"/>
      <c r="L49" s="1409" t="n"/>
      <c r="M49" s="1409" t="n"/>
      <c r="N49" s="1409" t="n"/>
      <c r="O49" s="1409" t="n"/>
      <c r="P49" s="1409" t="n"/>
      <c r="Q49" s="1578" t="n"/>
      <c r="R49" s="1515" t="n"/>
      <c r="S49" s="1515" t="n"/>
      <c r="T49" s="1515" t="n"/>
      <c r="U49" s="1515" t="n"/>
      <c r="V49" s="1515" t="n"/>
      <c r="W49" s="1515" t="n"/>
      <c r="X49" s="1515" t="n"/>
      <c r="Y49" s="1515" t="n"/>
      <c r="Z49" s="1515" t="n"/>
      <c r="AA49" s="1570" t="n"/>
      <c r="AB49" s="1409" t="n"/>
      <c r="AC49" s="1409" t="n"/>
      <c r="AD49" s="1409" t="n"/>
      <c r="AE49" s="1409" t="n"/>
      <c r="AF49" s="1409" t="n"/>
      <c r="AG49" s="1409" t="n"/>
      <c r="AH49" s="1409" t="n"/>
      <c r="AI49" s="1409" t="n"/>
      <c r="AJ49" s="1409" t="n"/>
      <c r="AK49" s="1409" t="n"/>
      <c r="AL49" s="1409" t="n"/>
      <c r="AM49" s="1409" t="n"/>
      <c r="AN49" s="1410" t="n"/>
      <c r="AO49" s="1517">
        <f>D49*Q49/1000</f>
        <v/>
      </c>
      <c r="AP49" s="1517">
        <f>AO49/$AO$56</f>
        <v/>
      </c>
      <c r="AQ49" s="1517" t="n"/>
      <c r="AR49" s="1517">
        <f>AO49/$AO$58</f>
        <v/>
      </c>
      <c r="AS49" s="25" t="n"/>
    </row>
    <row r="50">
      <c r="A50" s="1412" t="n"/>
      <c r="B50" s="71">
        <f>'Fr-04.1'!B51</f>
        <v/>
      </c>
      <c r="C50" s="808">
        <f>'Fr-04.1'!C51</f>
        <v/>
      </c>
      <c r="D50" s="52">
        <f>'Fr-04.1'!D51</f>
        <v/>
      </c>
      <c r="E50" s="1419" t="n"/>
      <c r="Q50" s="1580">
        <f>'Fr-04.1'!Q51</f>
        <v/>
      </c>
      <c r="R50" s="1515" t="n"/>
      <c r="S50" s="1515" t="n"/>
      <c r="T50" s="1515" t="n"/>
      <c r="U50" s="1521" t="inlineStr">
        <is>
          <t>/</t>
        </is>
      </c>
      <c r="V50" s="1515" t="n"/>
      <c r="W50" s="1515" t="n"/>
      <c r="X50" s="1515" t="n"/>
      <c r="Y50" s="1515" t="n"/>
      <c r="Z50" s="1515">
        <f>'Fr-04.1'!Z51</f>
        <v/>
      </c>
      <c r="AN50" s="1420" t="n"/>
      <c r="AO50" s="1517">
        <f>D50*Q50/1000</f>
        <v/>
      </c>
      <c r="AP50" s="1517">
        <f>AO50/$AO$56</f>
        <v/>
      </c>
      <c r="AQ50" s="1517" t="n"/>
      <c r="AR50" s="1517">
        <f>AO50/$AO$58</f>
        <v/>
      </c>
      <c r="AS50" s="1522" t="n"/>
      <c r="AT50" s="1523" t="n"/>
    </row>
    <row r="51">
      <c r="A51" s="1412" t="n"/>
      <c r="B51" s="71">
        <f>'Fr-04.1'!B52</f>
        <v/>
      </c>
      <c r="C51" s="808">
        <f>'Fr-04.1'!C52</f>
        <v/>
      </c>
      <c r="D51" s="52">
        <f>'Fr-04.1'!D52</f>
        <v/>
      </c>
      <c r="E51" s="1419" t="n"/>
      <c r="Q51" s="1580">
        <f>'Fr-04.1'!Q52</f>
        <v/>
      </c>
      <c r="R51" s="1515" t="n"/>
      <c r="S51" s="1515" t="n"/>
      <c r="T51" s="1515" t="n"/>
      <c r="U51" s="1521" t="inlineStr">
        <is>
          <t>/</t>
        </is>
      </c>
      <c r="V51" s="1515" t="n"/>
      <c r="W51" s="1515" t="n"/>
      <c r="X51" s="1515" t="n"/>
      <c r="Y51" s="1515" t="n"/>
      <c r="Z51" s="1515">
        <f>'Fr-04.1'!Z52</f>
        <v/>
      </c>
      <c r="AN51" s="1420" t="n"/>
      <c r="AO51" s="1517">
        <f>D51*Q51/1000</f>
        <v/>
      </c>
      <c r="AP51" s="1517">
        <f>AO51/$AO$56</f>
        <v/>
      </c>
      <c r="AQ51" s="1517" t="n"/>
      <c r="AR51" s="1517">
        <f>AO51/$AO$58</f>
        <v/>
      </c>
      <c r="AS51" s="1522" t="n"/>
    </row>
    <row r="52">
      <c r="A52" s="1412" t="n"/>
      <c r="B52" s="71">
        <f>'Fr-04.1'!B53</f>
        <v/>
      </c>
      <c r="C52" s="808">
        <f>'Fr-04.1'!C53</f>
        <v/>
      </c>
      <c r="D52" s="52">
        <f>'Fr-04.1'!D53</f>
        <v/>
      </c>
      <c r="E52" s="1419" t="n"/>
      <c r="Q52" s="1580">
        <f>'Fr-04.1'!Q53</f>
        <v/>
      </c>
      <c r="R52" s="1515" t="n"/>
      <c r="S52" s="1515" t="n"/>
      <c r="T52" s="1515" t="n"/>
      <c r="U52" s="1521" t="inlineStr">
        <is>
          <t>/</t>
        </is>
      </c>
      <c r="V52" s="1515" t="n"/>
      <c r="W52" s="1515" t="n"/>
      <c r="X52" s="1515" t="n"/>
      <c r="Y52" s="1515" t="n"/>
      <c r="Z52" s="1515">
        <f>'Fr-04.1'!Z53</f>
        <v/>
      </c>
      <c r="AN52" s="1420" t="n"/>
      <c r="AO52" s="1517">
        <f>D52*Q52/1000</f>
        <v/>
      </c>
      <c r="AP52" s="1517">
        <f>AO52/$AO$56</f>
        <v/>
      </c>
      <c r="AQ52" s="1517" t="n"/>
      <c r="AR52" s="1517">
        <f>AO52/$AO$58</f>
        <v/>
      </c>
      <c r="AS52" s="25" t="n"/>
      <c r="AU52" s="1056" t="n"/>
    </row>
    <row r="53">
      <c r="A53" s="1412" t="n"/>
      <c r="B53" s="71" t="n"/>
      <c r="C53" s="83" t="n"/>
      <c r="D53" s="1579" t="n"/>
      <c r="E53" s="1419" t="n"/>
      <c r="Q53" s="1580" t="n"/>
      <c r="R53" s="1515" t="n"/>
      <c r="S53" s="1515" t="n"/>
      <c r="T53" s="1515" t="n"/>
      <c r="U53" s="1515" t="n"/>
      <c r="V53" s="1515" t="n"/>
      <c r="W53" s="1515" t="n"/>
      <c r="X53" s="1515" t="n"/>
      <c r="Y53" s="1515" t="n"/>
      <c r="Z53" s="1515" t="n"/>
      <c r="AN53" s="1420" t="n"/>
      <c r="AO53" s="1517">
        <f>D53*Q53/1000</f>
        <v/>
      </c>
      <c r="AP53" s="1517">
        <f>AO53/$AO$56</f>
        <v/>
      </c>
      <c r="AQ53" s="1517" t="n"/>
      <c r="AR53" s="1517">
        <f>AO53/$AO$58</f>
        <v/>
      </c>
      <c r="AS53" s="25" t="n"/>
    </row>
    <row r="54">
      <c r="A54" s="1412" t="n"/>
      <c r="B54" s="52" t="n"/>
      <c r="C54" s="83" t="n"/>
      <c r="D54" s="1519" t="n"/>
      <c r="E54" s="1419" t="n"/>
      <c r="Q54" s="1515" t="n"/>
      <c r="R54" s="1515" t="n"/>
      <c r="S54" s="1515" t="n"/>
      <c r="T54" s="1515" t="n"/>
      <c r="U54" s="1515" t="n"/>
      <c r="V54" s="1515" t="n"/>
      <c r="W54" s="1515" t="n"/>
      <c r="X54" s="1515" t="n"/>
      <c r="Y54" s="1515" t="n"/>
      <c r="Z54" s="1515" t="n"/>
      <c r="AN54" s="1420" t="n"/>
      <c r="AO54" s="1517">
        <f>D54*Q54/1000</f>
        <v/>
      </c>
      <c r="AP54" s="1517">
        <f>AO54/$AO$56</f>
        <v/>
      </c>
      <c r="AQ54" s="1517" t="n"/>
      <c r="AR54" s="1517">
        <f>AO54/$AO$58</f>
        <v/>
      </c>
      <c r="AS54" s="25" t="n"/>
    </row>
    <row r="55">
      <c r="A55" s="1412" t="n"/>
      <c r="B55" s="86" t="n"/>
      <c r="C55" s="83" t="n"/>
      <c r="D55" s="1573" t="n"/>
      <c r="E55" s="1413" t="n"/>
      <c r="F55" s="1414" t="n"/>
      <c r="G55" s="1414" t="n"/>
      <c r="H55" s="1414" t="n"/>
      <c r="I55" s="1414" t="n"/>
      <c r="J55" s="1414" t="n"/>
      <c r="K55" s="1414" t="n"/>
      <c r="L55" s="1414" t="n"/>
      <c r="M55" s="1414" t="n"/>
      <c r="N55" s="1414" t="n"/>
      <c r="O55" s="1414" t="n"/>
      <c r="P55" s="1414" t="n"/>
      <c r="Q55" s="1531" t="n"/>
      <c r="R55" s="1515" t="n"/>
      <c r="S55" s="1515" t="n"/>
      <c r="T55" s="1515" t="n"/>
      <c r="U55" s="1515" t="n"/>
      <c r="V55" s="1515" t="n"/>
      <c r="W55" s="1515" t="n"/>
      <c r="X55" s="1515" t="n"/>
      <c r="Y55" s="1515" t="n"/>
      <c r="Z55" s="1515" t="n"/>
      <c r="AA55" s="1414" t="n"/>
      <c r="AB55" s="1414" t="n"/>
      <c r="AC55" s="1414" t="n"/>
      <c r="AD55" s="1414" t="n"/>
      <c r="AE55" s="1414" t="n"/>
      <c r="AF55" s="1414" t="n"/>
      <c r="AG55" s="1414" t="n"/>
      <c r="AH55" s="1414" t="n"/>
      <c r="AI55" s="1414" t="n"/>
      <c r="AJ55" s="1414" t="n"/>
      <c r="AK55" s="1414" t="n"/>
      <c r="AL55" s="1414" t="n"/>
      <c r="AM55" s="1414" t="n"/>
      <c r="AN55" s="830" t="n"/>
      <c r="AO55" s="1517" t="n"/>
      <c r="AP55" s="1517">
        <f>AO55/$AO$56</f>
        <v/>
      </c>
      <c r="AQ55" s="1517" t="n"/>
      <c r="AR55" s="1517">
        <f>AO55/$AO$58</f>
        <v/>
      </c>
      <c r="AS55" s="25" t="n"/>
    </row>
    <row r="56">
      <c r="A56" s="1417" t="n"/>
      <c r="B56" s="1575" t="n"/>
      <c r="C56" s="1415" t="n"/>
      <c r="D56" s="1415" t="n"/>
      <c r="E56" s="1415" t="n"/>
      <c r="F56" s="1415" t="n"/>
      <c r="G56" s="1415" t="n"/>
      <c r="H56" s="1415" t="n"/>
      <c r="I56" s="1415" t="n"/>
      <c r="J56" s="1415" t="n"/>
      <c r="K56" s="1415" t="n"/>
      <c r="L56" s="1415" t="n"/>
      <c r="M56" s="1415" t="n"/>
      <c r="N56" s="1415" t="n"/>
      <c r="O56" s="1415" t="n"/>
      <c r="P56" s="1415" t="n"/>
      <c r="Q56" s="1416" t="n"/>
      <c r="R56" s="1109" t="n"/>
      <c r="S56" s="1109" t="n"/>
      <c r="T56" s="1109" t="n"/>
      <c r="U56" s="1109" t="n"/>
      <c r="V56" s="1109" t="n"/>
      <c r="W56" s="1109" t="n"/>
      <c r="X56" s="1109" t="n"/>
      <c r="Y56" s="1109" t="n"/>
      <c r="Z56" s="1109" t="n"/>
      <c r="AA56" s="1564" t="n"/>
      <c r="AB56" s="1564" t="n"/>
      <c r="AC56" s="1564" t="n"/>
      <c r="AD56" s="1564" t="n"/>
      <c r="AE56" s="1564" t="n"/>
      <c r="AF56" s="1564" t="n"/>
      <c r="AG56" s="1564" t="n"/>
      <c r="AH56" s="1564" t="n"/>
      <c r="AI56" s="1564" t="n"/>
      <c r="AJ56" s="1564" t="n"/>
      <c r="AK56" s="1564" t="n"/>
      <c r="AL56" s="1564" t="n"/>
      <c r="AM56" s="1564" t="n"/>
      <c r="AN56" s="1564" t="n"/>
      <c r="AO56" s="1564">
        <f>SUM(AO49:AO55)</f>
        <v/>
      </c>
      <c r="AP56" s="1566">
        <f>SUM(AP49:AP55)</f>
        <v/>
      </c>
      <c r="AQ56" s="1566" t="n"/>
      <c r="AR56" s="1566" t="n"/>
      <c r="AS56" s="70" t="n"/>
    </row>
    <row r="57">
      <c r="A57" s="87" t="n"/>
      <c r="B57" s="1056" t="n"/>
      <c r="C57" s="88" t="n"/>
      <c r="D57" s="1579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1581">
        <f>AA35+AA48</f>
        <v/>
      </c>
      <c r="AB57" s="1581">
        <f>AB35+AB48</f>
        <v/>
      </c>
      <c r="AC57" s="1581" t="n"/>
      <c r="AD57" s="1581">
        <f>AD35+AD48</f>
        <v/>
      </c>
      <c r="AE57" s="1581">
        <f>AE35+AE48</f>
        <v/>
      </c>
      <c r="AF57" s="1581">
        <f>AF35+AF48</f>
        <v/>
      </c>
      <c r="AG57" s="1581">
        <f>AG35+AG48</f>
        <v/>
      </c>
      <c r="AH57" s="1581" t="n"/>
      <c r="AI57" s="1581">
        <f>AI35+AI48</f>
        <v/>
      </c>
      <c r="AJ57" s="1581">
        <f>AJ35+AJ48</f>
        <v/>
      </c>
      <c r="AK57" s="1581">
        <f>AK35+AK48</f>
        <v/>
      </c>
      <c r="AL57" s="1581">
        <f>AL35+AL48</f>
        <v/>
      </c>
      <c r="AM57" s="1581">
        <f>AM35+AM48</f>
        <v/>
      </c>
      <c r="AN57" s="1581">
        <f>AN35+AN48</f>
        <v/>
      </c>
      <c r="AO57" s="1581">
        <f>AO35+AO48</f>
        <v/>
      </c>
      <c r="AP57" s="1581" t="n"/>
      <c r="AQ57" s="1581">
        <f>SUM(AQ10:AQ34)+SUM(AQ44:AQ47)</f>
        <v/>
      </c>
      <c r="AR57" s="1581">
        <f>SUM(AR10:AR34)+SUM(AR44:AR47)+SUM(AR49:AR55)</f>
        <v/>
      </c>
      <c r="AS57" s="90" t="n"/>
      <c r="AT57" s="1549" t="n"/>
    </row>
    <row r="58">
      <c r="A58" s="87" t="n"/>
      <c r="B58" s="1056" t="n"/>
      <c r="C58" s="88" t="n"/>
      <c r="D58" s="1579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1581">
        <f>AA35+AA48+AA56</f>
        <v/>
      </c>
      <c r="AB58" s="1581">
        <f>AB35+AB48+AB56</f>
        <v/>
      </c>
      <c r="AC58" s="1581" t="n"/>
      <c r="AD58" s="1581">
        <f>AD35+AD48+AD56</f>
        <v/>
      </c>
      <c r="AE58" s="1581">
        <f>AE35+AE48+AE56</f>
        <v/>
      </c>
      <c r="AF58" s="1581">
        <f>AF35+AF48+AF56</f>
        <v/>
      </c>
      <c r="AG58" s="1581">
        <f>AG35+AG48+AG56</f>
        <v/>
      </c>
      <c r="AH58" s="1581" t="n"/>
      <c r="AI58" s="1581">
        <f>AI35+AI48+AI56</f>
        <v/>
      </c>
      <c r="AJ58" s="1581">
        <f>AJ35+AJ48+AJ56</f>
        <v/>
      </c>
      <c r="AK58" s="1581">
        <f>AK35+AK48+AK56</f>
        <v/>
      </c>
      <c r="AL58" s="1581">
        <f>AL35+AL48+AL56</f>
        <v/>
      </c>
      <c r="AM58" s="1581">
        <f>AM35+AM48+AM56</f>
        <v/>
      </c>
      <c r="AN58" s="1581">
        <f>AN35+AN48+AN56</f>
        <v/>
      </c>
      <c r="AO58" s="1581">
        <f>AO35+AO48+AO56</f>
        <v/>
      </c>
      <c r="AP58" s="1581" t="n"/>
      <c r="AQ58" s="1581" t="n"/>
      <c r="AR58" s="1581" t="n"/>
      <c r="AS58" s="90" t="n"/>
      <c r="AT58" s="1549" t="n"/>
    </row>
    <row r="59">
      <c r="A59" s="91" t="inlineStr">
        <is>
          <t>จัดทำโดย</t>
        </is>
      </c>
      <c r="B59" s="1045">
        <f>'Fr-04.1'!B60</f>
        <v/>
      </c>
      <c r="C59" s="1415" t="n"/>
      <c r="D59" s="1415" t="n"/>
      <c r="E59" s="1415" t="n"/>
      <c r="F59" s="1415" t="n"/>
      <c r="G59" s="1415" t="n"/>
      <c r="H59" s="1415" t="n"/>
      <c r="I59" s="1415" t="n"/>
      <c r="J59" s="1415" t="n"/>
      <c r="K59" s="1415" t="n"/>
      <c r="L59" s="1415" t="n"/>
      <c r="M59" s="1415" t="n"/>
      <c r="N59" s="1415" t="n"/>
      <c r="O59" s="1415" t="n"/>
      <c r="P59" s="1415" t="n"/>
      <c r="Q59" s="1415" t="n"/>
      <c r="R59" s="1046" t="n"/>
      <c r="S59" s="1046" t="n"/>
      <c r="T59" s="1046" t="n"/>
      <c r="U59" s="1046" t="n"/>
      <c r="V59" s="1046" t="n"/>
      <c r="W59" s="1046" t="n"/>
      <c r="X59" s="1046" t="n"/>
      <c r="Y59" s="1046" t="n"/>
      <c r="Z59" s="1046" t="n"/>
      <c r="AA59" s="92" t="n"/>
      <c r="AB59" s="92" t="n"/>
      <c r="AC59" s="92" t="n"/>
      <c r="AD59" s="92" t="n"/>
      <c r="AE59" s="92" t="n"/>
      <c r="AF59" s="92" t="n"/>
      <c r="AG59" s="92" t="n"/>
      <c r="AH59" s="92" t="n"/>
      <c r="AI59" s="92" t="n"/>
      <c r="AJ59" s="92" t="n"/>
      <c r="AK59" s="92" t="n"/>
      <c r="AL59" s="92" t="n"/>
      <c r="AM59" s="92" t="n"/>
      <c r="AN59" s="92" t="n"/>
      <c r="AO59" s="92" t="n"/>
      <c r="AP59" s="92" t="n"/>
      <c r="AQ59" s="92" t="n"/>
      <c r="AR59" s="92" t="n"/>
      <c r="AS59" s="816">
        <f t="array" ref="AS59:AU59">'Fr-03.1'!K35:M35</f>
        <v/>
      </c>
      <c r="AT59" t="n">
        <v>0</v>
      </c>
      <c r="AU59" t="n">
        <v>0</v>
      </c>
    </row>
    <row r="60">
      <c r="A60" s="1056" t="n"/>
      <c r="B60" s="1056" t="n"/>
      <c r="C60" s="1263" t="n"/>
      <c r="D60" s="1582" t="n"/>
      <c r="E60" s="1056" t="n"/>
      <c r="F60" s="1056" t="n"/>
      <c r="G60" s="1056" t="n"/>
      <c r="H60" s="1056" t="n"/>
      <c r="I60" s="1056" t="n"/>
      <c r="J60" s="1056" t="n"/>
      <c r="K60" s="1056" t="n"/>
      <c r="L60" s="1056" t="n"/>
      <c r="M60" s="1056" t="n"/>
      <c r="N60" s="1056" t="n"/>
      <c r="O60" s="1056" t="n"/>
      <c r="P60" s="1056" t="n"/>
      <c r="Q60" s="1056" t="n"/>
      <c r="R60" s="1056" t="n"/>
      <c r="S60" s="1056" t="n"/>
      <c r="T60" s="1056" t="n"/>
      <c r="U60" s="1056" t="n"/>
      <c r="V60" s="1056" t="n"/>
      <c r="W60" s="1056" t="n"/>
      <c r="X60" s="1056" t="n"/>
      <c r="Y60" s="1056" t="n"/>
      <c r="Z60" s="1056" t="n"/>
      <c r="AA60" s="1056" t="n"/>
      <c r="AB60" s="1056" t="n"/>
      <c r="AC60" s="1056" t="n"/>
      <c r="AD60" s="1056" t="n"/>
      <c r="AE60" s="1056" t="n"/>
      <c r="AF60" s="1056" t="n"/>
      <c r="AG60" s="1056" t="n"/>
      <c r="AH60" s="1056" t="n"/>
      <c r="AI60" s="1056" t="n"/>
      <c r="AJ60" s="1056" t="n"/>
      <c r="AK60" s="1056" t="n"/>
      <c r="AL60" s="1056" t="n"/>
      <c r="AM60" s="1056" t="n"/>
      <c r="AN60" s="1056" t="n"/>
      <c r="AO60" s="1056" t="n"/>
      <c r="AP60" s="1056" t="n"/>
      <c r="AQ60" s="1056" t="n"/>
      <c r="AR60" s="1056" t="n"/>
      <c r="AS60" s="1056" t="n"/>
      <c r="AT60" s="1583" t="n"/>
    </row>
    <row r="61">
      <c r="B61" s="1056" t="n"/>
    </row>
    <row r="62" ht="19.2" customHeight="1">
      <c r="B62" s="96" t="n"/>
    </row>
    <row r="63" ht="19.2" customHeight="1">
      <c r="B63" s="96" t="n"/>
    </row>
    <row r="64" ht="19.2" customHeight="1">
      <c r="B64" s="96" t="n"/>
    </row>
  </sheetData>
  <mergeCells count="57">
    <mergeCell ref="AA6:AF8"/>
    <mergeCell ref="C6:D8"/>
    <mergeCell ref="T7:W7"/>
    <mergeCell ref="S8:S9"/>
    <mergeCell ref="A1:A4"/>
    <mergeCell ref="A49:A56"/>
    <mergeCell ref="AO1:AS2"/>
    <mergeCell ref="I4:AA4"/>
    <mergeCell ref="E8:L8"/>
    <mergeCell ref="A36:A43"/>
    <mergeCell ref="AS6:AS9"/>
    <mergeCell ref="C3:F3"/>
    <mergeCell ref="A44:A48"/>
    <mergeCell ref="R7:S7"/>
    <mergeCell ref="A6:A9"/>
    <mergeCell ref="AU6:AV6"/>
    <mergeCell ref="AG6:AN8"/>
    <mergeCell ref="P8:P9"/>
    <mergeCell ref="AO4:AQ4"/>
    <mergeCell ref="T8:T9"/>
    <mergeCell ref="E49:P55"/>
    <mergeCell ref="E6:N7"/>
    <mergeCell ref="AR4:AS4"/>
    <mergeCell ref="B59:Q59"/>
    <mergeCell ref="Y6:Y9"/>
    <mergeCell ref="AP6:AP9"/>
    <mergeCell ref="AR6:AR9"/>
    <mergeCell ref="A5:AS5"/>
    <mergeCell ref="AA49:AN55"/>
    <mergeCell ref="C4:F4"/>
    <mergeCell ref="U8:U9"/>
    <mergeCell ref="B56:Q56"/>
    <mergeCell ref="W8:W9"/>
    <mergeCell ref="Q6:Q9"/>
    <mergeCell ref="AB3:AD3"/>
    <mergeCell ref="B6:B9"/>
    <mergeCell ref="O6:P7"/>
    <mergeCell ref="E35:Q35"/>
    <mergeCell ref="B43:Q43"/>
    <mergeCell ref="E44:P47"/>
    <mergeCell ref="O8:O9"/>
    <mergeCell ref="AE3:AN3"/>
    <mergeCell ref="B48:Q48"/>
    <mergeCell ref="X7:X9"/>
    <mergeCell ref="AO6:AO7"/>
    <mergeCell ref="R6:X6"/>
    <mergeCell ref="M8:N8"/>
    <mergeCell ref="A10:A35"/>
    <mergeCell ref="AA44:AN47"/>
    <mergeCell ref="V8:V9"/>
    <mergeCell ref="R8:R9"/>
    <mergeCell ref="AR3:AS3"/>
    <mergeCell ref="Z6:Z9"/>
    <mergeCell ref="I3:AA3"/>
    <mergeCell ref="AQ6:AQ9"/>
    <mergeCell ref="B1:AN2"/>
    <mergeCell ref="AO3:A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topLeftCell="A21" zoomScale="115" zoomScaleNormal="115" workbookViewId="0">
      <selection activeCell="M5" sqref="M5"/>
    </sheetView>
  </sheetViews>
  <sheetFormatPr baseColWidth="8" defaultColWidth="9.09765625" defaultRowHeight="13.8"/>
  <cols>
    <col width="13.59765625" customWidth="1" style="225" min="1" max="1"/>
    <col width="14.59765625" customWidth="1" style="225" min="2" max="3"/>
    <col width="13.69921875" customWidth="1" style="225" min="4" max="4"/>
    <col width="13.296875" customWidth="1" style="225" min="5" max="5"/>
    <col width="9.09765625" customWidth="1" style="225" min="6" max="9"/>
    <col width="9.59765625" bestFit="1" customWidth="1" style="225" min="10" max="10"/>
    <col width="9.09765625" customWidth="1" style="225" min="11" max="16384"/>
  </cols>
  <sheetData>
    <row r="1" ht="15" customHeight="1">
      <c r="A1" s="1593" t="n"/>
      <c r="B1" s="1271" t="inlineStr">
        <is>
          <t>สรุปการปล่อยก๊าซเรือนกระจกขององค์กร</t>
        </is>
      </c>
      <c r="C1" s="1409" t="n"/>
      <c r="D1" s="1409" t="n"/>
      <c r="E1" s="1409" t="n"/>
      <c r="F1" s="1409" t="n"/>
      <c r="G1" s="1409" t="n"/>
      <c r="H1" s="1410" t="n"/>
      <c r="I1" s="1269" t="inlineStr">
        <is>
          <t>TCFO_R_01
Version 04 : 21/2/2020</t>
        </is>
      </c>
      <c r="J1" s="1410" t="n"/>
      <c r="K1" s="126" t="n"/>
      <c r="L1" s="126" t="n"/>
      <c r="M1" s="126" t="n"/>
      <c r="N1" s="126" t="n"/>
      <c r="O1" s="126" t="n"/>
      <c r="P1" s="126" t="n"/>
      <c r="Q1" s="126" t="n"/>
      <c r="R1" s="126" t="n"/>
    </row>
    <row r="2" ht="15" customHeight="1">
      <c r="A2" s="1412" t="n"/>
      <c r="B2" s="1413" t="n"/>
      <c r="C2" s="1414" t="n"/>
      <c r="D2" s="1414" t="n"/>
      <c r="E2" s="1414" t="n"/>
      <c r="F2" s="1414" t="n"/>
      <c r="G2" s="1414" t="n"/>
      <c r="H2" s="830" t="n"/>
      <c r="I2" s="1413" t="n"/>
      <c r="J2" s="830" t="n"/>
      <c r="K2" s="126" t="n"/>
      <c r="L2" s="126" t="n"/>
      <c r="M2" s="126" t="n"/>
      <c r="N2" s="126" t="n"/>
      <c r="O2" s="126" t="n"/>
      <c r="P2" s="126" t="n"/>
      <c r="Q2" s="126" t="n"/>
      <c r="R2" s="126" t="n"/>
    </row>
    <row r="3" ht="15" customHeight="1">
      <c r="A3" s="1412" t="n"/>
      <c r="B3" s="220" t="inlineStr">
        <is>
          <t>ชื่อฟอร์ม</t>
        </is>
      </c>
      <c r="C3" s="1268" t="inlineStr">
        <is>
          <t>บัญชีรายการก๊าซเรือนกระจก</t>
        </is>
      </c>
      <c r="D3" s="1416" t="n"/>
      <c r="E3" s="220" t="inlineStr">
        <is>
          <t>องค์กร</t>
        </is>
      </c>
      <c r="F3" s="1594">
        <f>'Fr-01'!$B$6</f>
        <v/>
      </c>
      <c r="G3" s="1415" t="n"/>
      <c r="H3" s="1416" t="n"/>
      <c r="I3" s="221" t="inlineStr">
        <is>
          <t xml:space="preserve">หน้าที่ </t>
        </is>
      </c>
      <c r="J3" s="222" t="n">
        <v>6</v>
      </c>
      <c r="K3" s="126" t="n"/>
      <c r="L3" s="126" t="n"/>
      <c r="M3" s="126" t="n"/>
      <c r="N3" s="126" t="n"/>
      <c r="O3" s="126" t="n"/>
      <c r="P3" s="126" t="n"/>
      <c r="Q3" s="126" t="n"/>
      <c r="R3" s="126" t="n"/>
    </row>
    <row r="4" ht="15" customHeight="1">
      <c r="A4" s="1417" t="n"/>
      <c r="B4" s="220" t="inlineStr">
        <is>
          <t>รหัสฟอร์ม</t>
        </is>
      </c>
      <c r="C4" s="1268" t="inlineStr">
        <is>
          <t>Fr-05</t>
        </is>
      </c>
      <c r="D4" s="1416" t="n"/>
      <c r="E4" s="220" t="inlineStr">
        <is>
          <t>ผู้จัดทำ</t>
        </is>
      </c>
      <c r="F4" s="1594">
        <f>'Fr-01'!$G$4</f>
        <v/>
      </c>
      <c r="G4" s="1415" t="n"/>
      <c r="H4" s="1416" t="n"/>
      <c r="I4" s="221" t="inlineStr">
        <is>
          <t>วันที่จัดทำ</t>
        </is>
      </c>
      <c r="J4" s="815">
        <f>'Fr-01'!J4</f>
        <v/>
      </c>
      <c r="K4" s="126" t="n"/>
      <c r="L4" s="126" t="n"/>
      <c r="M4" s="126" t="n"/>
      <c r="N4" s="126" t="n"/>
      <c r="O4" s="126" t="n"/>
      <c r="P4" s="126" t="n"/>
      <c r="Q4" s="126" t="n"/>
      <c r="R4" s="126" t="n"/>
    </row>
    <row r="5" ht="15" customFormat="1" customHeight="1" s="228">
      <c r="A5" s="223" t="inlineStr">
        <is>
          <t>ปีปัจจุบัน</t>
        </is>
      </c>
      <c r="B5" s="224">
        <f>'Fr-01'!H36</f>
        <v/>
      </c>
      <c r="C5" s="226" t="n"/>
      <c r="D5" s="226" t="n"/>
      <c r="E5" s="226" t="n"/>
      <c r="F5" s="226" t="n"/>
      <c r="G5" s="226" t="n"/>
      <c r="H5" s="226" t="n"/>
      <c r="I5" s="226" t="n"/>
      <c r="J5" s="227" t="n"/>
      <c r="K5" s="229" t="n"/>
      <c r="L5" s="229" t="n"/>
      <c r="M5" s="229" t="n"/>
      <c r="N5" s="229" t="n"/>
      <c r="O5" s="229" t="n"/>
      <c r="P5" s="229" t="n"/>
      <c r="Q5" s="229" t="n"/>
      <c r="R5" s="229" t="n"/>
    </row>
    <row r="6">
      <c r="A6" s="1261" t="n"/>
      <c r="B6" s="1248" t="inlineStr">
        <is>
          <t>ขอบเขต</t>
        </is>
      </c>
      <c r="C6" s="1250" t="inlineStr">
        <is>
          <t>การปล่อยก๊าซเรือนกระจกขององค์กร</t>
        </is>
      </c>
      <c r="D6" s="1595" t="inlineStr">
        <is>
          <t>สัดส่วนเมื่อเทียบขอบเขต 1 และ 2</t>
        </is>
      </c>
      <c r="E6" s="1595" t="inlineStr">
        <is>
          <t>สัดส่วนเมื่อเทียบขอบเขต 1, 2 และ 3</t>
        </is>
      </c>
      <c r="F6" s="1596" t="n"/>
      <c r="J6" s="1420" t="n"/>
    </row>
    <row r="7">
      <c r="A7" s="1421" t="n"/>
      <c r="B7" s="1419" t="n"/>
      <c r="C7" s="1419" t="n"/>
      <c r="D7" s="1421" t="n"/>
      <c r="E7" s="1421" t="n"/>
      <c r="F7" s="1419" t="n"/>
      <c r="J7" s="1420" t="n"/>
      <c r="L7" s="71" t="n"/>
      <c r="M7" s="71" t="n"/>
    </row>
    <row r="8">
      <c r="A8" s="1421" t="n"/>
      <c r="B8" s="1419" t="n"/>
      <c r="C8" s="1419" t="n"/>
      <c r="D8" s="1421" t="n"/>
      <c r="E8" s="1421" t="n"/>
      <c r="F8" s="1419" t="n"/>
      <c r="J8" s="1420" t="n"/>
      <c r="L8" s="71" t="n"/>
      <c r="M8" s="71" t="n"/>
    </row>
    <row r="9">
      <c r="A9" s="1421" t="n"/>
      <c r="B9" s="1419" t="n"/>
      <c r="C9" s="1413" t="n"/>
      <c r="D9" s="1433" t="n"/>
      <c r="E9" s="1433" t="n"/>
      <c r="F9" s="1419" t="n"/>
      <c r="J9" s="1420" t="n"/>
      <c r="L9" s="71" t="n"/>
      <c r="M9" s="71" t="n"/>
    </row>
    <row r="10" ht="32.25" customHeight="1">
      <c r="A10" s="1421" t="n"/>
      <c r="B10" s="100" t="inlineStr">
        <is>
          <t>ประเภท 1</t>
        </is>
      </c>
      <c r="C10" s="1597">
        <f>ROUNDUP('Fr-04.1'!AO36,0)</f>
        <v/>
      </c>
      <c r="D10" s="1598">
        <f>C10/C$14%</f>
        <v/>
      </c>
      <c r="E10" s="1598">
        <f>C10/SUM(C10:C12)%</f>
        <v/>
      </c>
      <c r="F10" s="1419" t="n"/>
      <c r="J10" s="1420" t="n"/>
      <c r="L10" s="102" t="n"/>
      <c r="M10" s="102" t="n"/>
    </row>
    <row r="11" ht="32.25" customHeight="1">
      <c r="A11" s="1421" t="n"/>
      <c r="B11" s="103" t="inlineStr">
        <is>
          <t>ประเภท 2</t>
        </is>
      </c>
      <c r="C11" s="1597">
        <f>ROUNDUP('Fr-04.1'!AO49,0)</f>
        <v/>
      </c>
      <c r="D11" s="1598">
        <f>C11/C$14%</f>
        <v/>
      </c>
      <c r="E11" s="1598">
        <f>C11/SUM(C10:C12)%</f>
        <v/>
      </c>
      <c r="F11" s="1419" t="n"/>
      <c r="J11" s="1420" t="n"/>
    </row>
    <row r="12" ht="32.25" customHeight="1">
      <c r="A12" s="1421" t="n"/>
      <c r="B12" s="103" t="inlineStr">
        <is>
          <t>ประเภท 3</t>
        </is>
      </c>
      <c r="C12" s="1597">
        <f>ROUNDUP('Fr-04.1'!AO57,0)</f>
        <v/>
      </c>
      <c r="D12" s="1597" t="n"/>
      <c r="E12" s="1598">
        <f>C12/SUM(C10:C12)%</f>
        <v/>
      </c>
      <c r="F12" s="1419" t="n"/>
      <c r="J12" s="1420" t="n"/>
    </row>
    <row r="13" ht="32.25" customHeight="1">
      <c r="A13" s="1421" t="n"/>
      <c r="B13" s="104" t="inlineStr">
        <is>
          <t>อื่น ๆ</t>
        </is>
      </c>
      <c r="C13" s="1599">
        <f>ROUNDUP('Fr-04.1'!AO44,0)</f>
        <v/>
      </c>
      <c r="D13" s="1417" t="n"/>
      <c r="E13" s="1597" t="n"/>
      <c r="F13" s="1419" t="n"/>
      <c r="J13" s="1420" t="n"/>
    </row>
    <row r="14" ht="32.25" customHeight="1">
      <c r="A14" s="1421" t="n"/>
      <c r="B14" s="186" t="inlineStr">
        <is>
          <t>รวม Scope 1 &amp; 2</t>
        </is>
      </c>
      <c r="C14" s="1600">
        <f>SUM(C10:C11)</f>
        <v/>
      </c>
      <c r="D14" s="1601">
        <f>SUM(D10:D11)</f>
        <v/>
      </c>
      <c r="E14" s="1601" t="n"/>
      <c r="F14" s="1419" t="n"/>
      <c r="J14" s="1420" t="n"/>
    </row>
    <row r="15" ht="32.25" customHeight="1">
      <c r="A15" s="1421" t="n"/>
      <c r="B15" s="186" t="inlineStr">
        <is>
          <t>รวม Scope 1 &amp; 2 &amp; 3</t>
        </is>
      </c>
      <c r="C15" s="1600">
        <f>SUM(C10:C12)</f>
        <v/>
      </c>
      <c r="D15" s="1601" t="n"/>
      <c r="E15" s="1601">
        <f>SUM(E10:E12)</f>
        <v/>
      </c>
      <c r="F15" s="1419" t="n"/>
      <c r="J15" s="1420" t="n"/>
    </row>
    <row r="16">
      <c r="A16" s="187" t="n"/>
      <c r="B16" s="185" t="n"/>
      <c r="C16" s="185" t="n"/>
      <c r="D16" s="185" t="n"/>
      <c r="E16" s="185" t="n"/>
      <c r="F16" s="185" t="n"/>
      <c r="G16" s="185" t="n"/>
      <c r="H16" s="185" t="n"/>
      <c r="I16" s="185" t="n"/>
      <c r="J16" s="188" t="n"/>
    </row>
    <row r="17">
      <c r="A17" s="187" t="n"/>
      <c r="B17" s="1602" t="inlineStr">
        <is>
          <t>Carbon intensity (Scope 1+2)</t>
        </is>
      </c>
      <c r="C17" s="1416" t="n"/>
      <c r="D17" s="191">
        <f>C14/'Fr-01'!H37</f>
        <v/>
      </c>
      <c r="E17" s="193" t="inlineStr">
        <is>
          <t>TonCO2eq/</t>
        </is>
      </c>
      <c r="F17" s="194">
        <f>'Fr-01'!J37</f>
        <v/>
      </c>
      <c r="G17" s="185" t="n"/>
      <c r="H17" s="185" t="n"/>
      <c r="I17" s="185" t="n"/>
      <c r="J17" s="188" t="n"/>
    </row>
    <row r="18">
      <c r="A18" s="187" t="n"/>
      <c r="B18" s="1602" t="inlineStr">
        <is>
          <t>Carbon intensity (Scope 1+2+3)</t>
        </is>
      </c>
      <c r="C18" s="1416" t="n"/>
      <c r="D18" s="192">
        <f>C15/'Fr-01'!H37</f>
        <v/>
      </c>
      <c r="E18" s="193" t="inlineStr">
        <is>
          <t>TonCO2eq/</t>
        </is>
      </c>
      <c r="F18" s="194">
        <f>'Fr-01'!J37</f>
        <v/>
      </c>
      <c r="G18" s="185" t="n"/>
      <c r="H18" s="185" t="n"/>
      <c r="I18" s="185" t="n"/>
      <c r="J18" s="188" t="n"/>
    </row>
    <row r="19">
      <c r="A19" s="182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4" t="n"/>
    </row>
    <row r="20" ht="13.2" customFormat="1" customHeight="1" s="228">
      <c r="A20" s="223" t="inlineStr">
        <is>
          <t>ปีฐาน</t>
        </is>
      </c>
      <c r="B20" s="224">
        <f>'Fr-01'!H38</f>
        <v/>
      </c>
      <c r="C20" s="226" t="n"/>
      <c r="D20" s="226" t="n"/>
      <c r="E20" s="226" t="n"/>
      <c r="F20" s="226" t="n"/>
      <c r="G20" s="226" t="n"/>
      <c r="H20" s="226" t="n"/>
      <c r="I20" s="226" t="n"/>
      <c r="J20" s="227" t="n"/>
    </row>
    <row r="21">
      <c r="A21" s="230" t="n"/>
      <c r="B21" s="231" t="n"/>
      <c r="C21" s="231" t="n"/>
      <c r="D21" s="231" t="n"/>
      <c r="E21" s="231" t="n"/>
      <c r="F21" s="231" t="n"/>
      <c r="G21" s="231" t="n"/>
      <c r="H21" s="231" t="n"/>
      <c r="I21" s="231" t="n"/>
      <c r="J21" s="232" t="n"/>
    </row>
    <row r="22" ht="15" customHeight="1">
      <c r="A22" s="230" t="n"/>
      <c r="B22" s="1253" t="inlineStr">
        <is>
          <t>ขอบเขต</t>
        </is>
      </c>
      <c r="C22" s="1603" t="inlineStr">
        <is>
          <t>การปล่อยก๊าซเรือนกระจกขององค์กร</t>
        </is>
      </c>
      <c r="D22" s="1604" t="inlineStr">
        <is>
          <t>สัดส่วนเมื่อเทียบขอบเขต 1 และ 2</t>
        </is>
      </c>
      <c r="E22" s="1604" t="inlineStr">
        <is>
          <t>สัดส่วนเมื่อเทียบขอบเขต 1, 2 และ 3</t>
        </is>
      </c>
      <c r="F22" s="187" t="n"/>
      <c r="G22" s="1260" t="inlineStr">
        <is>
          <t>เปรียบเทียบ</t>
        </is>
      </c>
      <c r="J22" s="188" t="n"/>
    </row>
    <row r="23">
      <c r="A23" s="187" t="n"/>
      <c r="B23" s="1419" t="n"/>
      <c r="C23" s="1419" t="n"/>
      <c r="D23" s="1412" t="n"/>
      <c r="E23" s="1412" t="n"/>
      <c r="F23" s="187" t="n"/>
      <c r="G23" s="185" t="n"/>
      <c r="H23" s="185" t="n"/>
      <c r="I23" s="185" t="n"/>
      <c r="J23" s="188" t="n"/>
    </row>
    <row r="24">
      <c r="A24" s="230" t="n"/>
      <c r="B24" s="1419" t="n"/>
      <c r="C24" s="1419" t="n"/>
      <c r="D24" s="1412" t="n"/>
      <c r="E24" s="1412" t="n"/>
      <c r="F24" s="187" t="n"/>
      <c r="G24" s="185" t="n"/>
      <c r="H24" s="185" t="n"/>
      <c r="I24" s="185" t="n"/>
      <c r="J24" s="188" t="n"/>
    </row>
    <row r="25">
      <c r="A25" s="230" t="n"/>
      <c r="B25" s="1419" t="n"/>
      <c r="C25" s="1413" t="n"/>
      <c r="D25" s="1417" t="n"/>
      <c r="E25" s="1417" t="n"/>
      <c r="F25" s="187" t="n"/>
      <c r="G25" s="185" t="n"/>
      <c r="H25" s="185" t="n"/>
      <c r="I25" s="185" t="n"/>
      <c r="J25" s="188" t="n"/>
    </row>
    <row r="26" ht="32.25" customHeight="1">
      <c r="A26" s="230" t="n"/>
      <c r="B26" s="100" t="inlineStr">
        <is>
          <t>ประเภท 1</t>
        </is>
      </c>
      <c r="C26" s="1597">
        <f>ROUNDUP('Fr-04.2'!AO35,0)</f>
        <v/>
      </c>
      <c r="D26" s="1598">
        <f>C26/C$14%</f>
        <v/>
      </c>
      <c r="E26" s="1598">
        <f>C26/SUM(C26:C28)%</f>
        <v/>
      </c>
      <c r="F26" s="187" t="n"/>
      <c r="G26" s="185" t="n"/>
      <c r="H26" s="185" t="n"/>
      <c r="I26" s="185" t="n"/>
      <c r="J26" s="188" t="n"/>
    </row>
    <row r="27" ht="32.25" customHeight="1">
      <c r="A27" s="230" t="n"/>
      <c r="B27" s="103" t="inlineStr">
        <is>
          <t>ประเภท 2</t>
        </is>
      </c>
      <c r="C27" s="1597">
        <f>ROUNDUP('Fr-04.2'!AO48,0)</f>
        <v/>
      </c>
      <c r="D27" s="1598">
        <f>C27/C$14%</f>
        <v/>
      </c>
      <c r="E27" s="1598">
        <f>C27/SUM(C26:C28)%</f>
        <v/>
      </c>
      <c r="F27" s="187" t="n"/>
      <c r="G27" s="185" t="n"/>
      <c r="H27" s="185" t="n"/>
      <c r="I27" s="185" t="n"/>
      <c r="J27" s="188" t="n"/>
    </row>
    <row r="28" ht="32.25" customHeight="1">
      <c r="A28" s="230" t="n"/>
      <c r="B28" s="103" t="inlineStr">
        <is>
          <t>ประเภท 3</t>
        </is>
      </c>
      <c r="C28" s="1597">
        <f>ROUNDUP('Fr-04.2'!AO56,0)</f>
        <v/>
      </c>
      <c r="D28" s="1597" t="n"/>
      <c r="E28" s="1598">
        <f>C28/SUM(C26:C28)%</f>
        <v/>
      </c>
      <c r="F28" s="187" t="n"/>
      <c r="G28" s="185" t="n"/>
      <c r="H28" s="185" t="n"/>
      <c r="I28" s="185" t="n"/>
      <c r="J28" s="188" t="n"/>
    </row>
    <row r="29" ht="32.25" customHeight="1">
      <c r="A29" s="230" t="n"/>
      <c r="B29" s="104" t="inlineStr">
        <is>
          <t>อื่น ๆ</t>
        </is>
      </c>
      <c r="C29" s="1599">
        <f>ROUNDUP('Fr-04.2'!AO43,0)</f>
        <v/>
      </c>
      <c r="D29" s="1417" t="n"/>
      <c r="E29" s="1597" t="n"/>
      <c r="F29" s="187" t="n"/>
      <c r="G29" s="185" t="n"/>
      <c r="H29" s="185" t="n"/>
      <c r="I29" s="185" t="n"/>
      <c r="J29" s="188" t="n"/>
    </row>
    <row r="30">
      <c r="A30" s="230" t="n"/>
      <c r="B30" s="186" t="inlineStr">
        <is>
          <t>รวม Scope 1 &amp; 2</t>
        </is>
      </c>
      <c r="C30" s="1600">
        <f>SUM(C26:C27)</f>
        <v/>
      </c>
      <c r="D30" s="1601">
        <f>SUM(D26:D27)</f>
        <v/>
      </c>
      <c r="E30" s="1601" t="n"/>
      <c r="F30" s="187" t="n"/>
      <c r="G30" s="185" t="n"/>
      <c r="H30" s="185" t="n"/>
      <c r="I30" s="185" t="n"/>
      <c r="J30" s="188" t="n"/>
    </row>
    <row r="31" ht="22.8" customHeight="1">
      <c r="A31" s="230" t="n"/>
      <c r="B31" s="186" t="inlineStr">
        <is>
          <t>รวม Scope 1 &amp; 2 &amp; 3</t>
        </is>
      </c>
      <c r="C31" s="1600">
        <f>SUM(C26:C28)</f>
        <v/>
      </c>
      <c r="D31" s="1601" t="n"/>
      <c r="E31" s="1601">
        <f>SUM(E26:E28)</f>
        <v/>
      </c>
      <c r="F31" s="187" t="n"/>
      <c r="G31" s="185" t="n"/>
      <c r="H31" s="185" t="n"/>
      <c r="I31" s="185" t="n"/>
      <c r="J31" s="188" t="n"/>
    </row>
    <row r="32">
      <c r="A32" s="230" t="n"/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8" t="n"/>
    </row>
    <row r="33">
      <c r="A33" s="230" t="n"/>
      <c r="B33" s="1602" t="inlineStr">
        <is>
          <t>Carbon intensity (Scope 1+2)</t>
        </is>
      </c>
      <c r="C33" s="1416" t="n"/>
      <c r="D33" s="191">
        <f>C30/'Fr-01'!H39</f>
        <v/>
      </c>
      <c r="E33" s="193" t="inlineStr">
        <is>
          <t>TonCO2eq/</t>
        </is>
      </c>
      <c r="F33" s="194">
        <f>F17</f>
        <v/>
      </c>
      <c r="G33" s="185" t="n"/>
      <c r="H33" s="185" t="n"/>
      <c r="I33" s="185" t="n"/>
      <c r="J33" s="188" t="n"/>
    </row>
    <row r="34">
      <c r="A34" s="230" t="n"/>
      <c r="B34" s="1602" t="inlineStr">
        <is>
          <t>Carbon intensity (Scope 1+2+3)</t>
        </is>
      </c>
      <c r="C34" s="1416" t="n"/>
      <c r="D34" s="192">
        <f>C31/'Fr-01'!H39</f>
        <v/>
      </c>
      <c r="E34" s="193" t="inlineStr">
        <is>
          <t>TonCO2eq/</t>
        </is>
      </c>
      <c r="F34" s="194">
        <f>F18</f>
        <v/>
      </c>
      <c r="G34" s="185" t="n"/>
      <c r="H34" s="185" t="n"/>
      <c r="I34" s="185" t="n"/>
      <c r="J34" s="188" t="n"/>
    </row>
    <row r="35">
      <c r="A35" s="230" t="n"/>
      <c r="B35" s="231" t="n"/>
      <c r="C35" s="231" t="n"/>
      <c r="D35" s="231" t="n"/>
      <c r="E35" s="231" t="n"/>
      <c r="F35" s="231" t="n"/>
      <c r="G35" s="231" t="n"/>
      <c r="H35" s="231" t="n"/>
      <c r="I35" s="231" t="n"/>
      <c r="J35" s="232" t="n"/>
    </row>
    <row r="36">
      <c r="A36" s="233" t="n"/>
      <c r="B36" s="234" t="n"/>
      <c r="C36" s="234" t="n"/>
      <c r="D36" s="234" t="n"/>
      <c r="E36" s="234" t="n"/>
      <c r="F36" s="234" t="n"/>
      <c r="G36" s="234" t="n"/>
      <c r="H36" s="234" t="n"/>
      <c r="I36" s="234" t="n"/>
      <c r="J36" s="235" t="n"/>
    </row>
    <row r="37">
      <c r="A37" s="129" t="inlineStr">
        <is>
          <t>จัดทำโดย</t>
        </is>
      </c>
      <c r="B37" s="1605">
        <f>'Fr-04.2'!B59</f>
        <v/>
      </c>
      <c r="C37" s="1414" t="n"/>
      <c r="D37" s="1414" t="n"/>
      <c r="E37" s="1414" t="n"/>
      <c r="F37" s="830" t="n"/>
      <c r="G37" s="107" t="inlineStr">
        <is>
          <t>เสร็จสิ้นวันที่</t>
        </is>
      </c>
      <c r="H37" s="1606">
        <f>'Fr-03.1'!K35</f>
        <v/>
      </c>
      <c r="I37" s="1414" t="n"/>
      <c r="J37" s="830" t="n"/>
    </row>
  </sheetData>
  <mergeCells count="26">
    <mergeCell ref="B22:B25"/>
    <mergeCell ref="D22:D25"/>
    <mergeCell ref="D6:D9"/>
    <mergeCell ref="F3:H3"/>
    <mergeCell ref="A1:A4"/>
    <mergeCell ref="B18:C18"/>
    <mergeCell ref="C4:D4"/>
    <mergeCell ref="C22:C25"/>
    <mergeCell ref="H37:J37"/>
    <mergeCell ref="I1:J2"/>
    <mergeCell ref="E6:E9"/>
    <mergeCell ref="D12:D13"/>
    <mergeCell ref="B17:C17"/>
    <mergeCell ref="D28:D29"/>
    <mergeCell ref="B1:H2"/>
    <mergeCell ref="A6:A15"/>
    <mergeCell ref="G22:I22"/>
    <mergeCell ref="B34:C34"/>
    <mergeCell ref="B37:F37"/>
    <mergeCell ref="B6:B9"/>
    <mergeCell ref="F4:H4"/>
    <mergeCell ref="E22:E25"/>
    <mergeCell ref="B33:C33"/>
    <mergeCell ref="F6:J15"/>
    <mergeCell ref="C3:D3"/>
    <mergeCell ref="C6:C9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O157"/>
  <sheetViews>
    <sheetView workbookViewId="0">
      <selection activeCell="G11" sqref="G11"/>
    </sheetView>
  </sheetViews>
  <sheetFormatPr baseColWidth="8" defaultColWidth="9.09765625" defaultRowHeight="13.8"/>
  <cols>
    <col width="6.296875" customWidth="1" style="132" min="1" max="1"/>
    <col width="34.3984375" customWidth="1" style="132" min="2" max="2"/>
    <col width="8" customWidth="1" style="132" min="3" max="3"/>
    <col width="14.296875" customWidth="1" style="132" min="4" max="7"/>
    <col width="50.8984375" customWidth="1" style="132" min="8" max="8"/>
    <col width="9.09765625" customWidth="1" style="132" min="9" max="13"/>
    <col width="9.09765625" customWidth="1" style="132" min="14" max="14"/>
    <col width="9.09765625" customWidth="1" style="132" min="15" max="15"/>
    <col width="63.69921875" bestFit="1" customWidth="1" style="132" min="16" max="16"/>
    <col width="6.09765625" bestFit="1" customWidth="1" style="132" min="17" max="17"/>
    <col width="30.09765625" customWidth="1" style="132" min="18" max="18"/>
    <col width="9.09765625" customWidth="1" style="132" min="19" max="16384"/>
  </cols>
  <sheetData>
    <row r="2" ht="15" customHeight="1">
      <c r="A2" s="1281" t="n"/>
      <c r="B2" s="1282" t="inlineStr">
        <is>
          <t>ชื่อ</t>
        </is>
      </c>
      <c r="C2" s="1281" t="inlineStr">
        <is>
          <t>Units</t>
        </is>
      </c>
      <c r="D2" s="1283" t="inlineStr">
        <is>
          <t>EMISSION FACTORS</t>
        </is>
      </c>
      <c r="E2" s="1415" t="n"/>
      <c r="F2" s="1415" t="n"/>
      <c r="G2" s="1415" t="n"/>
      <c r="H2" s="1282" t="inlineStr">
        <is>
          <t>แหล่งอ้างอิงข้อมูล</t>
        </is>
      </c>
      <c r="J2" s="1487" t="inlineStr">
        <is>
          <t>GWP100</t>
        </is>
      </c>
      <c r="K2" s="1415" t="n"/>
      <c r="L2" s="1416" t="n"/>
    </row>
    <row r="3" ht="15.6" customHeight="1">
      <c r="A3" s="1412" t="n"/>
      <c r="B3" s="1412" t="n"/>
      <c r="C3" s="1412" t="n"/>
      <c r="D3" s="1281" t="inlineStr">
        <is>
          <t>CO2</t>
        </is>
      </c>
      <c r="E3" s="1281" t="inlineStr">
        <is>
          <t>CH4</t>
        </is>
      </c>
      <c r="F3" s="1281" t="inlineStr">
        <is>
          <t>N2O</t>
        </is>
      </c>
      <c r="G3" s="1281" t="inlineStr">
        <is>
          <t>Total</t>
        </is>
      </c>
      <c r="H3" s="1412" t="n"/>
      <c r="J3" s="2" t="inlineStr">
        <is>
          <t>ที่มา</t>
        </is>
      </c>
      <c r="K3" s="131" t="inlineStr">
        <is>
          <t>IPCC, AR4</t>
        </is>
      </c>
      <c r="L3" s="131" t="inlineStr">
        <is>
          <t>IPCC, AR5</t>
        </is>
      </c>
    </row>
    <row r="4" ht="15.6" customHeight="1">
      <c r="A4" s="1417" t="n"/>
      <c r="B4" s="1417" t="n"/>
      <c r="C4" s="1417" t="n"/>
      <c r="D4" s="1281" t="inlineStr">
        <is>
          <t>[kg CO2/unit]</t>
        </is>
      </c>
      <c r="E4" s="1281" t="inlineStr">
        <is>
          <t>[kg CH4/unit]</t>
        </is>
      </c>
      <c r="F4" s="1281" t="inlineStr">
        <is>
          <t>[kg N2O/unit]</t>
        </is>
      </c>
      <c r="G4" s="1281" t="inlineStr">
        <is>
          <t>[kg CO2eq/unit]</t>
        </is>
      </c>
      <c r="H4" s="1417" t="n"/>
      <c r="J4" s="2" t="inlineStr">
        <is>
          <t>CO2</t>
        </is>
      </c>
      <c r="K4" s="2" t="n">
        <v>1</v>
      </c>
      <c r="L4" s="2" t="n">
        <v>1</v>
      </c>
    </row>
    <row r="5">
      <c r="A5" s="153" t="inlineStr">
        <is>
          <t>Stationary Combustion</t>
        </is>
      </c>
      <c r="C5" s="154" t="n"/>
      <c r="D5" s="154" t="n"/>
      <c r="E5" s="154" t="n"/>
      <c r="F5" s="154" t="n"/>
      <c r="G5" s="154" t="n"/>
      <c r="H5" s="133" t="n"/>
      <c r="J5" s="2" t="inlineStr">
        <is>
          <t>CH4</t>
        </is>
      </c>
      <c r="K5" s="2" t="n">
        <v>25</v>
      </c>
      <c r="L5" s="2" t="n">
        <v>28</v>
      </c>
    </row>
    <row r="6">
      <c r="A6" s="134" t="n"/>
      <c r="B6" s="135" t="inlineStr">
        <is>
          <t>Natural gas</t>
        </is>
      </c>
      <c r="C6" s="134" t="inlineStr">
        <is>
          <t>scf</t>
        </is>
      </c>
      <c r="D6" s="155">
        <f>D48*$G$48*10^-6</f>
        <v/>
      </c>
      <c r="E6" s="155">
        <f>E48*$G$48*10^-6</f>
        <v/>
      </c>
      <c r="F6" s="155">
        <f>F48*$G$48*10^-6</f>
        <v/>
      </c>
      <c r="G6" s="1607">
        <f>D6+(E6*$K$5)+(F6*$K$6)</f>
        <v/>
      </c>
      <c r="H6" s="136" t="inlineStr">
        <is>
          <t>IPCC Vol.2 table 2.2, DEDE</t>
        </is>
      </c>
      <c r="I6" s="1608" t="n"/>
      <c r="J6" s="2" t="inlineStr">
        <is>
          <t>N2O</t>
        </is>
      </c>
      <c r="K6" s="2" t="n">
        <v>298</v>
      </c>
      <c r="L6" s="2" t="n">
        <v>265</v>
      </c>
      <c r="N6" s="1609" t="n"/>
      <c r="O6" s="1609" t="n"/>
    </row>
    <row r="7">
      <c r="A7" s="134" t="n"/>
      <c r="B7" s="135" t="inlineStr">
        <is>
          <t>Natural gas</t>
        </is>
      </c>
      <c r="C7" s="134" t="inlineStr">
        <is>
          <t>MJ</t>
        </is>
      </c>
      <c r="D7" s="155">
        <f>D48/1000000</f>
        <v/>
      </c>
      <c r="E7" s="155">
        <f>E48/1000000</f>
        <v/>
      </c>
      <c r="F7" s="155">
        <f>F48/1000000</f>
        <v/>
      </c>
      <c r="G7" s="1607">
        <f>D7+(E7*$K$5)+(F7*$K$6)</f>
        <v/>
      </c>
      <c r="H7" s="136" t="inlineStr">
        <is>
          <t>IPCC Vol.2 table 2.2, DEDE</t>
        </is>
      </c>
      <c r="I7" s="1608" t="n"/>
      <c r="J7" s="2" t="inlineStr">
        <is>
          <t>SF6</t>
        </is>
      </c>
      <c r="K7" s="2" t="n">
        <v>22800</v>
      </c>
      <c r="L7" s="2" t="n">
        <v>23500</v>
      </c>
      <c r="N7" s="1609" t="n"/>
      <c r="O7" s="1609" t="n"/>
    </row>
    <row r="8">
      <c r="A8" s="134" t="n"/>
      <c r="B8" s="135" t="inlineStr">
        <is>
          <t>Lignite</t>
        </is>
      </c>
      <c r="C8" s="134" t="inlineStr">
        <is>
          <t>kg</t>
        </is>
      </c>
      <c r="D8" s="155">
        <f>D49*$G$49*10^-6</f>
        <v/>
      </c>
      <c r="E8" s="155">
        <f>E49*$G$49*10^-6</f>
        <v/>
      </c>
      <c r="F8" s="155">
        <f>F49*$G$49*10^-6</f>
        <v/>
      </c>
      <c r="G8" s="1607">
        <f>D8+(E8*$K$5)+(F8*$K$6)</f>
        <v/>
      </c>
      <c r="H8" s="136" t="inlineStr">
        <is>
          <t>IPCC Vol.2 table 2.2, DEDE</t>
        </is>
      </c>
      <c r="I8" s="1608" t="n"/>
      <c r="J8" s="2" t="inlineStr">
        <is>
          <t>NF3</t>
        </is>
      </c>
      <c r="K8" s="2" t="n">
        <v>17200</v>
      </c>
      <c r="L8" s="2" t="n">
        <v>16100</v>
      </c>
      <c r="N8" s="1609" t="n"/>
      <c r="O8" s="1609" t="n"/>
    </row>
    <row r="9">
      <c r="A9" s="134" t="n"/>
      <c r="B9" s="135" t="inlineStr">
        <is>
          <t>Fuel oil A</t>
        </is>
      </c>
      <c r="C9" s="134" t="inlineStr">
        <is>
          <t>litre</t>
        </is>
      </c>
      <c r="D9" s="155">
        <f>D50*$G$50*10^-6</f>
        <v/>
      </c>
      <c r="E9" s="155">
        <f>E50*$G$50*10^-6</f>
        <v/>
      </c>
      <c r="F9" s="155">
        <f>F50*$G$50*10^-6</f>
        <v/>
      </c>
      <c r="G9" s="1607">
        <f>D9+(E9*$K$5)+(F9*$K$6)</f>
        <v/>
      </c>
      <c r="H9" s="136" t="inlineStr">
        <is>
          <t>IPCC Vol.2 table 2.2, PTT</t>
        </is>
      </c>
      <c r="I9" s="1608" t="n"/>
      <c r="J9" s="132" t="inlineStr">
        <is>
          <t>PASS: 12345678</t>
        </is>
      </c>
      <c r="N9" s="1609" t="n"/>
      <c r="O9" s="1609" t="n"/>
    </row>
    <row r="10">
      <c r="A10" s="134" t="n"/>
      <c r="B10" s="135" t="inlineStr">
        <is>
          <t>Fuel oil C</t>
        </is>
      </c>
      <c r="C10" s="134" t="inlineStr">
        <is>
          <t>litre</t>
        </is>
      </c>
      <c r="D10" s="155">
        <f>D51*$G$51*10^-6</f>
        <v/>
      </c>
      <c r="E10" s="155">
        <f>E51*$G$51*10^-6</f>
        <v/>
      </c>
      <c r="F10" s="155">
        <f>F51*$G$51*10^-6</f>
        <v/>
      </c>
      <c r="G10" s="1607">
        <f>D10+(E10*$K$5)+(F10*$K$6)</f>
        <v/>
      </c>
      <c r="H10" s="136" t="inlineStr">
        <is>
          <t>IPCC Vol.2 table 2.2, PTT</t>
        </is>
      </c>
      <c r="I10" s="1608" t="n"/>
      <c r="N10" s="1609" t="n"/>
      <c r="O10" s="1609" t="n"/>
    </row>
    <row r="11">
      <c r="A11" s="134" t="n"/>
      <c r="B11" s="135" t="inlineStr">
        <is>
          <t>Gas/Diesel oil</t>
        </is>
      </c>
      <c r="C11" s="134" t="inlineStr">
        <is>
          <t>litre</t>
        </is>
      </c>
      <c r="D11" s="155">
        <f>D52*$G$52*10^-6</f>
        <v/>
      </c>
      <c r="E11" s="155">
        <f>E52*$G$52*10^-6</f>
        <v/>
      </c>
      <c r="F11" s="155">
        <f>F52*$G$52*10^-6</f>
        <v/>
      </c>
      <c r="G11" s="1607">
        <f>D11+(E11*$K$5)+(F11*$K$6)</f>
        <v/>
      </c>
      <c r="H11" s="136" t="inlineStr">
        <is>
          <t>IPCC Vol.2 table 2.2, DEDE</t>
        </is>
      </c>
      <c r="I11" s="1608" t="n"/>
      <c r="N11" s="1609" t="n"/>
      <c r="O11" s="1609" t="n"/>
    </row>
    <row r="12">
      <c r="A12" s="134" t="n"/>
      <c r="B12" s="135" t="inlineStr">
        <is>
          <t>Anthracite</t>
        </is>
      </c>
      <c r="C12" s="134" t="inlineStr">
        <is>
          <t>kg</t>
        </is>
      </c>
      <c r="D12" s="155">
        <f>D53*$G$53*10^-6</f>
        <v/>
      </c>
      <c r="E12" s="155">
        <f>E53*$G$53*10^-6</f>
        <v/>
      </c>
      <c r="F12" s="155">
        <f>F53*$G$53*10^-6</f>
        <v/>
      </c>
      <c r="G12" s="1607">
        <f>D12+(E12*$K$5)+(F12*$K$6)</f>
        <v/>
      </c>
      <c r="H12" s="136" t="inlineStr">
        <is>
          <t>IPCC Vol.2 table 2.2, DEDE</t>
        </is>
      </c>
      <c r="I12" s="1608" t="n"/>
      <c r="N12" s="1609" t="n"/>
      <c r="O12" s="1609" t="n"/>
    </row>
    <row r="13">
      <c r="A13" s="134" t="n"/>
      <c r="B13" s="135" t="inlineStr">
        <is>
          <t>Sub-bituminous coal</t>
        </is>
      </c>
      <c r="C13" s="134" t="inlineStr">
        <is>
          <t>kg</t>
        </is>
      </c>
      <c r="D13" s="155">
        <f>D54*$G$54*10^-6</f>
        <v/>
      </c>
      <c r="E13" s="155">
        <f>E54*$G$54*10^-6</f>
        <v/>
      </c>
      <c r="F13" s="155">
        <f>F54*$G$54*10^-6</f>
        <v/>
      </c>
      <c r="G13" s="1607">
        <f>D13+(E13*$K$5)+(F13*$K$6)</f>
        <v/>
      </c>
      <c r="H13" s="136" t="inlineStr">
        <is>
          <t>IPCC Vol.2 table 2.2, DEDE</t>
        </is>
      </c>
      <c r="I13" s="1608" t="n"/>
      <c r="N13" s="1609" t="n"/>
      <c r="O13" s="1609" t="n"/>
    </row>
    <row r="14">
      <c r="A14" s="134" t="n"/>
      <c r="B14" s="135" t="inlineStr">
        <is>
          <t>Jet Kerosene</t>
        </is>
      </c>
      <c r="C14" s="134" t="inlineStr">
        <is>
          <t>litre</t>
        </is>
      </c>
      <c r="D14" s="155">
        <f>D55*$G$55*10^-6</f>
        <v/>
      </c>
      <c r="E14" s="155">
        <f>E55*$G$55*10^-6</f>
        <v/>
      </c>
      <c r="F14" s="155">
        <f>F55*$G$55*10^-6</f>
        <v/>
      </c>
      <c r="G14" s="1607">
        <f>D14+(E14*$K$5)+(F14*$K$6)</f>
        <v/>
      </c>
      <c r="H14" s="136" t="inlineStr">
        <is>
          <t>IPCC Vol.2 table 2.2, DEDE</t>
        </is>
      </c>
      <c r="I14" s="1608" t="n"/>
      <c r="N14" s="1609" t="n"/>
      <c r="O14" s="1609" t="n"/>
    </row>
    <row r="15">
      <c r="A15" s="134" t="n"/>
      <c r="B15" s="135" t="inlineStr">
        <is>
          <t>LPG</t>
        </is>
      </c>
      <c r="C15" s="134" t="inlineStr">
        <is>
          <t>litre</t>
        </is>
      </c>
      <c r="D15" s="155">
        <f>D56*$G$56*10^-6</f>
        <v/>
      </c>
      <c r="E15" s="155">
        <f>E56*$G$56*10^-6</f>
        <v/>
      </c>
      <c r="F15" s="155">
        <f>F56*$G$56*10^-6</f>
        <v/>
      </c>
      <c r="G15" s="1607">
        <f>D15+(E15*$K$5)+(F15*$K$6)</f>
        <v/>
      </c>
      <c r="H15" s="136" t="inlineStr">
        <is>
          <t>IPCC Vol.2 table 2.2, DEDE</t>
        </is>
      </c>
      <c r="I15" s="1608" t="n"/>
      <c r="N15" s="1609" t="n"/>
      <c r="O15" s="1609" t="n"/>
    </row>
    <row r="16">
      <c r="A16" s="153" t="n"/>
      <c r="B16" s="135" t="inlineStr">
        <is>
          <t>LPG</t>
        </is>
      </c>
      <c r="C16" s="134" t="inlineStr">
        <is>
          <t>kg</t>
        </is>
      </c>
      <c r="D16" s="155">
        <f>D15/0.54</f>
        <v/>
      </c>
      <c r="E16" s="155">
        <f>E15/0.54</f>
        <v/>
      </c>
      <c r="F16" s="155">
        <f>F15/0.54</f>
        <v/>
      </c>
      <c r="G16" s="1607">
        <f>D16+(E16*$K$5)+(F16*$K$6)</f>
        <v/>
      </c>
      <c r="H16" s="136" t="inlineStr">
        <is>
          <t>IPCC Vol.2 table 2.2, DEDE LPG 1 litre = 0.54 kg</t>
        </is>
      </c>
      <c r="I16" s="1608" t="n"/>
      <c r="N16" s="1609" t="n"/>
      <c r="O16" s="1609" t="n"/>
    </row>
    <row r="17">
      <c r="A17" s="153" t="n"/>
      <c r="B17" s="135" t="inlineStr">
        <is>
          <t>Motor gasoline</t>
        </is>
      </c>
      <c r="C17" s="134" t="inlineStr">
        <is>
          <t>litre</t>
        </is>
      </c>
      <c r="D17" s="155">
        <f>D57*$G$57*10^-6</f>
        <v/>
      </c>
      <c r="E17" s="155">
        <f>E57*$G$57*10^-6</f>
        <v/>
      </c>
      <c r="F17" s="155">
        <f>F57*$G$57*10^-6</f>
        <v/>
      </c>
      <c r="G17" s="1607">
        <f>D17+(E17*$K$5)+(F17*$K$6)</f>
        <v/>
      </c>
      <c r="H17" s="136" t="inlineStr">
        <is>
          <t>IPCC Vol.2 table 2.2, DEDE</t>
        </is>
      </c>
      <c r="I17" s="1608" t="n"/>
      <c r="N17" s="1609" t="n"/>
      <c r="O17" s="1609" t="n"/>
    </row>
    <row r="18">
      <c r="A18" s="153" t="n"/>
      <c r="B18" s="135" t="n"/>
      <c r="C18" s="134" t="n"/>
      <c r="D18" s="155" t="n"/>
      <c r="E18" s="155" t="n"/>
      <c r="F18" s="155" t="n"/>
      <c r="G18" s="1607" t="n"/>
      <c r="H18" s="136" t="n"/>
      <c r="I18" s="1608" t="n"/>
      <c r="N18" s="1609" t="n"/>
      <c r="O18" s="1609" t="n"/>
    </row>
    <row r="19">
      <c r="A19" s="153" t="inlineStr">
        <is>
          <t>Mobile Combustion (On road)</t>
        </is>
      </c>
      <c r="B19" s="135" t="n"/>
      <c r="C19" s="134" t="n"/>
      <c r="D19" s="155" t="n"/>
      <c r="E19" s="155" t="n"/>
      <c r="F19" s="155" t="n"/>
      <c r="G19" s="1607" t="n"/>
      <c r="H19" s="136" t="n"/>
      <c r="I19" s="1608" t="n"/>
      <c r="N19" s="1609" t="n"/>
      <c r="O19" s="1609" t="n"/>
    </row>
    <row r="20">
      <c r="A20" s="153" t="n"/>
      <c r="B20" s="135" t="inlineStr">
        <is>
          <t xml:space="preserve">Motor Gasoline - uncontrolled </t>
        </is>
      </c>
      <c r="C20" s="137" t="inlineStr">
        <is>
          <t>litre</t>
        </is>
      </c>
      <c r="D20" s="155">
        <f>D63*$G$63*10^-6</f>
        <v/>
      </c>
      <c r="E20" s="155">
        <f>E63*$G$63*10^-6</f>
        <v/>
      </c>
      <c r="F20" s="155">
        <f>F63*$G$63*10^-6</f>
        <v/>
      </c>
      <c r="G20" s="1607">
        <f>D20+(E20*$K$5)+(F20*$K$6)</f>
        <v/>
      </c>
      <c r="H20" s="136" t="inlineStr">
        <is>
          <t>IPCC Vol.2 table 3.2.1, 3.2.2, DEDE</t>
        </is>
      </c>
      <c r="I20" s="1608" t="n"/>
      <c r="N20" s="1609" t="n"/>
      <c r="O20" s="1609" t="n"/>
    </row>
    <row r="21">
      <c r="A21" s="153" t="n"/>
      <c r="B21" s="135" t="inlineStr">
        <is>
          <t>Motor Gasoline - oxydation catalyst</t>
        </is>
      </c>
      <c r="C21" s="137" t="inlineStr">
        <is>
          <t>litre</t>
        </is>
      </c>
      <c r="D21" s="155">
        <f>D64*$G$64*10^-6</f>
        <v/>
      </c>
      <c r="E21" s="155">
        <f>E64*$G$64*10^-6</f>
        <v/>
      </c>
      <c r="F21" s="155">
        <f>F64*$G$64*10^-6</f>
        <v/>
      </c>
      <c r="G21" s="1607">
        <f>D21+(E21*$K$5)+(F21*$K$6)</f>
        <v/>
      </c>
      <c r="H21" s="136" t="inlineStr">
        <is>
          <t>IPCC Vol.2 table 3.2.1, 3.2.2, DEDE</t>
        </is>
      </c>
      <c r="I21" s="1608" t="n"/>
      <c r="N21" s="1609" t="n"/>
      <c r="O21" s="1609" t="n"/>
    </row>
    <row r="22">
      <c r="A22" s="153" t="n"/>
      <c r="B22" s="135" t="inlineStr">
        <is>
          <t>Motor Gasoline - low mileage light duty vihicle vintage 1995 or later</t>
        </is>
      </c>
      <c r="C22" s="137" t="inlineStr">
        <is>
          <t>litre</t>
        </is>
      </c>
      <c r="D22" s="155">
        <f>D65*$G$65*10^-6</f>
        <v/>
      </c>
      <c r="E22" s="155">
        <f>E65*$G$65*10^-6</f>
        <v/>
      </c>
      <c r="F22" s="155">
        <f>F65*$G$65*10^-6</f>
        <v/>
      </c>
      <c r="G22" s="1607">
        <f>D22+(E22*$K$5)+(F22*$K$6)</f>
        <v/>
      </c>
      <c r="H22" s="136" t="inlineStr">
        <is>
          <t>IPCC Vol.2 table 3.2.1, 3.2.2, DEDE</t>
        </is>
      </c>
      <c r="I22" s="1608" t="n"/>
      <c r="N22" s="1609" t="n"/>
      <c r="O22" s="1609" t="n"/>
    </row>
    <row r="23">
      <c r="A23" s="153" t="n"/>
      <c r="B23" s="135" t="inlineStr">
        <is>
          <t>Gas/ Diesel Oil</t>
        </is>
      </c>
      <c r="C23" s="137" t="inlineStr">
        <is>
          <t>litre</t>
        </is>
      </c>
      <c r="D23" s="155">
        <f>D66*$G$66*10^-6</f>
        <v/>
      </c>
      <c r="E23" s="155">
        <f>E66*$G$66*10^-6</f>
        <v/>
      </c>
      <c r="F23" s="155">
        <f>F66*$G$66*10^-6</f>
        <v/>
      </c>
      <c r="G23" s="1607">
        <f>D23+(E23*$K$5)+(F23*$K$6)</f>
        <v/>
      </c>
      <c r="H23" s="136" t="inlineStr">
        <is>
          <t>IPCC Vol.2 table 3.2.1, 3.2.2, DEDE</t>
        </is>
      </c>
      <c r="I23" s="1608" t="n"/>
      <c r="N23" s="1609" t="n"/>
      <c r="O23" s="1609" t="n"/>
    </row>
    <row r="24">
      <c r="A24" s="153" t="n"/>
      <c r="B24" s="135" t="inlineStr">
        <is>
          <t>Compressed Natural Gas</t>
        </is>
      </c>
      <c r="C24" s="137" t="inlineStr">
        <is>
          <t>kg</t>
        </is>
      </c>
      <c r="D24" s="155">
        <f>D67*$G$67*10^-6</f>
        <v/>
      </c>
      <c r="E24" s="155">
        <f>E67*$G$67*10^-6</f>
        <v/>
      </c>
      <c r="F24" s="155">
        <f>F67*$G$67*10^-6</f>
        <v/>
      </c>
      <c r="G24" s="1607">
        <f>D24+(E24*$K$5)+(F24*$K$6)</f>
        <v/>
      </c>
      <c r="H24" s="136" t="inlineStr">
        <is>
          <t>IPCC Vol.2 table 3.2.1, 3.2.2, PTT</t>
        </is>
      </c>
      <c r="I24" s="1608" t="n"/>
      <c r="N24" s="1609" t="n"/>
      <c r="O24" s="1609" t="n"/>
    </row>
    <row r="25">
      <c r="A25" s="153" t="n"/>
      <c r="B25" s="135" t="inlineStr">
        <is>
          <t>Liquified Petroleum Gas</t>
        </is>
      </c>
      <c r="C25" s="137" t="inlineStr">
        <is>
          <t>litre</t>
        </is>
      </c>
      <c r="D25" s="155">
        <f>D68*$G$68*10^-6</f>
        <v/>
      </c>
      <c r="E25" s="155">
        <f>E68*$G$68*10^-6</f>
        <v/>
      </c>
      <c r="F25" s="155">
        <f>F68*$G$68*10^-6</f>
        <v/>
      </c>
      <c r="G25" s="1607">
        <f>D25+(E25*$K$5)+(F25*$K$6)</f>
        <v/>
      </c>
      <c r="H25" s="136" t="inlineStr">
        <is>
          <t>IPCC Vol.2 table 3.2.1, 3.2.2, DEDE</t>
        </is>
      </c>
      <c r="I25" s="1608" t="n"/>
      <c r="N25" s="1609" t="n"/>
      <c r="O25" s="1609" t="n"/>
    </row>
    <row r="26">
      <c r="A26" s="153" t="n"/>
      <c r="B26" s="135" t="inlineStr">
        <is>
          <t>Liquified Petroleum Gas</t>
        </is>
      </c>
      <c r="C26" s="134" t="inlineStr">
        <is>
          <t>kg</t>
        </is>
      </c>
      <c r="D26" s="155">
        <f>D25/0.54</f>
        <v/>
      </c>
      <c r="E26" s="155">
        <f>E25/0.54</f>
        <v/>
      </c>
      <c r="F26" s="155">
        <f>F25/0.54</f>
        <v/>
      </c>
      <c r="G26" s="1607">
        <f>D26+(E26*$K$5)+(F26*$K$6)</f>
        <v/>
      </c>
      <c r="H26" s="136" t="inlineStr">
        <is>
          <t>IPCC Vol.2 table 3.2.1, 3.2.2, DEDE LPG 1 litre = 0.54 kg</t>
        </is>
      </c>
      <c r="I26" s="1608" t="n"/>
      <c r="N26" s="1609" t="n"/>
      <c r="O26" s="1609" t="n"/>
    </row>
    <row r="27">
      <c r="A27" s="153" t="inlineStr">
        <is>
          <t>Mobile Combustion (Off road)</t>
        </is>
      </c>
      <c r="B27" s="135" t="n"/>
      <c r="C27" s="134" t="n"/>
      <c r="D27" s="155" t="n"/>
      <c r="E27" s="155" t="n"/>
      <c r="F27" s="155" t="n"/>
      <c r="G27" s="1607" t="n"/>
      <c r="H27" s="136" t="n"/>
      <c r="I27" s="1608" t="n"/>
      <c r="N27" s="1609" t="n"/>
      <c r="O27" s="1609" t="n"/>
    </row>
    <row r="28">
      <c r="A28" s="153" t="n"/>
      <c r="B28" s="138" t="inlineStr">
        <is>
          <t>Diesel</t>
        </is>
      </c>
      <c r="C28" s="137" t="n"/>
      <c r="D28" s="155" t="n"/>
      <c r="E28" s="155" t="n"/>
      <c r="F28" s="155" t="n"/>
      <c r="G28" s="1607" t="n"/>
      <c r="H28" s="136" t="n"/>
      <c r="I28" s="1608" t="n"/>
      <c r="N28" s="1609" t="n"/>
      <c r="O28" s="1609" t="n"/>
    </row>
    <row r="29">
      <c r="A29" s="153" t="n"/>
      <c r="B29" s="139" t="inlineStr">
        <is>
          <t>- Agriculture</t>
        </is>
      </c>
      <c r="C29" s="137" t="inlineStr">
        <is>
          <t>litre</t>
        </is>
      </c>
      <c r="D29" s="155">
        <f>D75*$G$75/(10^6)</f>
        <v/>
      </c>
      <c r="E29" s="155">
        <f>E75*$G$75/(10^6)</f>
        <v/>
      </c>
      <c r="F29" s="155">
        <f>F75*$G$75/(10^6)</f>
        <v/>
      </c>
      <c r="G29" s="1607">
        <f>D29+(E29*$K$5)+(F29*$K$6)</f>
        <v/>
      </c>
      <c r="H29" s="136" t="inlineStr">
        <is>
          <t>IPCC Vol.2 table 3.3.1, DEDE</t>
        </is>
      </c>
      <c r="I29" s="1608" t="n"/>
      <c r="N29" s="1609" t="n"/>
      <c r="O29" s="1609" t="n"/>
    </row>
    <row r="30">
      <c r="A30" s="153" t="n"/>
      <c r="B30" s="139" t="inlineStr">
        <is>
          <t xml:space="preserve">- Forestry </t>
        </is>
      </c>
      <c r="C30" s="137" t="inlineStr">
        <is>
          <t>litre</t>
        </is>
      </c>
      <c r="D30" s="155">
        <f>D76*$G$76/(10^6)</f>
        <v/>
      </c>
      <c r="E30" s="155">
        <f>E76*$G$76/(10^6)</f>
        <v/>
      </c>
      <c r="F30" s="155">
        <f>F76*$G$76/(10^6)</f>
        <v/>
      </c>
      <c r="G30" s="1607">
        <f>D30+(E30*$K$5)+(F30*$K$6)</f>
        <v/>
      </c>
      <c r="H30" s="136" t="inlineStr">
        <is>
          <t>IPCC Vol.2 table 3.3.1, DEDE</t>
        </is>
      </c>
      <c r="I30" s="1608" t="n"/>
      <c r="N30" s="1609" t="n"/>
      <c r="O30" s="1609" t="n"/>
    </row>
    <row r="31">
      <c r="A31" s="153" t="n"/>
      <c r="B31" s="139" t="inlineStr">
        <is>
          <t xml:space="preserve">- Industry </t>
        </is>
      </c>
      <c r="C31" s="137" t="inlineStr">
        <is>
          <t>litre</t>
        </is>
      </c>
      <c r="D31" s="155">
        <f>D77*$G$77/(10^6)</f>
        <v/>
      </c>
      <c r="E31" s="155">
        <f>E77*$G$77/(10^6)</f>
        <v/>
      </c>
      <c r="F31" s="155">
        <f>F77*$G$77/(10^6)</f>
        <v/>
      </c>
      <c r="G31" s="1607">
        <f>D31+(E31*$K$5)+(F31*$K$6)</f>
        <v/>
      </c>
      <c r="H31" s="136" t="inlineStr">
        <is>
          <t>IPCC Vol.2 table 3.3.1, DEDE</t>
        </is>
      </c>
      <c r="I31" s="1608" t="n"/>
      <c r="N31" s="1609" t="n"/>
      <c r="O31" s="1609" t="n"/>
    </row>
    <row r="32">
      <c r="A32" s="153" t="n"/>
      <c r="B32" s="139" t="inlineStr">
        <is>
          <t>- Household</t>
        </is>
      </c>
      <c r="C32" s="137" t="inlineStr">
        <is>
          <t>litre</t>
        </is>
      </c>
      <c r="D32" s="155">
        <f>D78*$G$78/(10^6)</f>
        <v/>
      </c>
      <c r="E32" s="155">
        <f>E78*$G$78/(10^6)</f>
        <v/>
      </c>
      <c r="F32" s="155">
        <f>F78*$G$78/(10^6)</f>
        <v/>
      </c>
      <c r="G32" s="1607">
        <f>D32+(E32*$K$5)+(F32*$K$6)</f>
        <v/>
      </c>
      <c r="H32" s="136" t="inlineStr">
        <is>
          <t>IPCC Vol.2 table 3.3.1, DEDE</t>
        </is>
      </c>
      <c r="I32" s="1608" t="n"/>
      <c r="N32" s="1609" t="n"/>
      <c r="O32" s="1609" t="n"/>
    </row>
    <row r="33">
      <c r="A33" s="153" t="n"/>
      <c r="B33" s="138" t="inlineStr">
        <is>
          <t>Motor Gasoline - 4 stroke</t>
        </is>
      </c>
      <c r="C33" s="137" t="n"/>
      <c r="D33" s="155" t="n"/>
      <c r="E33" s="155" t="n"/>
      <c r="F33" s="155" t="n"/>
      <c r="G33" s="1607" t="n"/>
      <c r="H33" s="136" t="n"/>
      <c r="I33" s="1608" t="n"/>
      <c r="N33" s="1609" t="n"/>
      <c r="O33" s="1609" t="n"/>
    </row>
    <row r="34">
      <c r="A34" s="153" t="n"/>
      <c r="B34" s="139" t="inlineStr">
        <is>
          <t>- Agriculture</t>
        </is>
      </c>
      <c r="C34" s="137" t="inlineStr">
        <is>
          <t>litre</t>
        </is>
      </c>
      <c r="D34" s="155">
        <f>D80*$G$80/(10^6)</f>
        <v/>
      </c>
      <c r="E34" s="155">
        <f>E80*$G$80/(10^6)</f>
        <v/>
      </c>
      <c r="F34" s="155">
        <f>F80*$G$80/(10^6)</f>
        <v/>
      </c>
      <c r="G34" s="1607">
        <f>D34+(E34*$K$5)+(F34*$K$6)</f>
        <v/>
      </c>
      <c r="H34" s="136" t="inlineStr">
        <is>
          <t>IPCC Vol.2 table 3.3.1, DEDE</t>
        </is>
      </c>
      <c r="I34" s="1608" t="n"/>
      <c r="N34" s="1609" t="n"/>
      <c r="O34" s="1609" t="n"/>
    </row>
    <row r="35">
      <c r="A35" s="133" t="n"/>
      <c r="B35" s="139" t="inlineStr">
        <is>
          <t xml:space="preserve">- Forestry </t>
        </is>
      </c>
      <c r="C35" s="137" t="inlineStr">
        <is>
          <t>litre</t>
        </is>
      </c>
      <c r="D35" s="155">
        <f>D81*$G$81/(10^6)</f>
        <v/>
      </c>
      <c r="E35" s="155">
        <f>E81*$G$81/(10^6)</f>
        <v/>
      </c>
      <c r="F35" s="155">
        <f>F81*$G$81/(10^6)</f>
        <v/>
      </c>
      <c r="G35" s="1607">
        <f>D35+(E35*$K$5)+(F35*$K$6)</f>
        <v/>
      </c>
      <c r="H35" s="136" t="inlineStr">
        <is>
          <t>IPCC Vol.2 table 3.3.1, DEDE</t>
        </is>
      </c>
      <c r="I35" s="1608" t="n"/>
      <c r="N35" s="1609" t="n"/>
      <c r="O35" s="1609" t="n"/>
    </row>
    <row r="36">
      <c r="A36" s="133" t="n"/>
      <c r="B36" s="139" t="inlineStr">
        <is>
          <t xml:space="preserve">- Industry </t>
        </is>
      </c>
      <c r="C36" s="137" t="inlineStr">
        <is>
          <t>litre</t>
        </is>
      </c>
      <c r="D36" s="155">
        <f>D82*$G$82/(10^6)</f>
        <v/>
      </c>
      <c r="E36" s="155">
        <f>E82*$G$82/(10^6)</f>
        <v/>
      </c>
      <c r="F36" s="155">
        <f>F82*$G$82/(10^6)</f>
        <v/>
      </c>
      <c r="G36" s="1607">
        <f>D36+(E36*$K$5)+(F36*$K$6)</f>
        <v/>
      </c>
      <c r="H36" s="136" t="inlineStr">
        <is>
          <t>IPCC Vol.2 table 3.3.1, DEDE</t>
        </is>
      </c>
      <c r="I36" s="1608" t="n"/>
      <c r="N36" s="1609" t="n"/>
      <c r="O36" s="1609" t="n"/>
    </row>
    <row r="37">
      <c r="A37" s="133" t="n"/>
      <c r="B37" s="139" t="inlineStr">
        <is>
          <t>- Household</t>
        </is>
      </c>
      <c r="C37" s="137" t="inlineStr">
        <is>
          <t>litre</t>
        </is>
      </c>
      <c r="D37" s="155">
        <f>D83*$G$83/(10^6)</f>
        <v/>
      </c>
      <c r="E37" s="155">
        <f>E83*$G$83/(10^6)</f>
        <v/>
      </c>
      <c r="F37" s="155">
        <f>F83*$G$83/(10^6)</f>
        <v/>
      </c>
      <c r="G37" s="1607">
        <f>D37+(E37*$K$5)+(F37*$K$6)</f>
        <v/>
      </c>
      <c r="H37" s="136" t="inlineStr">
        <is>
          <t>IPCC Vol.2 table 3.3.1, DEDE</t>
        </is>
      </c>
      <c r="I37" s="1608" t="n"/>
      <c r="N37" s="1609" t="n"/>
      <c r="O37" s="1609" t="n"/>
    </row>
    <row r="38">
      <c r="A38" s="153" t="n"/>
      <c r="B38" s="138" t="inlineStr">
        <is>
          <t>Motor Gasoline - 2 stroke</t>
        </is>
      </c>
      <c r="C38" s="137" t="n"/>
      <c r="D38" s="155" t="n"/>
      <c r="E38" s="155" t="n"/>
      <c r="F38" s="155" t="n"/>
      <c r="G38" s="1607" t="n"/>
      <c r="H38" s="136" t="n"/>
      <c r="I38" s="1608" t="n"/>
      <c r="N38" s="1609" t="n"/>
      <c r="O38" s="1609" t="n"/>
    </row>
    <row r="39">
      <c r="A39" s="153" t="n"/>
      <c r="B39" s="139" t="inlineStr">
        <is>
          <t>- Agriculture</t>
        </is>
      </c>
      <c r="C39" s="137" t="inlineStr">
        <is>
          <t>litre</t>
        </is>
      </c>
      <c r="D39" s="155">
        <f>D85*$G$85/(10^6)</f>
        <v/>
      </c>
      <c r="E39" s="155">
        <f>E85*$G$85/(10^6)</f>
        <v/>
      </c>
      <c r="F39" s="155">
        <f>F85*$G$85/(10^6)</f>
        <v/>
      </c>
      <c r="G39" s="1607">
        <f>D39+(E39*$K$5)+(F39*$K$6)</f>
        <v/>
      </c>
      <c r="H39" s="136" t="inlineStr">
        <is>
          <t>IPCC Vol.2 table 3.3.1, DEDE</t>
        </is>
      </c>
      <c r="I39" s="1608" t="n"/>
      <c r="N39" s="1609" t="n"/>
      <c r="O39" s="1609" t="n"/>
    </row>
    <row r="40">
      <c r="A40" s="133" t="n"/>
      <c r="B40" s="139" t="inlineStr">
        <is>
          <t xml:space="preserve">- Forestry </t>
        </is>
      </c>
      <c r="C40" s="137" t="inlineStr">
        <is>
          <t>litre</t>
        </is>
      </c>
      <c r="D40" s="155">
        <f>D86*$G$86/(10^6)</f>
        <v/>
      </c>
      <c r="E40" s="155">
        <f>E86*$G$86/(10^6)</f>
        <v/>
      </c>
      <c r="F40" s="155">
        <f>F86*$G$86/(10^6)</f>
        <v/>
      </c>
      <c r="G40" s="1607">
        <f>D40+(E40*$K$5)+(F40*$K$6)</f>
        <v/>
      </c>
      <c r="H40" s="136" t="inlineStr">
        <is>
          <t>IPCC Vol.2 table 3.3.1, DEDE</t>
        </is>
      </c>
      <c r="I40" s="1608" t="n"/>
      <c r="N40" s="1609" t="n"/>
      <c r="O40" s="1609" t="n"/>
    </row>
    <row r="41">
      <c r="A41" s="133" t="n"/>
      <c r="B41" s="139" t="inlineStr">
        <is>
          <t xml:space="preserve">- Industry </t>
        </is>
      </c>
      <c r="C41" s="137" t="inlineStr">
        <is>
          <t>litre</t>
        </is>
      </c>
      <c r="D41" s="155">
        <f>D87*$G$87/(10^6)</f>
        <v/>
      </c>
      <c r="E41" s="155">
        <f>E87*$G$87/(10^6)</f>
        <v/>
      </c>
      <c r="F41" s="155">
        <f>F87*$G$87/(10^6)</f>
        <v/>
      </c>
      <c r="G41" s="1607">
        <f>D41+(E41*$K$5)+(F41*$K$6)</f>
        <v/>
      </c>
      <c r="H41" s="136" t="inlineStr">
        <is>
          <t>IPCC Vol.2 table 3.3.1, DEDE</t>
        </is>
      </c>
      <c r="I41" s="1608" t="n"/>
      <c r="N41" s="1609" t="n"/>
      <c r="O41" s="1609" t="n"/>
    </row>
    <row r="42">
      <c r="A42" s="133" t="n"/>
      <c r="B42" s="139" t="inlineStr">
        <is>
          <t>- Household</t>
        </is>
      </c>
      <c r="C42" s="137" t="inlineStr">
        <is>
          <t>litre</t>
        </is>
      </c>
      <c r="D42" s="155">
        <f>D88*$G$88/(10^6)</f>
        <v/>
      </c>
      <c r="E42" s="155">
        <f>E88*$G$88/(10^6)</f>
        <v/>
      </c>
      <c r="F42" s="155">
        <f>F88*$G$88/(10^6)</f>
        <v/>
      </c>
      <c r="G42" s="1607">
        <f>D42+(E42*$K$5)+(F42*$K$6)</f>
        <v/>
      </c>
      <c r="H42" s="136" t="inlineStr">
        <is>
          <t>IPCC Vol.2 table 3.3.1, DEDE</t>
        </is>
      </c>
      <c r="I42" s="1608" t="n"/>
      <c r="N42" s="1609" t="n"/>
      <c r="O42" s="1609" t="n"/>
    </row>
    <row r="43">
      <c r="B43" s="157" t="n"/>
      <c r="C43" s="157" t="n"/>
      <c r="D43" s="1610" t="n"/>
      <c r="E43" s="1610" t="n"/>
      <c r="F43" s="1610" t="n"/>
      <c r="G43" s="1611" t="n"/>
    </row>
    <row r="44" customFormat="1" s="141">
      <c r="A44" s="140" t="inlineStr">
        <is>
          <t>Stationary Combustion</t>
        </is>
      </c>
      <c r="B44" s="159" t="n"/>
      <c r="C44" s="159" t="n"/>
      <c r="D44" s="1612" t="n"/>
      <c r="E44" s="1613" t="n"/>
      <c r="F44" s="1612" t="n"/>
      <c r="G44" s="1614" t="n"/>
    </row>
    <row r="45">
      <c r="D45" s="1611" t="n"/>
      <c r="E45" s="1615" t="inlineStr">
        <is>
          <t>IPCC</t>
        </is>
      </c>
      <c r="F45" s="1615" t="n"/>
      <c r="G45" s="1615" t="inlineStr">
        <is>
          <t>DEDE</t>
        </is>
      </c>
    </row>
    <row r="46" ht="14.25" customHeight="1">
      <c r="B46" s="135" t="n"/>
      <c r="C46" s="134" t="n"/>
      <c r="D46" s="1616" t="inlineStr">
        <is>
          <t>[kg/TJ]</t>
        </is>
      </c>
      <c r="E46" s="1415" t="n"/>
      <c r="F46" s="1416" t="n"/>
      <c r="G46" s="1617" t="inlineStr">
        <is>
          <t>[MJ/unit]</t>
        </is>
      </c>
    </row>
    <row r="47">
      <c r="B47" s="135" t="n"/>
      <c r="C47" s="134" t="inlineStr">
        <is>
          <t>unit</t>
        </is>
      </c>
      <c r="D47" s="1616" t="inlineStr">
        <is>
          <t>CO2</t>
        </is>
      </c>
      <c r="E47" s="134" t="inlineStr">
        <is>
          <t>CH4</t>
        </is>
      </c>
      <c r="F47" s="134" t="inlineStr">
        <is>
          <t>N2O</t>
        </is>
      </c>
      <c r="G47" s="1617" t="inlineStr">
        <is>
          <t>NCV</t>
        </is>
      </c>
    </row>
    <row r="48">
      <c r="B48" s="135" t="inlineStr">
        <is>
          <t>Natural gas</t>
        </is>
      </c>
      <c r="C48" s="134" t="inlineStr">
        <is>
          <t>scf</t>
        </is>
      </c>
      <c r="D48" s="145" t="n">
        <v>56100</v>
      </c>
      <c r="E48" s="134" t="n">
        <v>1</v>
      </c>
      <c r="F48" s="134" t="n">
        <v>0.1</v>
      </c>
      <c r="G48" s="146" t="n">
        <v>1.02</v>
      </c>
      <c r="H48" s="132" t="inlineStr">
        <is>
          <t>dry basis</t>
        </is>
      </c>
    </row>
    <row r="49">
      <c r="B49" s="135" t="inlineStr">
        <is>
          <t>Lignite</t>
        </is>
      </c>
      <c r="C49" s="134" t="inlineStr">
        <is>
          <t>kg</t>
        </is>
      </c>
      <c r="D49" s="145" t="n">
        <v>101000</v>
      </c>
      <c r="E49" s="134" t="n">
        <v>1</v>
      </c>
      <c r="F49" s="134" t="n">
        <v>1.5</v>
      </c>
      <c r="G49" s="146" t="n">
        <v>10.47</v>
      </c>
    </row>
    <row r="50">
      <c r="B50" s="135" t="inlineStr">
        <is>
          <t>Fuel oil A</t>
        </is>
      </c>
      <c r="C50" s="134" t="inlineStr">
        <is>
          <t>litre</t>
        </is>
      </c>
      <c r="D50" s="145" t="n">
        <v>77400</v>
      </c>
      <c r="E50" s="134" t="n">
        <v>3</v>
      </c>
      <c r="F50" s="134" t="n">
        <v>0.6</v>
      </c>
      <c r="G50" s="167" t="n">
        <v>41.46897214950003</v>
      </c>
      <c r="H50" s="132" t="inlineStr">
        <is>
          <t>*ref. from PTT</t>
        </is>
      </c>
    </row>
    <row r="51">
      <c r="B51" s="135" t="inlineStr">
        <is>
          <t>Fuel oil C</t>
        </is>
      </c>
      <c r="C51" s="134" t="inlineStr">
        <is>
          <t>litre</t>
        </is>
      </c>
      <c r="D51" s="145" t="n">
        <v>77400</v>
      </c>
      <c r="E51" s="134" t="n">
        <v>3</v>
      </c>
      <c r="F51" s="134" t="n">
        <v>0.6</v>
      </c>
      <c r="G51" s="167" t="n">
        <v>41.80025970210002</v>
      </c>
      <c r="H51" s="132" t="inlineStr">
        <is>
          <t>*ref. from PTT</t>
        </is>
      </c>
    </row>
    <row r="52">
      <c r="B52" s="135" t="inlineStr">
        <is>
          <t>Gas/Diesel oil</t>
        </is>
      </c>
      <c r="C52" s="134" t="inlineStr">
        <is>
          <t>litre</t>
        </is>
      </c>
      <c r="D52" s="145" t="n">
        <v>74100</v>
      </c>
      <c r="E52" s="134" t="n">
        <v>3</v>
      </c>
      <c r="F52" s="134" t="n">
        <v>0.6</v>
      </c>
      <c r="G52" s="146" t="n">
        <v>36.42</v>
      </c>
    </row>
    <row r="53">
      <c r="B53" s="135" t="inlineStr">
        <is>
          <t>Anthracite</t>
        </is>
      </c>
      <c r="C53" s="134" t="inlineStr">
        <is>
          <t>kg</t>
        </is>
      </c>
      <c r="D53" s="145" t="n">
        <v>98300</v>
      </c>
      <c r="E53" s="134" t="n">
        <v>1</v>
      </c>
      <c r="F53" s="134" t="n">
        <v>1.5</v>
      </c>
      <c r="G53" s="146" t="n">
        <v>31.4</v>
      </c>
    </row>
    <row r="54">
      <c r="B54" s="135" t="inlineStr">
        <is>
          <t>Sub-bituminous coal</t>
        </is>
      </c>
      <c r="C54" s="134" t="inlineStr">
        <is>
          <t>kg</t>
        </is>
      </c>
      <c r="D54" s="145" t="n">
        <v>96100</v>
      </c>
      <c r="E54" s="134" t="n">
        <v>1</v>
      </c>
      <c r="F54" s="134" t="n">
        <v>1.5</v>
      </c>
      <c r="G54" s="146" t="n">
        <v>26.37</v>
      </c>
    </row>
    <row r="55">
      <c r="B55" s="135" t="inlineStr">
        <is>
          <t>Jet Kerosene</t>
        </is>
      </c>
      <c r="C55" s="134" t="inlineStr">
        <is>
          <t>litre</t>
        </is>
      </c>
      <c r="D55" s="145" t="n">
        <v>71500</v>
      </c>
      <c r="E55" s="134" t="n">
        <v>3</v>
      </c>
      <c r="F55" s="134" t="n">
        <v>0.6</v>
      </c>
      <c r="G55" s="146" t="n">
        <v>34.53</v>
      </c>
    </row>
    <row r="56">
      <c r="B56" s="135" t="inlineStr">
        <is>
          <t>LPG</t>
        </is>
      </c>
      <c r="C56" s="134" t="inlineStr">
        <is>
          <t>litre</t>
        </is>
      </c>
      <c r="D56" s="145" t="n">
        <v>63100</v>
      </c>
      <c r="E56" s="134" t="n">
        <v>1</v>
      </c>
      <c r="F56" s="134" t="n">
        <v>0.1</v>
      </c>
      <c r="G56" s="146" t="n">
        <v>26.62</v>
      </c>
    </row>
    <row r="57">
      <c r="B57" s="135" t="inlineStr">
        <is>
          <t>Motor gasoline</t>
        </is>
      </c>
      <c r="C57" s="134" t="inlineStr">
        <is>
          <t>litre</t>
        </is>
      </c>
      <c r="D57" s="145" t="n">
        <v>69300</v>
      </c>
      <c r="E57" s="134" t="n">
        <v>3</v>
      </c>
      <c r="F57" s="134" t="n">
        <v>0.6</v>
      </c>
      <c r="G57" s="146">
        <f>G63</f>
        <v/>
      </c>
    </row>
    <row r="58">
      <c r="D58" s="1611" t="n"/>
      <c r="E58" s="1611" t="n"/>
      <c r="F58" s="1611" t="n"/>
      <c r="G58" s="147" t="n"/>
    </row>
    <row r="59" customFormat="1" s="141">
      <c r="A59" s="140" t="inlineStr">
        <is>
          <t>Mobile Combustion (On road)</t>
        </is>
      </c>
      <c r="B59" s="159" t="n"/>
      <c r="C59" s="159" t="n"/>
      <c r="D59" s="1612" t="n"/>
      <c r="E59" s="1613" t="n"/>
      <c r="F59" s="1612" t="n"/>
      <c r="G59" s="1614" t="n"/>
    </row>
    <row r="60">
      <c r="D60" s="1618" t="inlineStr">
        <is>
          <t>IPCC</t>
        </is>
      </c>
      <c r="E60" s="1414" t="n"/>
      <c r="F60" s="1414" t="n"/>
      <c r="G60" s="1615" t="inlineStr">
        <is>
          <t>DEDE</t>
        </is>
      </c>
    </row>
    <row r="61">
      <c r="B61" s="135" t="n"/>
      <c r="C61" s="133" t="n"/>
      <c r="D61" s="134" t="inlineStr">
        <is>
          <t>[kg/TJ]</t>
        </is>
      </c>
      <c r="E61" s="1415" t="n"/>
      <c r="F61" s="1416" t="n"/>
      <c r="G61" s="1617" t="inlineStr">
        <is>
          <t>[MJ/unit]</t>
        </is>
      </c>
    </row>
    <row r="62">
      <c r="B62" s="135" t="n"/>
      <c r="C62" s="137" t="inlineStr">
        <is>
          <t>unit</t>
        </is>
      </c>
      <c r="D62" s="134" t="inlineStr">
        <is>
          <t>CO2</t>
        </is>
      </c>
      <c r="E62" s="1616" t="inlineStr">
        <is>
          <t>CH4</t>
        </is>
      </c>
      <c r="F62" s="134" t="inlineStr">
        <is>
          <t>N2O</t>
        </is>
      </c>
      <c r="G62" s="1617" t="inlineStr">
        <is>
          <t>NCV</t>
        </is>
      </c>
    </row>
    <row r="63">
      <c r="B63" s="135" t="inlineStr">
        <is>
          <t xml:space="preserve">Motor Gasoline - uncontrolled </t>
        </is>
      </c>
      <c r="C63" s="137" t="inlineStr">
        <is>
          <t>litre</t>
        </is>
      </c>
      <c r="D63" s="134" t="n">
        <v>69300</v>
      </c>
      <c r="E63" s="145" t="n">
        <v>33</v>
      </c>
      <c r="F63" s="134" t="n">
        <v>3.2</v>
      </c>
      <c r="G63" s="146" t="n">
        <v>31.48</v>
      </c>
      <c r="H63" s="132" t="inlineStr">
        <is>
          <t>gasoline</t>
        </is>
      </c>
    </row>
    <row r="64">
      <c r="B64" s="135" t="inlineStr">
        <is>
          <t>Motor Gasoline -oxydation catalyst</t>
        </is>
      </c>
      <c r="C64" s="137" t="inlineStr">
        <is>
          <t>litre</t>
        </is>
      </c>
      <c r="D64" s="134" t="n">
        <v>69300</v>
      </c>
      <c r="E64" s="145" t="n">
        <v>25</v>
      </c>
      <c r="F64" s="134" t="n">
        <v>8</v>
      </c>
      <c r="G64" s="146" t="n">
        <v>31.48</v>
      </c>
    </row>
    <row r="65">
      <c r="B65" s="135" t="inlineStr">
        <is>
          <t>Motor Gasoline - low mileage light duty vihicle vintage 1995 or later</t>
        </is>
      </c>
      <c r="C65" s="137" t="inlineStr">
        <is>
          <t>litre</t>
        </is>
      </c>
      <c r="D65" s="134" t="n">
        <v>69300</v>
      </c>
      <c r="E65" s="145" t="n">
        <v>3.8</v>
      </c>
      <c r="F65" s="134" t="n">
        <v>5.7</v>
      </c>
      <c r="G65" s="146" t="n">
        <v>31.48</v>
      </c>
    </row>
    <row r="66">
      <c r="B66" s="135" t="inlineStr">
        <is>
          <t>Gas/ Diesel Oil</t>
        </is>
      </c>
      <c r="C66" s="137" t="inlineStr">
        <is>
          <t>litre</t>
        </is>
      </c>
      <c r="D66" s="134" t="n">
        <v>74100</v>
      </c>
      <c r="E66" s="145" t="n">
        <v>3.9</v>
      </c>
      <c r="F66" s="134" t="n">
        <v>3.9</v>
      </c>
      <c r="G66" s="146">
        <f>G52</f>
        <v/>
      </c>
    </row>
    <row r="67">
      <c r="B67" s="135" t="inlineStr">
        <is>
          <t>Compressed Natural Gas</t>
        </is>
      </c>
      <c r="C67" s="137" t="inlineStr">
        <is>
          <t>kg</t>
        </is>
      </c>
      <c r="D67" s="134" t="n">
        <v>56100</v>
      </c>
      <c r="E67" s="145" t="n">
        <v>92</v>
      </c>
      <c r="F67" s="134" t="n">
        <v>3</v>
      </c>
      <c r="G67" s="146" t="n">
        <v>37.9</v>
      </c>
      <c r="H67" s="132" t="inlineStr">
        <is>
          <t>*ref. from PTT</t>
        </is>
      </c>
    </row>
    <row r="68">
      <c r="B68" s="135" t="inlineStr">
        <is>
          <t>Liquified Petroleum Gas</t>
        </is>
      </c>
      <c r="C68" s="137" t="inlineStr">
        <is>
          <t>litre</t>
        </is>
      </c>
      <c r="D68" s="134" t="n">
        <v>63100</v>
      </c>
      <c r="E68" s="145" t="n">
        <v>62</v>
      </c>
      <c r="F68" s="134" t="n">
        <v>0.2</v>
      </c>
      <c r="G68" s="146">
        <f>G56</f>
        <v/>
      </c>
    </row>
    <row r="69">
      <c r="D69" s="1611" t="n"/>
      <c r="E69" s="1611" t="n"/>
      <c r="F69" s="1611" t="n"/>
      <c r="G69" s="1611" t="n"/>
    </row>
    <row r="70" customFormat="1" s="141">
      <c r="A70" s="140" t="inlineStr">
        <is>
          <t xml:space="preserve">Mobile Combustion (Off road) </t>
        </is>
      </c>
      <c r="B70" s="159" t="n"/>
      <c r="C70" s="159" t="n"/>
      <c r="D70" s="1612" t="n"/>
      <c r="E70" s="1613" t="n"/>
      <c r="F70" s="1612" t="n"/>
      <c r="G70" s="1614" t="n"/>
    </row>
    <row r="71">
      <c r="D71" s="1618" t="inlineStr">
        <is>
          <t>IPCC</t>
        </is>
      </c>
      <c r="E71" s="1414" t="n"/>
      <c r="F71" s="1414" t="n"/>
      <c r="G71" s="1615" t="inlineStr">
        <is>
          <t>DEDE</t>
        </is>
      </c>
    </row>
    <row r="72">
      <c r="B72" s="135" t="n"/>
      <c r="C72" s="133" t="n"/>
      <c r="D72" s="134" t="inlineStr">
        <is>
          <t>[kg/TJ]</t>
        </is>
      </c>
      <c r="E72" s="1415" t="n"/>
      <c r="F72" s="1416" t="n"/>
      <c r="G72" s="1617" t="inlineStr">
        <is>
          <t>[MJ/unit]</t>
        </is>
      </c>
    </row>
    <row r="73">
      <c r="B73" s="135" t="n"/>
      <c r="C73" s="137" t="inlineStr">
        <is>
          <t>unit</t>
        </is>
      </c>
      <c r="D73" s="134" t="inlineStr">
        <is>
          <t>CO2</t>
        </is>
      </c>
      <c r="E73" s="1616" t="inlineStr">
        <is>
          <t>CH4</t>
        </is>
      </c>
      <c r="F73" s="134" t="inlineStr">
        <is>
          <t>N2O</t>
        </is>
      </c>
      <c r="G73" s="1617" t="inlineStr">
        <is>
          <t>NCV</t>
        </is>
      </c>
    </row>
    <row r="74">
      <c r="B74" s="138" t="inlineStr">
        <is>
          <t>Diesel</t>
        </is>
      </c>
      <c r="C74" s="137" t="n"/>
      <c r="D74" s="134" t="n"/>
      <c r="E74" s="145" t="n"/>
      <c r="F74" s="134" t="n"/>
      <c r="G74" s="146" t="n"/>
    </row>
    <row r="75">
      <c r="B75" s="139" t="inlineStr">
        <is>
          <t>- Agriculture</t>
        </is>
      </c>
      <c r="C75" s="137" t="inlineStr">
        <is>
          <t>litre</t>
        </is>
      </c>
      <c r="D75" s="134" t="n">
        <v>74100</v>
      </c>
      <c r="E75" s="145" t="n">
        <v>4.15</v>
      </c>
      <c r="F75" s="134" t="n">
        <v>28.6</v>
      </c>
      <c r="G75" s="146" t="n">
        <v>36.42</v>
      </c>
    </row>
    <row r="76">
      <c r="B76" s="139" t="inlineStr">
        <is>
          <t xml:space="preserve">- Forestry </t>
        </is>
      </c>
      <c r="C76" s="137" t="inlineStr">
        <is>
          <t>litre</t>
        </is>
      </c>
      <c r="D76" s="134" t="n">
        <v>74100</v>
      </c>
      <c r="E76" s="145" t="n">
        <v>4.15</v>
      </c>
      <c r="F76" s="134" t="n">
        <v>28.6</v>
      </c>
      <c r="G76" s="146" t="n">
        <v>36.42</v>
      </c>
    </row>
    <row r="77">
      <c r="B77" s="139" t="inlineStr">
        <is>
          <t xml:space="preserve">- Industry </t>
        </is>
      </c>
      <c r="C77" s="137" t="inlineStr">
        <is>
          <t>litre</t>
        </is>
      </c>
      <c r="D77" s="134" t="n">
        <v>74100</v>
      </c>
      <c r="E77" s="145" t="n">
        <v>4.15</v>
      </c>
      <c r="F77" s="134" t="n">
        <v>28.6</v>
      </c>
      <c r="G77" s="146" t="n">
        <v>36.42</v>
      </c>
    </row>
    <row r="78">
      <c r="B78" s="139" t="inlineStr">
        <is>
          <t>- Household</t>
        </is>
      </c>
      <c r="C78" s="137" t="inlineStr">
        <is>
          <t>litre</t>
        </is>
      </c>
      <c r="D78" s="134" t="n">
        <v>74100</v>
      </c>
      <c r="E78" s="145" t="n">
        <v>4.15</v>
      </c>
      <c r="F78" s="134" t="n">
        <v>28.6</v>
      </c>
      <c r="G78" s="146" t="n">
        <v>36.42</v>
      </c>
    </row>
    <row r="79">
      <c r="B79" s="138" t="inlineStr">
        <is>
          <t>Motor Gasoline - 4 stroke</t>
        </is>
      </c>
      <c r="C79" s="137" t="n"/>
      <c r="D79" s="134" t="n"/>
      <c r="E79" s="145" t="n"/>
      <c r="F79" s="134" t="n"/>
      <c r="G79" s="146" t="n"/>
    </row>
    <row r="80">
      <c r="B80" s="139" t="inlineStr">
        <is>
          <t>- Agriculture</t>
        </is>
      </c>
      <c r="C80" s="137" t="inlineStr">
        <is>
          <t>litre</t>
        </is>
      </c>
      <c r="D80" s="146" t="n">
        <v>69300</v>
      </c>
      <c r="E80" s="146" t="n">
        <v>80</v>
      </c>
      <c r="F80" s="146" t="n">
        <v>2</v>
      </c>
      <c r="G80" s="146" t="n">
        <v>31.48</v>
      </c>
    </row>
    <row r="81">
      <c r="B81" s="139" t="inlineStr">
        <is>
          <t xml:space="preserve">- Forestry </t>
        </is>
      </c>
      <c r="C81" s="137" t="inlineStr">
        <is>
          <t>litre</t>
        </is>
      </c>
      <c r="D81" s="146" t="n">
        <v>69300</v>
      </c>
      <c r="E81" s="146" t="n"/>
      <c r="F81" s="146" t="n"/>
      <c r="G81" s="146" t="n">
        <v>31.48</v>
      </c>
    </row>
    <row r="82">
      <c r="B82" s="139" t="inlineStr">
        <is>
          <t xml:space="preserve">- Industry </t>
        </is>
      </c>
      <c r="C82" s="137" t="inlineStr">
        <is>
          <t>litre</t>
        </is>
      </c>
      <c r="D82" s="146" t="n">
        <v>69300</v>
      </c>
      <c r="E82" s="146" t="n">
        <v>50</v>
      </c>
      <c r="F82" s="146" t="n">
        <v>2</v>
      </c>
      <c r="G82" s="146" t="n">
        <v>31.48</v>
      </c>
    </row>
    <row r="83">
      <c r="B83" s="139" t="inlineStr">
        <is>
          <t>- Household</t>
        </is>
      </c>
      <c r="C83" s="137" t="inlineStr">
        <is>
          <t>litre</t>
        </is>
      </c>
      <c r="D83" s="146" t="n">
        <v>69300</v>
      </c>
      <c r="E83" s="146" t="n">
        <v>120</v>
      </c>
      <c r="F83" s="146" t="n">
        <v>2</v>
      </c>
      <c r="G83" s="146" t="n">
        <v>31.48</v>
      </c>
    </row>
    <row r="84">
      <c r="B84" s="138" t="inlineStr">
        <is>
          <t>Motor Gasoline - 2 stroke</t>
        </is>
      </c>
      <c r="C84" s="133" t="n"/>
      <c r="D84" s="1619" t="n"/>
      <c r="E84" s="1619" t="n"/>
      <c r="F84" s="1619" t="n"/>
      <c r="G84" s="1619" t="n"/>
    </row>
    <row r="85">
      <c r="B85" s="139" t="inlineStr">
        <is>
          <t>- Agriculture</t>
        </is>
      </c>
      <c r="C85" s="137" t="inlineStr">
        <is>
          <t>litre</t>
        </is>
      </c>
      <c r="D85" s="146" t="n">
        <v>69300</v>
      </c>
      <c r="E85" s="146" t="n">
        <v>140</v>
      </c>
      <c r="F85" s="146" t="n">
        <v>0.4</v>
      </c>
      <c r="G85" s="146" t="n">
        <v>31.48</v>
      </c>
    </row>
    <row r="86">
      <c r="B86" s="139" t="inlineStr">
        <is>
          <t xml:space="preserve">- Forestry </t>
        </is>
      </c>
      <c r="C86" s="137" t="inlineStr">
        <is>
          <t>litre</t>
        </is>
      </c>
      <c r="D86" s="146" t="n">
        <v>69300</v>
      </c>
      <c r="E86" s="146" t="n">
        <v>170</v>
      </c>
      <c r="F86" s="146" t="n">
        <v>0.4</v>
      </c>
      <c r="G86" s="146" t="n">
        <v>31.48</v>
      </c>
    </row>
    <row r="87">
      <c r="B87" s="139" t="inlineStr">
        <is>
          <t xml:space="preserve">- Industry </t>
        </is>
      </c>
      <c r="C87" s="137" t="inlineStr">
        <is>
          <t>litre</t>
        </is>
      </c>
      <c r="D87" s="146" t="n">
        <v>69300</v>
      </c>
      <c r="E87" s="146" t="n">
        <v>130</v>
      </c>
      <c r="F87" s="146" t="n">
        <v>0.4</v>
      </c>
      <c r="G87" s="146" t="n">
        <v>31.48</v>
      </c>
    </row>
    <row r="88">
      <c r="B88" s="139" t="inlineStr">
        <is>
          <t>- Household</t>
        </is>
      </c>
      <c r="C88" s="137" t="inlineStr">
        <is>
          <t>litre</t>
        </is>
      </c>
      <c r="D88" s="146" t="n">
        <v>69300</v>
      </c>
      <c r="E88" s="146" t="n">
        <v>180</v>
      </c>
      <c r="F88" s="146" t="n">
        <v>0.4</v>
      </c>
      <c r="G88" s="146" t="n">
        <v>31.48</v>
      </c>
    </row>
    <row r="89">
      <c r="D89" s="1611" t="n"/>
      <c r="E89" s="1611" t="n"/>
      <c r="F89" s="1611" t="n"/>
      <c r="G89" s="1611" t="n"/>
    </row>
    <row r="90">
      <c r="D90" s="1611" t="n"/>
      <c r="E90" s="1611" t="n"/>
      <c r="F90" s="1611" t="n"/>
      <c r="G90" s="1611" t="n"/>
    </row>
    <row r="91">
      <c r="D91" s="1611" t="n"/>
      <c r="E91" s="1611" t="n"/>
      <c r="F91" s="1611" t="n"/>
      <c r="G91" s="1611" t="n"/>
    </row>
    <row r="92">
      <c r="D92" s="1611" t="n"/>
      <c r="E92" s="1611" t="n"/>
      <c r="F92" s="1611" t="n"/>
      <c r="G92" s="1611" t="n"/>
    </row>
    <row r="93">
      <c r="D93" s="1611" t="n"/>
      <c r="E93" s="1611" t="n"/>
      <c r="F93" s="1611" t="n"/>
      <c r="G93" s="1611" t="n"/>
    </row>
    <row r="94">
      <c r="D94" s="1611" t="n"/>
      <c r="E94" s="1611" t="n"/>
      <c r="F94" s="1611" t="n"/>
      <c r="G94" s="1611" t="n"/>
    </row>
    <row r="95">
      <c r="D95" s="1611" t="n"/>
      <c r="E95" s="1611" t="n"/>
      <c r="F95" s="1611" t="n"/>
      <c r="G95" s="1611" t="n"/>
    </row>
    <row r="96">
      <c r="D96" s="1611" t="n"/>
      <c r="E96" s="1611" t="n"/>
      <c r="F96" s="1611" t="n"/>
      <c r="G96" s="1611" t="n"/>
    </row>
    <row r="97">
      <c r="D97" s="1611" t="n"/>
      <c r="E97" s="1611" t="n"/>
      <c r="F97" s="1611" t="n"/>
      <c r="G97" s="1611" t="n"/>
    </row>
    <row r="98">
      <c r="D98" s="1611" t="n"/>
      <c r="E98" s="1611" t="n"/>
      <c r="F98" s="1611" t="n"/>
      <c r="G98" s="1611" t="n"/>
    </row>
    <row r="99">
      <c r="D99" s="1611" t="n"/>
      <c r="E99" s="1611" t="n"/>
      <c r="F99" s="1611" t="n"/>
      <c r="G99" s="1611" t="n"/>
    </row>
    <row r="100">
      <c r="D100" s="1611" t="n"/>
      <c r="E100" s="1611" t="n"/>
      <c r="F100" s="1611" t="n"/>
      <c r="G100" s="1611" t="n"/>
    </row>
    <row r="101">
      <c r="D101" s="1611" t="n"/>
      <c r="E101" s="1611" t="n"/>
      <c r="F101" s="1611" t="n"/>
      <c r="G101" s="1611" t="n"/>
    </row>
    <row r="102">
      <c r="D102" s="1611" t="n"/>
      <c r="E102" s="1611" t="n"/>
      <c r="F102" s="1611" t="n"/>
      <c r="G102" s="1611" t="n"/>
    </row>
    <row r="103">
      <c r="D103" s="1611" t="n"/>
      <c r="E103" s="1611" t="n"/>
      <c r="F103" s="1611" t="n"/>
      <c r="G103" s="1611" t="n"/>
    </row>
    <row r="104">
      <c r="D104" s="1611" t="n"/>
      <c r="E104" s="1611" t="n"/>
      <c r="F104" s="1611" t="n"/>
      <c r="G104" s="1611" t="n"/>
    </row>
    <row r="105">
      <c r="D105" s="1611" t="n"/>
      <c r="E105" s="1611" t="n"/>
      <c r="F105" s="1611" t="n"/>
      <c r="G105" s="1611" t="n"/>
    </row>
    <row r="106">
      <c r="D106" s="1611" t="n"/>
      <c r="E106" s="1611" t="n"/>
      <c r="F106" s="1611" t="n"/>
      <c r="G106" s="1611" t="n"/>
    </row>
    <row r="107">
      <c r="D107" s="1611" t="n"/>
      <c r="E107" s="1611" t="n"/>
      <c r="F107" s="1611" t="n"/>
      <c r="G107" s="1611" t="n"/>
    </row>
    <row r="108">
      <c r="D108" s="1611" t="n"/>
      <c r="E108" s="1611" t="n"/>
      <c r="F108" s="1611" t="n"/>
      <c r="G108" s="1611" t="n"/>
    </row>
    <row r="109">
      <c r="D109" s="1611" t="n"/>
      <c r="E109" s="1611" t="n"/>
      <c r="F109" s="1611" t="n"/>
      <c r="G109" s="1611" t="n"/>
    </row>
    <row r="110">
      <c r="D110" s="1611" t="n"/>
      <c r="E110" s="1611" t="n"/>
      <c r="F110" s="1611" t="n"/>
      <c r="G110" s="1611" t="n"/>
    </row>
    <row r="111">
      <c r="D111" s="1611" t="n"/>
      <c r="E111" s="1611" t="n"/>
      <c r="F111" s="1611" t="n"/>
      <c r="G111" s="1611" t="n"/>
    </row>
    <row r="112">
      <c r="D112" s="1611" t="n"/>
      <c r="E112" s="1611" t="n"/>
      <c r="F112" s="1611" t="n"/>
      <c r="G112" s="1611" t="n"/>
    </row>
    <row r="113">
      <c r="D113" s="1611" t="n"/>
      <c r="E113" s="1611" t="n"/>
      <c r="F113" s="1611" t="n"/>
      <c r="G113" s="1611" t="n"/>
    </row>
    <row r="114">
      <c r="D114" s="1611" t="n"/>
      <c r="E114" s="1611" t="n"/>
      <c r="F114" s="1611" t="n"/>
      <c r="G114" s="1611" t="n"/>
    </row>
    <row r="115">
      <c r="D115" s="1611" t="n"/>
      <c r="E115" s="1611" t="n"/>
      <c r="F115" s="1611" t="n"/>
      <c r="G115" s="1611" t="n"/>
    </row>
    <row r="116">
      <c r="D116" s="1611" t="n"/>
      <c r="E116" s="1611" t="n"/>
      <c r="F116" s="1611" t="n"/>
      <c r="G116" s="1611" t="n"/>
    </row>
    <row r="117">
      <c r="D117" s="1611" t="n"/>
      <c r="E117" s="1611" t="n"/>
      <c r="F117" s="1611" t="n"/>
      <c r="G117" s="1611" t="n"/>
    </row>
    <row r="118">
      <c r="D118" s="1611" t="n"/>
      <c r="E118" s="1611" t="n"/>
      <c r="F118" s="1611" t="n"/>
      <c r="G118" s="1611" t="n"/>
    </row>
    <row r="119">
      <c r="D119" s="1611" t="n"/>
      <c r="E119" s="1611" t="n"/>
      <c r="F119" s="1611" t="n"/>
      <c r="G119" s="1611" t="n"/>
    </row>
    <row r="120">
      <c r="D120" s="1611" t="n"/>
      <c r="E120" s="1611" t="n"/>
      <c r="F120" s="1611" t="n"/>
      <c r="G120" s="1611" t="n"/>
    </row>
    <row r="121">
      <c r="D121" s="1611" t="n"/>
      <c r="E121" s="1611" t="n"/>
      <c r="F121" s="1611" t="n"/>
      <c r="G121" s="1611" t="n"/>
    </row>
    <row r="122">
      <c r="D122" s="1611" t="n"/>
      <c r="E122" s="1611" t="n"/>
      <c r="F122" s="1611" t="n"/>
      <c r="G122" s="1611" t="n"/>
    </row>
    <row r="123">
      <c r="D123" s="1611" t="n"/>
      <c r="E123" s="1611" t="n"/>
      <c r="F123" s="1611" t="n"/>
      <c r="G123" s="1611" t="n"/>
    </row>
    <row r="124">
      <c r="D124" s="1611" t="n"/>
      <c r="E124" s="1611" t="n"/>
      <c r="F124" s="1611" t="n"/>
      <c r="G124" s="1611" t="n"/>
    </row>
    <row r="125">
      <c r="D125" s="1611" t="n"/>
      <c r="E125" s="1611" t="n"/>
      <c r="F125" s="1611" t="n"/>
      <c r="G125" s="1611" t="n"/>
    </row>
    <row r="126">
      <c r="D126" s="1611" t="n"/>
      <c r="E126" s="1611" t="n"/>
      <c r="F126" s="1611" t="n"/>
      <c r="G126" s="1611" t="n"/>
    </row>
    <row r="127">
      <c r="D127" s="1611" t="n"/>
      <c r="E127" s="1611" t="n"/>
      <c r="F127" s="1611" t="n"/>
      <c r="G127" s="1611" t="n"/>
    </row>
    <row r="128">
      <c r="D128" s="1611" t="n"/>
      <c r="E128" s="1611" t="n"/>
      <c r="F128" s="1611" t="n"/>
      <c r="G128" s="1611" t="n"/>
    </row>
    <row r="129">
      <c r="D129" s="1611" t="n"/>
      <c r="E129" s="1611" t="n"/>
      <c r="F129" s="1611" t="n"/>
      <c r="G129" s="1611" t="n"/>
    </row>
    <row r="130">
      <c r="D130" s="1611" t="n"/>
      <c r="E130" s="1611" t="n"/>
      <c r="F130" s="1611" t="n"/>
      <c r="G130" s="1611" t="n"/>
    </row>
    <row r="131">
      <c r="D131" s="1611" t="n"/>
      <c r="E131" s="1611" t="n"/>
      <c r="F131" s="1611" t="n"/>
      <c r="G131" s="1611" t="n"/>
    </row>
    <row r="132">
      <c r="D132" s="1611" t="n"/>
      <c r="E132" s="1611" t="n"/>
      <c r="F132" s="1611" t="n"/>
      <c r="G132" s="1611" t="n"/>
    </row>
    <row r="133">
      <c r="D133" s="1611" t="n"/>
      <c r="E133" s="1611" t="n"/>
      <c r="F133" s="1611" t="n"/>
      <c r="G133" s="1611" t="n"/>
    </row>
    <row r="134">
      <c r="D134" s="1611" t="n"/>
      <c r="E134" s="1611" t="n"/>
      <c r="F134" s="1611" t="n"/>
      <c r="G134" s="1611" t="n"/>
    </row>
    <row r="135">
      <c r="D135" s="1611" t="n"/>
      <c r="E135" s="1611" t="n"/>
      <c r="F135" s="1611" t="n"/>
      <c r="G135" s="1611" t="n"/>
    </row>
    <row r="136">
      <c r="D136" s="1611" t="n"/>
      <c r="E136" s="1611" t="n"/>
      <c r="F136" s="1611" t="n"/>
      <c r="G136" s="1611" t="n"/>
    </row>
    <row r="137">
      <c r="D137" s="1611" t="n"/>
      <c r="E137" s="1611" t="n"/>
      <c r="F137" s="1611" t="n"/>
      <c r="G137" s="1611" t="n"/>
    </row>
    <row r="138">
      <c r="D138" s="1611" t="n"/>
      <c r="E138" s="1611" t="n"/>
      <c r="F138" s="1611" t="n"/>
      <c r="G138" s="1611" t="n"/>
    </row>
    <row r="139">
      <c r="D139" s="1611" t="n"/>
      <c r="E139" s="1611" t="n"/>
      <c r="F139" s="1611" t="n"/>
      <c r="G139" s="1611" t="n"/>
    </row>
    <row r="140">
      <c r="D140" s="1611" t="n"/>
      <c r="E140" s="1611" t="n"/>
      <c r="F140" s="1611" t="n"/>
      <c r="G140" s="1611" t="n"/>
    </row>
    <row r="141">
      <c r="D141" s="1611" t="n"/>
      <c r="E141" s="1611" t="n"/>
      <c r="F141" s="1611" t="n"/>
      <c r="G141" s="1611" t="n"/>
    </row>
    <row r="142">
      <c r="D142" s="1611" t="n"/>
      <c r="E142" s="1611" t="n"/>
      <c r="F142" s="1611" t="n"/>
      <c r="G142" s="1611" t="n"/>
    </row>
    <row r="143">
      <c r="D143" s="1611" t="n"/>
      <c r="E143" s="1611" t="n"/>
      <c r="F143" s="1611" t="n"/>
      <c r="G143" s="1611" t="n"/>
    </row>
    <row r="144">
      <c r="D144" s="1611" t="n"/>
      <c r="E144" s="1611" t="n"/>
      <c r="F144" s="1611" t="n"/>
      <c r="G144" s="1611" t="n"/>
    </row>
    <row r="145">
      <c r="D145" s="1611" t="n"/>
      <c r="E145" s="1611" t="n"/>
      <c r="F145" s="1611" t="n"/>
      <c r="G145" s="1611" t="n"/>
    </row>
    <row r="146">
      <c r="D146" s="1611" t="n"/>
      <c r="E146" s="1611" t="n"/>
      <c r="F146" s="1611" t="n"/>
      <c r="G146" s="1611" t="n"/>
    </row>
    <row r="147">
      <c r="D147" s="1611" t="n"/>
      <c r="E147" s="1611" t="n"/>
      <c r="F147" s="1611" t="n"/>
      <c r="G147" s="1611" t="n"/>
    </row>
    <row r="148">
      <c r="D148" s="1611" t="n"/>
      <c r="E148" s="1611" t="n"/>
      <c r="F148" s="1611" t="n"/>
      <c r="G148" s="1611" t="n"/>
    </row>
    <row r="149">
      <c r="D149" s="1611" t="n"/>
      <c r="E149" s="1611" t="n"/>
      <c r="F149" s="1611" t="n"/>
      <c r="G149" s="1611" t="n"/>
    </row>
    <row r="150">
      <c r="D150" s="1611" t="n"/>
      <c r="E150" s="1611" t="n"/>
      <c r="F150" s="1611" t="n"/>
      <c r="G150" s="1611" t="n"/>
    </row>
    <row r="151">
      <c r="D151" s="1611" t="n"/>
      <c r="E151" s="1611" t="n"/>
      <c r="F151" s="1611" t="n"/>
      <c r="G151" s="1611" t="n"/>
    </row>
    <row r="152">
      <c r="D152" s="1611" t="n"/>
      <c r="E152" s="1611" t="n"/>
      <c r="F152" s="1611" t="n"/>
      <c r="G152" s="1611" t="n"/>
    </row>
    <row r="153">
      <c r="D153" s="1611" t="n"/>
      <c r="E153" s="1611" t="n"/>
      <c r="F153" s="1611" t="n"/>
      <c r="G153" s="1611" t="n"/>
    </row>
    <row r="154">
      <c r="D154" s="1611" t="n"/>
      <c r="E154" s="1611" t="n"/>
      <c r="F154" s="1611" t="n"/>
      <c r="G154" s="1611" t="n"/>
    </row>
    <row r="155">
      <c r="D155" s="1611" t="n"/>
      <c r="E155" s="1611" t="n"/>
      <c r="F155" s="1611" t="n"/>
      <c r="G155" s="1611" t="n"/>
    </row>
    <row r="156">
      <c r="D156" s="1611" t="n"/>
      <c r="E156" s="1611" t="n"/>
      <c r="F156" s="1611" t="n"/>
      <c r="G156" s="1611" t="n"/>
    </row>
    <row r="157">
      <c r="D157" s="1611" t="n"/>
      <c r="E157" s="1611" t="n"/>
      <c r="F157" s="1611" t="n"/>
      <c r="G157" s="16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1">
    <mergeCell ref="D72:F72"/>
    <mergeCell ref="J2:L2"/>
    <mergeCell ref="A2:A4"/>
    <mergeCell ref="D71:F71"/>
    <mergeCell ref="C2:C4"/>
    <mergeCell ref="D46:F46"/>
    <mergeCell ref="D61:F61"/>
    <mergeCell ref="H2:H4"/>
    <mergeCell ref="D60:F60"/>
    <mergeCell ref="B2:B4"/>
    <mergeCell ref="D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L185"/>
  <sheetViews>
    <sheetView zoomScale="70" zoomScaleNormal="70" workbookViewId="0">
      <selection activeCell="H16" sqref="H16"/>
    </sheetView>
  </sheetViews>
  <sheetFormatPr baseColWidth="8" defaultColWidth="9.09765625" defaultRowHeight="13.8"/>
  <cols>
    <col width="6.296875" customWidth="1" style="132" min="1" max="1"/>
    <col width="34.3984375" customWidth="1" style="132" min="2" max="2"/>
    <col width="8" customWidth="1" style="132" min="3" max="3"/>
    <col width="14.296875" customWidth="1" style="132" min="4" max="7"/>
    <col width="14.296875" customWidth="1" style="1620" min="8" max="8"/>
    <col width="59.8984375" customWidth="1" style="132" min="9" max="9"/>
    <col width="9.09765625" customWidth="1" style="132" min="10" max="10"/>
    <col width="16.296875" customWidth="1" style="132" min="11" max="11"/>
    <col width="13.296875" customWidth="1" style="132" min="12" max="12"/>
    <col width="9.09765625" customWidth="1" style="132" min="13" max="13"/>
    <col hidden="1" width="8.8984375" customWidth="1" style="132" min="14" max="14"/>
    <col hidden="1" style="132" min="15" max="16"/>
    <col width="9.09765625" customWidth="1" style="132" min="17" max="17"/>
    <col width="23.09765625" customWidth="1" style="132" min="18" max="18"/>
    <col width="9.09765625" customWidth="1" style="132" min="19" max="20"/>
    <col width="15.09765625" bestFit="1" customWidth="1" style="132" min="21" max="21"/>
    <col width="12.296875" bestFit="1" customWidth="1" style="132" min="22" max="22"/>
    <col width="15.09765625" bestFit="1" customWidth="1" style="132" min="23" max="23"/>
    <col width="9.09765625" customWidth="1" style="132" min="24" max="16384"/>
  </cols>
  <sheetData>
    <row r="2" ht="15" customHeight="1">
      <c r="A2" s="1281" t="n"/>
      <c r="B2" s="1282" t="inlineStr">
        <is>
          <t>ชื่อ</t>
        </is>
      </c>
      <c r="C2" s="1281" t="inlineStr">
        <is>
          <t>Units</t>
        </is>
      </c>
      <c r="D2" s="1283" t="inlineStr">
        <is>
          <t>EMISSION FACTORS</t>
        </is>
      </c>
      <c r="E2" s="1415" t="n"/>
      <c r="F2" s="1415" t="n"/>
      <c r="G2" s="1415" t="n"/>
      <c r="H2" s="1415" t="n"/>
      <c r="I2" s="1282" t="inlineStr">
        <is>
          <t>แหล่งอ้างอิงข้อมูล</t>
        </is>
      </c>
      <c r="K2" s="1487" t="inlineStr">
        <is>
          <t>GWP100</t>
        </is>
      </c>
      <c r="L2" s="1416" t="n"/>
    </row>
    <row r="3" ht="15.6" customHeight="1">
      <c r="A3" s="1412" t="n"/>
      <c r="B3" s="1412" t="n"/>
      <c r="C3" s="1412" t="n"/>
      <c r="D3" s="1281" t="inlineStr">
        <is>
          <t>CO2</t>
        </is>
      </c>
      <c r="E3" s="1281" t="inlineStr">
        <is>
          <t xml:space="preserve">Fossil CH4 </t>
        </is>
      </c>
      <c r="F3" s="1281" t="inlineStr">
        <is>
          <t xml:space="preserve">CH4 </t>
        </is>
      </c>
      <c r="G3" s="1281" t="inlineStr">
        <is>
          <t>N2O</t>
        </is>
      </c>
      <c r="H3" s="1621" t="inlineStr">
        <is>
          <t>Total</t>
        </is>
      </c>
      <c r="I3" s="1412" t="n"/>
      <c r="K3" s="2" t="inlineStr">
        <is>
          <t>ที่มา</t>
        </is>
      </c>
      <c r="L3" s="131" t="inlineStr">
        <is>
          <t>IPCC, AR5</t>
        </is>
      </c>
    </row>
    <row r="4" ht="15.6" customHeight="1">
      <c r="A4" s="1417" t="n"/>
      <c r="B4" s="1417" t="n"/>
      <c r="C4" s="1417" t="n"/>
      <c r="D4" s="1281" t="inlineStr">
        <is>
          <t>[kg CO2/unit]</t>
        </is>
      </c>
      <c r="E4" s="1281" t="inlineStr">
        <is>
          <t>[kg CH4/unit]</t>
        </is>
      </c>
      <c r="F4" s="1281" t="inlineStr">
        <is>
          <t>[kg CH4/unit]</t>
        </is>
      </c>
      <c r="G4" s="1281" t="inlineStr">
        <is>
          <t>[kg N2O/unit]</t>
        </is>
      </c>
      <c r="H4" s="1621" t="inlineStr">
        <is>
          <t>[kg CO2eq/unit]</t>
        </is>
      </c>
      <c r="I4" s="1417" t="n"/>
      <c r="K4" s="2" t="inlineStr">
        <is>
          <t>CO2</t>
        </is>
      </c>
      <c r="L4" s="1502" t="n">
        <v>1</v>
      </c>
    </row>
    <row r="5">
      <c r="A5" s="153" t="inlineStr">
        <is>
          <t>Stationary Combustion</t>
        </is>
      </c>
      <c r="C5" s="154" t="n"/>
      <c r="D5" s="154" t="n"/>
      <c r="E5" s="154" t="n"/>
      <c r="F5" s="154" t="n"/>
      <c r="G5" s="154" t="n"/>
      <c r="H5" s="1622" t="n"/>
      <c r="I5" s="133" t="n"/>
      <c r="K5" s="2" t="inlineStr">
        <is>
          <t xml:space="preserve">Fossil CH4 </t>
        </is>
      </c>
      <c r="L5" s="1502" t="n">
        <v>30</v>
      </c>
    </row>
    <row r="6">
      <c r="A6" s="134" t="n"/>
      <c r="B6" s="135" t="inlineStr">
        <is>
          <t>Natural gas</t>
        </is>
      </c>
      <c r="C6" s="134" t="inlineStr">
        <is>
          <t>scf</t>
        </is>
      </c>
      <c r="D6" s="155">
        <f>D70*$G$70*10^-6</f>
        <v/>
      </c>
      <c r="E6" s="155">
        <f>E70*$G$70*10^-6</f>
        <v/>
      </c>
      <c r="F6" s="155" t="n"/>
      <c r="G6" s="155">
        <f>F70*$G$70*10^-6</f>
        <v/>
      </c>
      <c r="H6" s="1622">
        <f>D6+(E6*$L$5)+(G6*$L$7)</f>
        <v/>
      </c>
      <c r="I6" s="136" t="inlineStr">
        <is>
          <t>IPCC Vol.2 table 2.2, DEDE</t>
        </is>
      </c>
      <c r="J6" s="1620" t="n"/>
      <c r="K6" s="2" t="inlineStr">
        <is>
          <t>CH4</t>
        </is>
      </c>
      <c r="L6" s="1502" t="n">
        <v>28</v>
      </c>
    </row>
    <row r="7">
      <c r="A7" s="134" t="n"/>
      <c r="B7" s="135" t="inlineStr">
        <is>
          <t>Natural gas</t>
        </is>
      </c>
      <c r="C7" s="134" t="inlineStr">
        <is>
          <t>MJ</t>
        </is>
      </c>
      <c r="D7" s="155">
        <f>D70/1000000</f>
        <v/>
      </c>
      <c r="E7" s="155">
        <f>E70/1000000</f>
        <v/>
      </c>
      <c r="F7" s="155" t="n"/>
      <c r="G7" s="155">
        <f>F70/1000000</f>
        <v/>
      </c>
      <c r="H7" s="1622">
        <f>D7+(E7*$L$5)+(G7*$L$7)</f>
        <v/>
      </c>
      <c r="I7" s="136" t="inlineStr">
        <is>
          <t>IPCC Vol.2 table 2.2, DEDE</t>
        </is>
      </c>
      <c r="J7" s="1620" t="n"/>
      <c r="K7" s="2" t="inlineStr">
        <is>
          <t>N2O</t>
        </is>
      </c>
      <c r="L7" s="1502" t="n">
        <v>265</v>
      </c>
    </row>
    <row r="8">
      <c r="A8" s="134" t="n"/>
      <c r="B8" s="135" t="inlineStr">
        <is>
          <t>Lignite</t>
        </is>
      </c>
      <c r="C8" s="134" t="inlineStr">
        <is>
          <t>kg</t>
        </is>
      </c>
      <c r="D8" s="155">
        <f>D71*$G$71*10^-6</f>
        <v/>
      </c>
      <c r="E8" s="155">
        <f>E71*$G$71*10^-6</f>
        <v/>
      </c>
      <c r="F8" s="155" t="n"/>
      <c r="G8" s="155">
        <f>F71*$G$71*10^-6</f>
        <v/>
      </c>
      <c r="H8" s="1622">
        <f>D8+(E8*$L$5)+(G8*$L$7)</f>
        <v/>
      </c>
      <c r="I8" s="136" t="inlineStr">
        <is>
          <t>IPCC Vol.2 table 2.2, DEDE</t>
        </is>
      </c>
      <c r="J8" s="1620" t="n"/>
      <c r="K8" s="2" t="inlineStr">
        <is>
          <t>SF6</t>
        </is>
      </c>
      <c r="L8" s="1502" t="n">
        <v>23500</v>
      </c>
    </row>
    <row r="9">
      <c r="A9" s="134" t="n"/>
      <c r="B9" s="135" t="inlineStr">
        <is>
          <t>Fuel oil A</t>
        </is>
      </c>
      <c r="C9" s="134" t="inlineStr">
        <is>
          <t>litre</t>
        </is>
      </c>
      <c r="D9" s="155">
        <f>D72*$G$72*10^-6</f>
        <v/>
      </c>
      <c r="E9" s="155">
        <f>E72*$G$72*10^-6</f>
        <v/>
      </c>
      <c r="F9" s="155" t="n"/>
      <c r="G9" s="155">
        <f>F72*$G$72*10^-6</f>
        <v/>
      </c>
      <c r="H9" s="1622">
        <f>D9+(E9*$L$5)+(G9*$L$7)</f>
        <v/>
      </c>
      <c r="I9" s="136" t="inlineStr">
        <is>
          <t>IPCC Vol.2 table 2.2, PTT</t>
        </is>
      </c>
      <c r="J9" s="1620" t="n"/>
      <c r="K9" s="2" t="inlineStr">
        <is>
          <t>NF3</t>
        </is>
      </c>
      <c r="L9" s="1502" t="n">
        <v>16100</v>
      </c>
    </row>
    <row r="10">
      <c r="A10" s="134" t="n"/>
      <c r="B10" s="135" t="inlineStr">
        <is>
          <t>Fuel oil C</t>
        </is>
      </c>
      <c r="C10" s="134" t="inlineStr">
        <is>
          <t>litre</t>
        </is>
      </c>
      <c r="D10" s="155">
        <f>D73*$G$73*10^-6</f>
        <v/>
      </c>
      <c r="E10" s="155">
        <f>E73*$G$73*10^-6</f>
        <v/>
      </c>
      <c r="F10" s="155" t="n"/>
      <c r="G10" s="155">
        <f>F73*$G$73*10^-6</f>
        <v/>
      </c>
      <c r="H10" s="1622">
        <f>D10+(E10*$L$5)+(G10*$L$7)</f>
        <v/>
      </c>
      <c r="I10" s="136" t="inlineStr">
        <is>
          <t>IPCC Vol.2 table 2.2, PTT</t>
        </is>
      </c>
      <c r="J10" s="1620" t="n"/>
      <c r="K10" s="132" t="inlineStr">
        <is>
          <t>PASS: 12345678</t>
        </is>
      </c>
    </row>
    <row r="11">
      <c r="A11" s="134" t="n"/>
      <c r="B11" s="135" t="inlineStr">
        <is>
          <t>Gas/Diesel oil</t>
        </is>
      </c>
      <c r="C11" s="134" t="inlineStr">
        <is>
          <t>litre</t>
        </is>
      </c>
      <c r="D11" s="155">
        <f>D74*$G$74*10^-6</f>
        <v/>
      </c>
      <c r="E11" s="155">
        <f>E74*$G$74*10^-6</f>
        <v/>
      </c>
      <c r="F11" s="155" t="n"/>
      <c r="G11" s="155">
        <f>F74*$G$74*10^-6</f>
        <v/>
      </c>
      <c r="H11" s="1622">
        <f>D11+(E11*$L$5)+(G11*$L$7)</f>
        <v/>
      </c>
      <c r="I11" s="136" t="inlineStr">
        <is>
          <t>IPCC Vol.2 table 2.2, DEDE</t>
        </is>
      </c>
      <c r="J11" s="1620" t="n"/>
    </row>
    <row r="12">
      <c r="A12" s="134" t="n"/>
      <c r="B12" s="135" t="inlineStr">
        <is>
          <t>Anthracite</t>
        </is>
      </c>
      <c r="C12" s="134" t="inlineStr">
        <is>
          <t>kg</t>
        </is>
      </c>
      <c r="D12" s="155">
        <f>D75*$G$75*10^-6</f>
        <v/>
      </c>
      <c r="E12" s="155">
        <f>E75*$G$75*10^-6</f>
        <v/>
      </c>
      <c r="F12" s="155" t="n"/>
      <c r="G12" s="155">
        <f>F75*$G$75*10^-6</f>
        <v/>
      </c>
      <c r="H12" s="1622">
        <f>D12+(E12*$L$5)+(G12*$L$7)</f>
        <v/>
      </c>
      <c r="I12" s="136" t="inlineStr">
        <is>
          <t>IPCC Vol.2 table 2.2, DEDE</t>
        </is>
      </c>
      <c r="J12" s="1620" t="n"/>
    </row>
    <row r="13">
      <c r="A13" s="134" t="n"/>
      <c r="B13" s="135" t="inlineStr">
        <is>
          <t>Sub-bituminous coal</t>
        </is>
      </c>
      <c r="C13" s="134" t="inlineStr">
        <is>
          <t>kg</t>
        </is>
      </c>
      <c r="D13" s="155">
        <f>D76*$G$76*10^-6</f>
        <v/>
      </c>
      <c r="E13" s="155">
        <f>E76*$G$76*10^-6</f>
        <v/>
      </c>
      <c r="F13" s="155" t="n"/>
      <c r="G13" s="155">
        <f>F76*$G$76*10^-6</f>
        <v/>
      </c>
      <c r="H13" s="1622">
        <f>D13+(E13*$L$5)+(G13*$L$7)</f>
        <v/>
      </c>
      <c r="I13" s="136" t="inlineStr">
        <is>
          <t>IPCC Vol.2 table 2.2, DEDE</t>
        </is>
      </c>
      <c r="J13" s="1620" t="n"/>
    </row>
    <row r="14">
      <c r="A14" s="134" t="n"/>
      <c r="B14" s="135" t="inlineStr">
        <is>
          <t>Jet Kerosene</t>
        </is>
      </c>
      <c r="C14" s="134" t="inlineStr">
        <is>
          <t>litre</t>
        </is>
      </c>
      <c r="D14" s="155">
        <f>D77*$G$77*10^-6</f>
        <v/>
      </c>
      <c r="E14" s="155">
        <f>E77*$G$77*10^-6</f>
        <v/>
      </c>
      <c r="F14" s="155" t="n"/>
      <c r="G14" s="155">
        <f>F77*$G$77*10^-6</f>
        <v/>
      </c>
      <c r="H14" s="1622">
        <f>D14+(E14*$L$5)+(G14*$L$7)</f>
        <v/>
      </c>
      <c r="I14" s="136" t="inlineStr">
        <is>
          <t>IPCC Vol.2 table 2.2, DEDE</t>
        </is>
      </c>
      <c r="J14" s="1620" t="n"/>
    </row>
    <row r="15">
      <c r="A15" s="134" t="n"/>
      <c r="B15" s="135" t="inlineStr">
        <is>
          <t>LPG</t>
        </is>
      </c>
      <c r="C15" s="134" t="inlineStr">
        <is>
          <t>litre</t>
        </is>
      </c>
      <c r="D15" s="155">
        <f>D78*$G$78*10^-6</f>
        <v/>
      </c>
      <c r="E15" s="155">
        <f>E78*$G$78*10^-6</f>
        <v/>
      </c>
      <c r="F15" s="155" t="n"/>
      <c r="G15" s="155">
        <f>F78*$G$78*10^-6</f>
        <v/>
      </c>
      <c r="H15" s="1622">
        <f>D15+(E15*$L$5)+(G15*$L$7)</f>
        <v/>
      </c>
      <c r="I15" s="136" t="inlineStr">
        <is>
          <t>IPCC Vol.2 table 2.2, DEDE</t>
        </is>
      </c>
      <c r="J15" s="1620" t="n"/>
    </row>
    <row r="16">
      <c r="A16" s="153" t="n"/>
      <c r="B16" s="135" t="inlineStr">
        <is>
          <t>LPG</t>
        </is>
      </c>
      <c r="C16" s="134" t="inlineStr">
        <is>
          <t>kg</t>
        </is>
      </c>
      <c r="D16" s="155">
        <f>D15/0.54</f>
        <v/>
      </c>
      <c r="E16" s="155">
        <f>E15/0.54</f>
        <v/>
      </c>
      <c r="F16" s="155" t="n"/>
      <c r="G16" s="155">
        <f>G15/0.54</f>
        <v/>
      </c>
      <c r="H16" s="1622">
        <f>D16+(E16*$L$5)+(G16*$L$7)</f>
        <v/>
      </c>
      <c r="I16" s="136" t="inlineStr">
        <is>
          <t>IPCC Vol.2 table 2.2, DEDE LPG 1 litre = 0.54 kg</t>
        </is>
      </c>
      <c r="J16" s="1620" t="n"/>
    </row>
    <row r="17">
      <c r="A17" s="153" t="n"/>
      <c r="B17" s="135" t="inlineStr">
        <is>
          <t>Motor gasoline</t>
        </is>
      </c>
      <c r="C17" s="134" t="inlineStr">
        <is>
          <t>litre</t>
        </is>
      </c>
      <c r="D17" s="155">
        <f>D79*$G$79*10^-6</f>
        <v/>
      </c>
      <c r="E17" s="155">
        <f>E79*$G$79*10^-6</f>
        <v/>
      </c>
      <c r="F17" s="155" t="n"/>
      <c r="G17" s="155">
        <f>F79*$G$79*10^-6</f>
        <v/>
      </c>
      <c r="H17" s="1622">
        <f>D17+(E17*$L$5)+(G17*$L$7)</f>
        <v/>
      </c>
      <c r="I17" s="136" t="inlineStr">
        <is>
          <t>IPCC Vol.2 table 2.2, DEDE</t>
        </is>
      </c>
      <c r="J17" s="1620" t="n"/>
    </row>
    <row r="18">
      <c r="A18" s="153" t="n"/>
      <c r="B18" s="135" t="inlineStr">
        <is>
          <t>FUEL WOOD</t>
        </is>
      </c>
      <c r="C18" s="134" t="inlineStr">
        <is>
          <t>kg</t>
        </is>
      </c>
      <c r="D18" s="155" t="n"/>
      <c r="E18" s="155" t="n"/>
      <c r="F18" s="155">
        <f>E80*$G$80*10^-6</f>
        <v/>
      </c>
      <c r="G18" s="155">
        <f>F80*$G$80*10^-6</f>
        <v/>
      </c>
      <c r="H18" s="1622">
        <f>D18+(F18*$L$6)+(G18*$L$7)</f>
        <v/>
      </c>
      <c r="I18" s="136" t="inlineStr">
        <is>
          <t>IPCC Vol.2 table 2.2, DEDE</t>
        </is>
      </c>
      <c r="J18" s="1620" t="n"/>
    </row>
    <row r="19">
      <c r="A19" s="153" t="n"/>
      <c r="B19" s="135" t="inlineStr">
        <is>
          <t>Bagasse</t>
        </is>
      </c>
      <c r="C19" s="134" t="inlineStr">
        <is>
          <t>kg</t>
        </is>
      </c>
      <c r="D19" s="155" t="n"/>
      <c r="E19" s="155" t="n"/>
      <c r="F19" s="155">
        <f>E82*$G$82*10^-6</f>
        <v/>
      </c>
      <c r="G19" s="155">
        <f>F82*$G$82*10^-6</f>
        <v/>
      </c>
      <c r="H19" s="1622">
        <f>D19+(F19*$L$6)+(G19*$L$7)</f>
        <v/>
      </c>
      <c r="I19" s="136" t="inlineStr">
        <is>
          <t>IPCC Vol.2 table 2.2, DEDE</t>
        </is>
      </c>
      <c r="J19" s="1620" t="n"/>
    </row>
    <row r="20">
      <c r="A20" s="153" t="n"/>
      <c r="B20" s="135" t="inlineStr">
        <is>
          <t xml:space="preserve">Palm kernel shell </t>
        </is>
      </c>
      <c r="C20" s="134" t="inlineStr">
        <is>
          <t>kg</t>
        </is>
      </c>
      <c r="D20" s="155" t="n"/>
      <c r="E20" s="155" t="n"/>
      <c r="F20" s="155">
        <f>E83*$G$83*10^-6</f>
        <v/>
      </c>
      <c r="G20" s="155">
        <f>F83*$G$83*10^-6</f>
        <v/>
      </c>
      <c r="H20" s="1622">
        <f>D20+(F20*$L$6)+(G20*$L$7)</f>
        <v/>
      </c>
      <c r="I20" s="136" t="inlineStr">
        <is>
          <t>IPCC Vol.2 table 2.2, DEDE</t>
        </is>
      </c>
      <c r="J20" s="1620" t="n"/>
    </row>
    <row r="21">
      <c r="A21" s="153" t="n"/>
      <c r="B21" s="135" t="inlineStr">
        <is>
          <t>Cob</t>
        </is>
      </c>
      <c r="C21" s="134" t="inlineStr">
        <is>
          <t>kg</t>
        </is>
      </c>
      <c r="D21" s="155" t="n"/>
      <c r="E21" s="155" t="n"/>
      <c r="F21" s="155">
        <f>E84*$G$84*10^-6</f>
        <v/>
      </c>
      <c r="G21" s="155">
        <f>F84*$G$84*10^-6</f>
        <v/>
      </c>
      <c r="H21" s="1622">
        <f>D21+(F21*$L$6)+(G21*$L$7)</f>
        <v/>
      </c>
      <c r="I21" s="136" t="inlineStr">
        <is>
          <t>IPCC Vol.2 table 2.2, DEDE</t>
        </is>
      </c>
      <c r="J21" s="1620" t="n"/>
    </row>
    <row r="22">
      <c r="A22" s="153" t="n"/>
      <c r="B22" s="135" t="inlineStr">
        <is>
          <t>Biogas</t>
        </is>
      </c>
      <c r="C22" s="134" t="inlineStr">
        <is>
          <t>m3</t>
        </is>
      </c>
      <c r="D22" s="155" t="n"/>
      <c r="E22" s="155" t="n"/>
      <c r="F22" s="155">
        <f>E85*$G$85*10^-6</f>
        <v/>
      </c>
      <c r="G22" s="155">
        <f>F85*$G$85*10^-6</f>
        <v/>
      </c>
      <c r="H22" s="1622">
        <f>D22+(F22*$L$6)+(G22*$L$7)</f>
        <v/>
      </c>
      <c r="I22" s="136" t="inlineStr">
        <is>
          <t>IPCC Vol.2 table 2.2, DEDE</t>
        </is>
      </c>
      <c r="J22" s="1620" t="n"/>
    </row>
    <row r="23">
      <c r="A23" s="153" t="n"/>
      <c r="B23" s="135" t="inlineStr">
        <is>
          <t>FUEL WOOD (CO2only)</t>
        </is>
      </c>
      <c r="C23" s="134" t="inlineStr">
        <is>
          <t>kg</t>
        </is>
      </c>
      <c r="D23" s="155">
        <f>D80*$G$80*10^-6</f>
        <v/>
      </c>
      <c r="E23" s="155" t="n"/>
      <c r="F23" s="155" t="n"/>
      <c r="G23" s="155" t="n"/>
      <c r="H23" s="1622">
        <f>D23+(E23*$L$5)+(G23*$L$7)</f>
        <v/>
      </c>
      <c r="I23" s="136" t="inlineStr">
        <is>
          <t>IPCC Vol.2 table 2.2, DEDE</t>
        </is>
      </c>
      <c r="J23" s="1620" t="n"/>
    </row>
    <row r="24">
      <c r="A24" s="153" t="n"/>
      <c r="B24" s="135" t="inlineStr">
        <is>
          <t>Bagasse (CO2only)</t>
        </is>
      </c>
      <c r="C24" s="134" t="inlineStr">
        <is>
          <t>kg</t>
        </is>
      </c>
      <c r="D24" s="155">
        <f>D82*$G$82*10^-6</f>
        <v/>
      </c>
      <c r="E24" s="155" t="n"/>
      <c r="F24" s="155" t="n"/>
      <c r="G24" s="155" t="n"/>
      <c r="H24" s="1622">
        <f>D24+(E24*$L$5)+(G24*$L$7)</f>
        <v/>
      </c>
      <c r="I24" s="136" t="inlineStr">
        <is>
          <t>IPCC Vol.2 table 2.2, DEDE</t>
        </is>
      </c>
      <c r="J24" s="1620" t="n"/>
    </row>
    <row r="25">
      <c r="A25" s="153" t="n"/>
      <c r="B25" s="135" t="inlineStr">
        <is>
          <t>Palm kernel shell (CO2only)</t>
        </is>
      </c>
      <c r="C25" s="134" t="inlineStr">
        <is>
          <t>kg</t>
        </is>
      </c>
      <c r="D25" s="155">
        <f>D83*$G$83*10^-6</f>
        <v/>
      </c>
      <c r="E25" s="155" t="n"/>
      <c r="F25" s="155" t="n"/>
      <c r="G25" s="155" t="n"/>
      <c r="H25" s="1622">
        <f>D25+(E25*$L$5)+(G25*$L$7)</f>
        <v/>
      </c>
      <c r="I25" s="136" t="inlineStr">
        <is>
          <t>IPCC Vol.2 table 2.2, DEDE</t>
        </is>
      </c>
      <c r="J25" s="1620" t="n"/>
    </row>
    <row r="26">
      <c r="A26" s="153" t="n"/>
      <c r="B26" s="135" t="inlineStr">
        <is>
          <t>Cob (CO2only)</t>
        </is>
      </c>
      <c r="C26" s="134" t="inlineStr">
        <is>
          <t>kg</t>
        </is>
      </c>
      <c r="D26" s="155">
        <f>D84*$G$84*10^-6</f>
        <v/>
      </c>
      <c r="E26" s="155" t="n"/>
      <c r="F26" s="155" t="n"/>
      <c r="G26" s="155" t="n"/>
      <c r="H26" s="1622">
        <f>D26+(E26*$L$5)+(G26*$L$7)</f>
        <v/>
      </c>
      <c r="I26" s="136" t="inlineStr">
        <is>
          <t>IPCC Vol.2 table 2.2, DEDE</t>
        </is>
      </c>
      <c r="J26" s="1620" t="n"/>
    </row>
    <row r="27">
      <c r="A27" s="153" t="n"/>
      <c r="B27" s="135" t="inlineStr">
        <is>
          <t>Biogas (CO2only)</t>
        </is>
      </c>
      <c r="C27" s="134" t="inlineStr">
        <is>
          <t>m3</t>
        </is>
      </c>
      <c r="D27" s="155">
        <f>D85*$G$85*10^-6</f>
        <v/>
      </c>
      <c r="E27" s="155" t="n"/>
      <c r="F27" s="155" t="n"/>
      <c r="G27" s="155" t="n"/>
      <c r="H27" s="1622">
        <f>D27+(E27*$L$5)+(G27*$L$7)</f>
        <v/>
      </c>
      <c r="I27" s="136" t="inlineStr">
        <is>
          <t>IPCC Vol.2 table 2.2, DEDE</t>
        </is>
      </c>
      <c r="J27" s="1620" t="n"/>
    </row>
    <row r="28">
      <c r="A28" s="153" t="inlineStr">
        <is>
          <t>Mobile Combustion (On road)</t>
        </is>
      </c>
      <c r="B28" s="135" t="n"/>
      <c r="C28" s="134" t="n"/>
      <c r="D28" s="155" t="n"/>
      <c r="E28" s="155" t="n"/>
      <c r="F28" s="155" t="n"/>
      <c r="G28" s="155" t="n"/>
      <c r="H28" s="1622" t="n"/>
      <c r="I28" s="136" t="n"/>
      <c r="J28" s="1620" t="n"/>
    </row>
    <row r="29">
      <c r="A29" s="153" t="n"/>
      <c r="B29" s="135" t="inlineStr">
        <is>
          <t xml:space="preserve">Motor Gasoline - uncontrolled </t>
        </is>
      </c>
      <c r="C29" s="137" t="inlineStr">
        <is>
          <t>litre</t>
        </is>
      </c>
      <c r="D29" s="155">
        <f>D91*$G$91*10^-6</f>
        <v/>
      </c>
      <c r="E29" s="155">
        <f>E91*$G$91*10^-6</f>
        <v/>
      </c>
      <c r="F29" s="155" t="n"/>
      <c r="G29" s="155">
        <f>F91*$G$91*10^-6</f>
        <v/>
      </c>
      <c r="H29" s="1622">
        <f>D29+(E29*$L$5)+(G29*$L$7)</f>
        <v/>
      </c>
      <c r="I29" s="136" t="inlineStr">
        <is>
          <t>IPCC Vol.2 table 3.2.1, 3.2.2, DEDE</t>
        </is>
      </c>
      <c r="J29" s="1620" t="n"/>
    </row>
    <row r="30">
      <c r="A30" s="153" t="n"/>
      <c r="B30" s="135" t="inlineStr">
        <is>
          <t>Motor Gasoline - oxydation catalyst</t>
        </is>
      </c>
      <c r="C30" s="137" t="inlineStr">
        <is>
          <t>litre</t>
        </is>
      </c>
      <c r="D30" s="155">
        <f>D92*$G$92*10^-6</f>
        <v/>
      </c>
      <c r="E30" s="155">
        <f>E92*$G$92*10^-6</f>
        <v/>
      </c>
      <c r="F30" s="155" t="n"/>
      <c r="G30" s="155">
        <f>F92*$G$92*10^-6</f>
        <v/>
      </c>
      <c r="H30" s="1622">
        <f>D30+(E30*$L$5)+(G30*$L$7)</f>
        <v/>
      </c>
      <c r="I30" s="136" t="inlineStr">
        <is>
          <t>IPCC Vol.2 table 3.2.1, 3.2.2, DEDE</t>
        </is>
      </c>
      <c r="J30" s="1620" t="n"/>
    </row>
    <row r="31">
      <c r="A31" s="153" t="n"/>
      <c r="B31" s="135" t="inlineStr">
        <is>
          <t>Motor Gasoline - low mileage light duty vihicle vintage 1995 or later</t>
        </is>
      </c>
      <c r="C31" s="137" t="inlineStr">
        <is>
          <t>litre</t>
        </is>
      </c>
      <c r="D31" s="155">
        <f>D93*$G$93*10^-6</f>
        <v/>
      </c>
      <c r="E31" s="155">
        <f>E93*$G$93*10^-6</f>
        <v/>
      </c>
      <c r="F31" s="155" t="n"/>
      <c r="G31" s="155">
        <f>F93*$G$93*10^-6</f>
        <v/>
      </c>
      <c r="H31" s="1622">
        <f>D31+(E31*$L$5)+(G31*$L$7)</f>
        <v/>
      </c>
      <c r="I31" s="136" t="inlineStr">
        <is>
          <t>IPCC Vol.2 table 3.2.1, 3.2.2, DEDE</t>
        </is>
      </c>
      <c r="J31" s="1620" t="n"/>
    </row>
    <row r="32">
      <c r="A32" s="153" t="n"/>
      <c r="B32" s="135" t="inlineStr">
        <is>
          <t>Gas/ Diesel Oil</t>
        </is>
      </c>
      <c r="C32" s="137" t="inlineStr">
        <is>
          <t>litre</t>
        </is>
      </c>
      <c r="D32" s="155">
        <f>D94*$G$94*10^-6</f>
        <v/>
      </c>
      <c r="E32" s="155">
        <f>E94*$G$94*10^-6</f>
        <v/>
      </c>
      <c r="F32" s="155" t="n"/>
      <c r="G32" s="155">
        <f>F94*$G$94*10^-6</f>
        <v/>
      </c>
      <c r="H32" s="1622">
        <f>D32+(E32*$L$5)+(G32*$L$7)</f>
        <v/>
      </c>
      <c r="I32" s="136" t="inlineStr">
        <is>
          <t>IPCC Vol.2 table 3.2.1, 3.2.2, DEDE</t>
        </is>
      </c>
      <c r="J32" s="1620" t="n"/>
    </row>
    <row r="33">
      <c r="A33" s="153" t="n"/>
      <c r="B33" s="135" t="inlineStr">
        <is>
          <t>Compressed Natural Gas</t>
        </is>
      </c>
      <c r="C33" s="137" t="inlineStr">
        <is>
          <t>kg</t>
        </is>
      </c>
      <c r="D33" s="155">
        <f>D95*$G$95*10^-6</f>
        <v/>
      </c>
      <c r="E33" s="155">
        <f>E95*$G$95*10^-6</f>
        <v/>
      </c>
      <c r="F33" s="155" t="n"/>
      <c r="G33" s="155">
        <f>F95*$G$95*10^-6</f>
        <v/>
      </c>
      <c r="H33" s="1622">
        <f>D33+(E33*$L$5)+(G33*$L$7)</f>
        <v/>
      </c>
      <c r="I33" s="136" t="inlineStr">
        <is>
          <t>IPCC Vol.2 table 3.2.1, 3.2.2, PTT</t>
        </is>
      </c>
      <c r="J33" s="1620" t="n"/>
    </row>
    <row r="34">
      <c r="A34" s="153" t="n"/>
      <c r="B34" s="135" t="inlineStr">
        <is>
          <t>Liquified Petroleum Gas</t>
        </is>
      </c>
      <c r="C34" s="137" t="inlineStr">
        <is>
          <t>litre</t>
        </is>
      </c>
      <c r="D34" s="155">
        <f>D96*$G$96*10^-6</f>
        <v/>
      </c>
      <c r="E34" s="155">
        <f>E96*$G$96*10^-6</f>
        <v/>
      </c>
      <c r="F34" s="155" t="n"/>
      <c r="G34" s="155">
        <f>F96*$G$96*10^-6</f>
        <v/>
      </c>
      <c r="H34" s="1622">
        <f>D34+(E34*$L$5)+(G34*$L$7)</f>
        <v/>
      </c>
      <c r="I34" s="136" t="inlineStr">
        <is>
          <t>IPCC Vol.2 table 3.2.1, 3.2.2, DEDE</t>
        </is>
      </c>
      <c r="J34" s="1620" t="n"/>
    </row>
    <row r="35">
      <c r="A35" s="153" t="n"/>
      <c r="B35" s="135" t="inlineStr">
        <is>
          <t>Liquified Petroleum Gas</t>
        </is>
      </c>
      <c r="C35" s="134" t="inlineStr">
        <is>
          <t>kg</t>
        </is>
      </c>
      <c r="D35" s="155">
        <f>D34/0.54</f>
        <v/>
      </c>
      <c r="E35" s="155">
        <f>E34/0.54</f>
        <v/>
      </c>
      <c r="F35" s="155" t="n"/>
      <c r="G35" s="155">
        <f>G34/0.54</f>
        <v/>
      </c>
      <c r="H35" s="1622">
        <f>D35+(E35*$L$5)+(G35*$L$7)</f>
        <v/>
      </c>
      <c r="I35" s="136" t="inlineStr">
        <is>
          <t>IPCC Vol.2 table 3.2.1, 3.2.2, DEDE LPG 1 litre = 0.54 kg</t>
        </is>
      </c>
      <c r="J35" s="1620" t="n"/>
    </row>
    <row r="36">
      <c r="A36" s="153" t="inlineStr">
        <is>
          <t>Mobile Combustion (Off road)</t>
        </is>
      </c>
      <c r="B36" s="135" t="n"/>
      <c r="C36" s="134" t="n"/>
      <c r="D36" s="155" t="n"/>
      <c r="E36" s="155" t="n"/>
      <c r="F36" s="155" t="n"/>
      <c r="G36" s="155" t="n"/>
      <c r="H36" s="1622" t="n"/>
      <c r="I36" s="136" t="n"/>
      <c r="J36" s="1620" t="n"/>
    </row>
    <row r="37">
      <c r="A37" s="153" t="n"/>
      <c r="B37" s="138" t="inlineStr">
        <is>
          <t>Diesel</t>
        </is>
      </c>
      <c r="C37" s="137" t="n"/>
      <c r="D37" s="155" t="n"/>
      <c r="E37" s="155" t="n"/>
      <c r="F37" s="155" t="n"/>
      <c r="G37" s="155" t="n"/>
      <c r="H37" s="1622" t="n"/>
      <c r="I37" s="136" t="n"/>
      <c r="J37" s="1620" t="n"/>
    </row>
    <row r="38">
      <c r="A38" s="153" t="n"/>
      <c r="B38" s="139" t="inlineStr">
        <is>
          <t>- Agriculture</t>
        </is>
      </c>
      <c r="C38" s="137" t="inlineStr">
        <is>
          <t>litre</t>
        </is>
      </c>
      <c r="D38" s="155">
        <f>D103*$G$103/(10^6)</f>
        <v/>
      </c>
      <c r="E38" s="155">
        <f>E103*$G$103/(10^6)</f>
        <v/>
      </c>
      <c r="F38" s="155" t="n"/>
      <c r="G38" s="155">
        <f>F103*$G$103/(10^6)</f>
        <v/>
      </c>
      <c r="H38" s="1622">
        <f>D38+(E38*$L$5)+(G38*$L$7)</f>
        <v/>
      </c>
      <c r="I38" s="136" t="inlineStr">
        <is>
          <t>IPCC Vol.2 table 3.3.1, DEDE</t>
        </is>
      </c>
      <c r="J38" s="1620" t="n"/>
    </row>
    <row r="39">
      <c r="A39" s="153" t="n"/>
      <c r="B39" s="139" t="inlineStr">
        <is>
          <t xml:space="preserve">- Forestry </t>
        </is>
      </c>
      <c r="C39" s="137" t="inlineStr">
        <is>
          <t>litre</t>
        </is>
      </c>
      <c r="D39" s="155">
        <f>D104*$G$104/(10^6)</f>
        <v/>
      </c>
      <c r="E39" s="155">
        <f>E104*$G$104/(10^6)</f>
        <v/>
      </c>
      <c r="F39" s="155" t="n"/>
      <c r="G39" s="155">
        <f>F104*$G$104/(10^6)</f>
        <v/>
      </c>
      <c r="H39" s="1622">
        <f>D39+(E39*$L$5)+(G39*$L$7)</f>
        <v/>
      </c>
      <c r="I39" s="136" t="inlineStr">
        <is>
          <t>IPCC Vol.2 table 3.3.1, DEDE</t>
        </is>
      </c>
      <c r="J39" s="1620" t="n"/>
    </row>
    <row r="40">
      <c r="A40" s="153" t="n"/>
      <c r="B40" s="139" t="inlineStr">
        <is>
          <t xml:space="preserve">- Industry </t>
        </is>
      </c>
      <c r="C40" s="137" t="inlineStr">
        <is>
          <t>litre</t>
        </is>
      </c>
      <c r="D40" s="155">
        <f>D105*$G$105/(10^6)</f>
        <v/>
      </c>
      <c r="E40" s="155">
        <f>E105*$G$105/(10^6)</f>
        <v/>
      </c>
      <c r="F40" s="155" t="n"/>
      <c r="G40" s="155">
        <f>F105*$G$105/(10^6)</f>
        <v/>
      </c>
      <c r="H40" s="1622">
        <f>D40+(E40*$L$5)+(G40*$L$7)</f>
        <v/>
      </c>
      <c r="I40" s="136" t="inlineStr">
        <is>
          <t>IPCC Vol.2 table 3.3.1, DEDE</t>
        </is>
      </c>
      <c r="J40" s="1620" t="n"/>
    </row>
    <row r="41">
      <c r="A41" s="153" t="n"/>
      <c r="B41" s="139" t="inlineStr">
        <is>
          <t>- Household</t>
        </is>
      </c>
      <c r="C41" s="137" t="inlineStr">
        <is>
          <t>litre</t>
        </is>
      </c>
      <c r="D41" s="155">
        <f>D106*$G$106/(10^6)</f>
        <v/>
      </c>
      <c r="E41" s="155">
        <f>E106*$G$106/(10^6)</f>
        <v/>
      </c>
      <c r="F41" s="155" t="n"/>
      <c r="G41" s="155">
        <f>F106*$G$106/(10^6)</f>
        <v/>
      </c>
      <c r="H41" s="1622">
        <f>D41+(E41*$L$5)+(G41*$L$7)</f>
        <v/>
      </c>
      <c r="I41" s="136" t="inlineStr">
        <is>
          <t>IPCC Vol.2 table 3.3.1, DEDE</t>
        </is>
      </c>
      <c r="J41" s="1620" t="n"/>
    </row>
    <row r="42">
      <c r="A42" s="153" t="n"/>
      <c r="B42" s="138" t="inlineStr">
        <is>
          <t>Motor Gasoline - 4 stroke</t>
        </is>
      </c>
      <c r="C42" s="137" t="n"/>
      <c r="D42" s="155" t="n"/>
      <c r="E42" s="155" t="n"/>
      <c r="F42" s="155" t="n"/>
      <c r="G42" s="155" t="n"/>
      <c r="H42" s="1622" t="n"/>
      <c r="I42" s="136" t="n"/>
      <c r="J42" s="1620" t="n"/>
    </row>
    <row r="43">
      <c r="A43" s="153" t="n"/>
      <c r="B43" s="139" t="inlineStr">
        <is>
          <t>- Agriculture</t>
        </is>
      </c>
      <c r="C43" s="137" t="inlineStr">
        <is>
          <t>litre</t>
        </is>
      </c>
      <c r="D43" s="155">
        <f>D108*$G$108/(10^6)</f>
        <v/>
      </c>
      <c r="E43" s="155">
        <f>E108*$G$108/(10^6)</f>
        <v/>
      </c>
      <c r="F43" s="155" t="n"/>
      <c r="G43" s="155">
        <f>F108*$G$108/(10^6)</f>
        <v/>
      </c>
      <c r="H43" s="1622">
        <f>D43+(E43*$L$5)+(G43*$L$7)</f>
        <v/>
      </c>
      <c r="I43" s="136" t="inlineStr">
        <is>
          <t>IPCC Vol.2 table 3.3.1, DEDE</t>
        </is>
      </c>
      <c r="J43" s="1620" t="n"/>
    </row>
    <row r="44">
      <c r="A44" s="133" t="n"/>
      <c r="B44" s="139" t="inlineStr">
        <is>
          <t xml:space="preserve">- Forestry </t>
        </is>
      </c>
      <c r="C44" s="137" t="inlineStr">
        <is>
          <t>litre</t>
        </is>
      </c>
      <c r="D44" s="155">
        <f>D109*$G$109/(10^6)</f>
        <v/>
      </c>
      <c r="E44" s="155">
        <f>E109*$G$109/(10^6)</f>
        <v/>
      </c>
      <c r="F44" s="155" t="n"/>
      <c r="G44" s="155">
        <f>F109*$G$109/(10^6)</f>
        <v/>
      </c>
      <c r="H44" s="1622">
        <f>D44+(E44*$L$5)+(G44*$L$7)</f>
        <v/>
      </c>
      <c r="I44" s="136" t="inlineStr">
        <is>
          <t>IPCC Vol.2 table 3.3.1, DEDE</t>
        </is>
      </c>
      <c r="J44" s="1620" t="n"/>
    </row>
    <row r="45">
      <c r="A45" s="133" t="n"/>
      <c r="B45" s="139" t="inlineStr">
        <is>
          <t xml:space="preserve">- Industry </t>
        </is>
      </c>
      <c r="C45" s="137" t="inlineStr">
        <is>
          <t>litre</t>
        </is>
      </c>
      <c r="D45" s="155">
        <f>D110*$G$110/(10^6)</f>
        <v/>
      </c>
      <c r="E45" s="155">
        <f>E110*$G$110/(10^6)</f>
        <v/>
      </c>
      <c r="F45" s="155" t="n"/>
      <c r="G45" s="155">
        <f>F110*$G$110/(10^6)</f>
        <v/>
      </c>
      <c r="H45" s="1622">
        <f>D45+(E45*$L$5)+(G45*$L$7)</f>
        <v/>
      </c>
      <c r="I45" s="136" t="inlineStr">
        <is>
          <t>IPCC Vol.2 table 3.3.1, DEDE</t>
        </is>
      </c>
      <c r="J45" s="1620" t="n"/>
    </row>
    <row r="46">
      <c r="A46" s="133" t="n"/>
      <c r="B46" s="139" t="inlineStr">
        <is>
          <t>- Household</t>
        </is>
      </c>
      <c r="C46" s="137" t="inlineStr">
        <is>
          <t>litre</t>
        </is>
      </c>
      <c r="D46" s="155">
        <f>D111*$G$111/(10^6)</f>
        <v/>
      </c>
      <c r="E46" s="155">
        <f>E111*$G$111/(10^6)</f>
        <v/>
      </c>
      <c r="F46" s="155" t="n"/>
      <c r="G46" s="155">
        <f>F111*$G$111/(10^6)</f>
        <v/>
      </c>
      <c r="H46" s="1622">
        <f>D46+(E46*$L$5)+(G46*$L$7)</f>
        <v/>
      </c>
      <c r="I46" s="136" t="inlineStr">
        <is>
          <t>IPCC Vol.2 table 3.3.1, DEDE</t>
        </is>
      </c>
      <c r="J46" s="1620" t="n"/>
    </row>
    <row r="47">
      <c r="A47" s="153" t="n"/>
      <c r="B47" s="138" t="inlineStr">
        <is>
          <t>Motor Gasoline - 2 stroke</t>
        </is>
      </c>
      <c r="C47" s="137" t="n"/>
      <c r="D47" s="155" t="n"/>
      <c r="E47" s="155" t="n"/>
      <c r="F47" s="155" t="n"/>
      <c r="G47" s="155" t="n"/>
      <c r="H47" s="1622" t="n"/>
      <c r="I47" s="136" t="n"/>
      <c r="J47" s="1620" t="n"/>
    </row>
    <row r="48">
      <c r="A48" s="153" t="n"/>
      <c r="B48" s="139" t="inlineStr">
        <is>
          <t>- Agriculture</t>
        </is>
      </c>
      <c r="C48" s="137" t="inlineStr">
        <is>
          <t>litre</t>
        </is>
      </c>
      <c r="D48" s="155">
        <f>D113*$G$113/(10^6)</f>
        <v/>
      </c>
      <c r="E48" s="155">
        <f>E113*$G$113/(10^6)</f>
        <v/>
      </c>
      <c r="F48" s="155" t="n"/>
      <c r="G48" s="155">
        <f>F113*$G$113/(10^6)</f>
        <v/>
      </c>
      <c r="H48" s="1622">
        <f>D48+(E48*$L$5)+(G48*$L$7)</f>
        <v/>
      </c>
      <c r="I48" s="136" t="inlineStr">
        <is>
          <t>IPCC Vol.2 table 3.3.1, DEDE</t>
        </is>
      </c>
      <c r="J48" s="1620" t="n"/>
    </row>
    <row r="49">
      <c r="A49" s="133" t="n"/>
      <c r="B49" s="139" t="inlineStr">
        <is>
          <t xml:space="preserve">- Forestry </t>
        </is>
      </c>
      <c r="C49" s="137" t="inlineStr">
        <is>
          <t>litre</t>
        </is>
      </c>
      <c r="D49" s="155">
        <f>D114*$G$114/(10^6)</f>
        <v/>
      </c>
      <c r="E49" s="155">
        <f>E114*$G$114/(10^6)</f>
        <v/>
      </c>
      <c r="F49" s="155" t="n"/>
      <c r="G49" s="155">
        <f>F114*$G$114/(10^6)</f>
        <v/>
      </c>
      <c r="H49" s="1622">
        <f>D49+(E49*$L$5)+(G49*$L$7)</f>
        <v/>
      </c>
      <c r="I49" s="136" t="inlineStr">
        <is>
          <t>IPCC Vol.2 table 3.3.1, DEDE</t>
        </is>
      </c>
      <c r="J49" s="1620" t="n"/>
    </row>
    <row r="50">
      <c r="A50" s="133" t="n"/>
      <c r="B50" s="139" t="inlineStr">
        <is>
          <t xml:space="preserve">- Industry </t>
        </is>
      </c>
      <c r="C50" s="137" t="inlineStr">
        <is>
          <t>litre</t>
        </is>
      </c>
      <c r="D50" s="155">
        <f>D115*$G$115/(10^6)</f>
        <v/>
      </c>
      <c r="E50" s="155">
        <f>E115*$G$115/(10^6)</f>
        <v/>
      </c>
      <c r="F50" s="155" t="n"/>
      <c r="G50" s="155">
        <f>F115*$G$115/(10^6)</f>
        <v/>
      </c>
      <c r="H50" s="1622">
        <f>D50+(E50*$L$5)+(G50*$L$7)</f>
        <v/>
      </c>
      <c r="I50" s="136" t="inlineStr">
        <is>
          <t>IPCC Vol.2 table 3.3.1, DEDE</t>
        </is>
      </c>
      <c r="J50" s="1620" t="n"/>
    </row>
    <row r="51">
      <c r="A51" s="133" t="n"/>
      <c r="B51" s="139" t="inlineStr">
        <is>
          <t>- Household</t>
        </is>
      </c>
      <c r="C51" s="137" t="inlineStr">
        <is>
          <t>litre</t>
        </is>
      </c>
      <c r="D51" s="155">
        <f>D116*$G$116/(10^6)</f>
        <v/>
      </c>
      <c r="E51" s="155">
        <f>E116*$G$116/(10^6)</f>
        <v/>
      </c>
      <c r="F51" s="155" t="n"/>
      <c r="G51" s="155">
        <f>F116*$G$116/(10^6)</f>
        <v/>
      </c>
      <c r="H51" s="1622">
        <f>D51+(E51*$L$5)+(G51*$L$7)</f>
        <v/>
      </c>
      <c r="I51" s="136" t="inlineStr">
        <is>
          <t>IPCC Vol.2 table 3.3.1, DEDE</t>
        </is>
      </c>
      <c r="J51" s="1620" t="n"/>
    </row>
    <row r="52">
      <c r="A52" s="153" t="inlineStr">
        <is>
          <t>Electricity, grid mix (ไฟฟ้า)</t>
        </is>
      </c>
      <c r="B52" s="139" t="n"/>
      <c r="C52" s="137" t="n"/>
      <c r="D52" s="155" t="n"/>
      <c r="E52" s="155" t="n"/>
      <c r="F52" s="155" t="n"/>
      <c r="G52" s="155" t="n"/>
      <c r="H52" s="1622" t="n"/>
      <c r="I52" s="136" t="n"/>
      <c r="J52" s="1620" t="n"/>
    </row>
    <row r="53" ht="41.4" customHeight="1">
      <c r="A53" s="172" t="n"/>
      <c r="B53" s="173" t="inlineStr">
        <is>
          <t>ไฟฟ้าแบบ grid mix ปี 2016-2018; LCIA
method IPCC 2013 GWP 100a V1.03</t>
        </is>
      </c>
      <c r="C53" s="136" t="inlineStr">
        <is>
          <t>kWh</t>
        </is>
      </c>
      <c r="D53" s="155" t="inlineStr">
        <is>
          <t xml:space="preserve"> -</t>
        </is>
      </c>
      <c r="E53" s="155" t="inlineStr">
        <is>
          <t xml:space="preserve"> -</t>
        </is>
      </c>
      <c r="F53" s="155" t="inlineStr">
        <is>
          <t xml:space="preserve"> -</t>
        </is>
      </c>
      <c r="G53" s="155" t="inlineStr">
        <is>
          <t xml:space="preserve"> -</t>
        </is>
      </c>
      <c r="H53" s="1622" t="n">
        <v>0.4999</v>
      </c>
      <c r="I53" s="171" t="inlineStr">
        <is>
          <t>Thai National LCI Database,
TIISMTEC-NSTDA, AR5
(with TGO electricity 2016-2018)</t>
        </is>
      </c>
      <c r="J53" s="1620" t="n"/>
      <c r="K53" s="1623" t="n"/>
    </row>
    <row r="54">
      <c r="A54" s="181" t="inlineStr">
        <is>
          <t>Refrigerants (สารทำความเย็น)</t>
        </is>
      </c>
      <c r="B54" s="173" t="n"/>
      <c r="C54" s="136" t="n"/>
      <c r="D54" s="155" t="n"/>
      <c r="E54" s="155" t="n"/>
      <c r="F54" s="155" t="n"/>
      <c r="G54" s="155" t="n"/>
      <c r="H54" s="1622" t="n"/>
      <c r="I54" s="171" t="n"/>
      <c r="J54" s="1620" t="n"/>
    </row>
    <row r="55">
      <c r="A55" s="181" t="n"/>
      <c r="B55" s="173" t="inlineStr">
        <is>
          <t>R-22 (HCFC-22)</t>
        </is>
      </c>
      <c r="C55" s="136" t="inlineStr">
        <is>
          <t>kg</t>
        </is>
      </c>
      <c r="D55" s="155" t="inlineStr">
        <is>
          <t xml:space="preserve"> -</t>
        </is>
      </c>
      <c r="E55" s="155" t="inlineStr">
        <is>
          <t xml:space="preserve"> -</t>
        </is>
      </c>
      <c r="F55" s="155" t="inlineStr">
        <is>
          <t xml:space="preserve"> -</t>
        </is>
      </c>
      <c r="G55" s="155" t="inlineStr">
        <is>
          <t xml:space="preserve"> -</t>
        </is>
      </c>
      <c r="H55" s="1622" t="n">
        <v>1760</v>
      </c>
      <c r="I55" s="171" t="inlineStr">
        <is>
          <t>IPCC 2013, AR5</t>
        </is>
      </c>
      <c r="J55" s="1620" t="n"/>
    </row>
    <row r="56">
      <c r="A56" s="172" t="n"/>
      <c r="B56" s="173" t="inlineStr">
        <is>
          <t>R-32</t>
        </is>
      </c>
      <c r="C56" s="136" t="inlineStr">
        <is>
          <t>kg</t>
        </is>
      </c>
      <c r="D56" s="155" t="inlineStr">
        <is>
          <t xml:space="preserve"> -</t>
        </is>
      </c>
      <c r="E56" s="155" t="inlineStr">
        <is>
          <t xml:space="preserve"> -</t>
        </is>
      </c>
      <c r="F56" s="155" t="inlineStr">
        <is>
          <t xml:space="preserve"> -</t>
        </is>
      </c>
      <c r="G56" s="155" t="inlineStr">
        <is>
          <t xml:space="preserve"> -</t>
        </is>
      </c>
      <c r="H56" s="1622" t="n">
        <v>677</v>
      </c>
      <c r="I56" s="171" t="inlineStr">
        <is>
          <t>IPCC 2013, AR5</t>
        </is>
      </c>
      <c r="J56" s="1620" t="n"/>
    </row>
    <row r="57">
      <c r="A57" s="172" t="n"/>
      <c r="B57" s="173" t="inlineStr">
        <is>
          <t>R-125</t>
        </is>
      </c>
      <c r="C57" s="136" t="inlineStr">
        <is>
          <t>kg</t>
        </is>
      </c>
      <c r="D57" s="155" t="inlineStr">
        <is>
          <t xml:space="preserve"> -</t>
        </is>
      </c>
      <c r="E57" s="155" t="inlineStr">
        <is>
          <t xml:space="preserve"> -</t>
        </is>
      </c>
      <c r="F57" s="155" t="inlineStr">
        <is>
          <t xml:space="preserve"> -</t>
        </is>
      </c>
      <c r="G57" s="155" t="inlineStr">
        <is>
          <t xml:space="preserve"> -</t>
        </is>
      </c>
      <c r="H57" s="1622" t="n">
        <v>3170</v>
      </c>
      <c r="I57" s="171" t="inlineStr">
        <is>
          <t>IPCC 2013, AR5</t>
        </is>
      </c>
      <c r="J57" s="1620" t="n"/>
    </row>
    <row r="58">
      <c r="A58" s="172" t="n"/>
      <c r="B58" s="173" t="inlineStr">
        <is>
          <t>R-134</t>
        </is>
      </c>
      <c r="C58" s="136" t="inlineStr">
        <is>
          <t>kg</t>
        </is>
      </c>
      <c r="D58" s="155" t="inlineStr">
        <is>
          <t xml:space="preserve"> -</t>
        </is>
      </c>
      <c r="E58" s="155" t="inlineStr">
        <is>
          <t xml:space="preserve"> -</t>
        </is>
      </c>
      <c r="F58" s="155" t="inlineStr">
        <is>
          <t xml:space="preserve"> -</t>
        </is>
      </c>
      <c r="G58" s="155" t="inlineStr">
        <is>
          <t xml:space="preserve"> -</t>
        </is>
      </c>
      <c r="H58" s="1622" t="n">
        <v>1120</v>
      </c>
      <c r="I58" s="171" t="inlineStr">
        <is>
          <t>IPCC 2013, AR5</t>
        </is>
      </c>
      <c r="J58" s="1620" t="n"/>
    </row>
    <row r="59">
      <c r="A59" s="172" t="n"/>
      <c r="B59" s="173" t="inlineStr">
        <is>
          <t>R-134a</t>
        </is>
      </c>
      <c r="C59" s="136" t="inlineStr">
        <is>
          <t>kg</t>
        </is>
      </c>
      <c r="D59" s="155" t="inlineStr">
        <is>
          <t xml:space="preserve"> -</t>
        </is>
      </c>
      <c r="E59" s="155" t="inlineStr">
        <is>
          <t xml:space="preserve"> -</t>
        </is>
      </c>
      <c r="F59" s="155" t="inlineStr">
        <is>
          <t xml:space="preserve"> -</t>
        </is>
      </c>
      <c r="G59" s="155" t="inlineStr">
        <is>
          <t xml:space="preserve"> -</t>
        </is>
      </c>
      <c r="H59" s="1622" t="n">
        <v>1300</v>
      </c>
      <c r="I59" s="171" t="inlineStr">
        <is>
          <t>IPCC 2013, AR5</t>
        </is>
      </c>
      <c r="J59" s="1620" t="n"/>
    </row>
    <row r="60">
      <c r="A60" s="172" t="n"/>
      <c r="B60" s="173" t="inlineStr">
        <is>
          <t>R-143</t>
        </is>
      </c>
      <c r="C60" s="136" t="inlineStr">
        <is>
          <t>kg</t>
        </is>
      </c>
      <c r="D60" s="155" t="inlineStr">
        <is>
          <t xml:space="preserve"> -</t>
        </is>
      </c>
      <c r="E60" s="155" t="inlineStr">
        <is>
          <t xml:space="preserve"> -</t>
        </is>
      </c>
      <c r="F60" s="155" t="inlineStr">
        <is>
          <t xml:space="preserve"> -</t>
        </is>
      </c>
      <c r="G60" s="155" t="inlineStr">
        <is>
          <t xml:space="preserve"> -</t>
        </is>
      </c>
      <c r="H60" s="1622" t="n">
        <v>328</v>
      </c>
      <c r="I60" s="171" t="inlineStr">
        <is>
          <t>IPCC 2013, AR5</t>
        </is>
      </c>
      <c r="J60" s="1620" t="n"/>
    </row>
    <row r="61">
      <c r="A61" s="172" t="n"/>
      <c r="B61" s="173" t="inlineStr">
        <is>
          <t>R-143a</t>
        </is>
      </c>
      <c r="C61" s="136" t="inlineStr">
        <is>
          <t>kg</t>
        </is>
      </c>
      <c r="D61" s="155" t="inlineStr">
        <is>
          <t xml:space="preserve"> -</t>
        </is>
      </c>
      <c r="E61" s="155" t="inlineStr">
        <is>
          <t xml:space="preserve"> -</t>
        </is>
      </c>
      <c r="F61" s="155" t="inlineStr">
        <is>
          <t xml:space="preserve"> -</t>
        </is>
      </c>
      <c r="G61" s="155" t="inlineStr">
        <is>
          <t xml:space="preserve"> -</t>
        </is>
      </c>
      <c r="H61" s="1622" t="n">
        <v>4800</v>
      </c>
      <c r="I61" s="171" t="inlineStr">
        <is>
          <t>IPCC 2013, AR5</t>
        </is>
      </c>
      <c r="J61" s="1620" t="n"/>
    </row>
    <row r="62">
      <c r="A62" s="198" t="n"/>
      <c r="B62" s="199" t="n"/>
      <c r="C62" s="200" t="n"/>
      <c r="D62" s="201" t="n"/>
      <c r="E62" s="201" t="n"/>
      <c r="F62" s="201" t="n"/>
      <c r="G62" s="201" t="n"/>
      <c r="H62" s="1624" t="n"/>
      <c r="I62" s="202" t="n"/>
      <c r="J62" s="1620" t="n"/>
    </row>
    <row r="63">
      <c r="A63" s="132" t="inlineStr">
        <is>
          <t>ทั้งนี้สำหรับ Emission Factor ใน Scope 3 สามารถค้นหาได้ที่</t>
        </is>
      </c>
      <c r="B63" s="203" t="n"/>
      <c r="C63" s="166" t="n"/>
      <c r="D63" s="201" t="n"/>
      <c r="E63" s="204" t="inlineStr">
        <is>
          <t>http://thaicarbonlabel.tgo.or.th/products_emission/products_emission.pnc</t>
        </is>
      </c>
      <c r="F63" s="204" t="n"/>
      <c r="G63" s="201" t="n"/>
      <c r="H63" s="1624" t="n"/>
      <c r="I63" s="200" t="n"/>
      <c r="J63" s="1620" t="n"/>
    </row>
    <row r="64">
      <c r="B64" s="203" t="n"/>
      <c r="C64" s="166" t="n"/>
      <c r="D64" s="201" t="n"/>
      <c r="E64" s="201" t="n"/>
      <c r="F64" s="201" t="n"/>
      <c r="G64" s="201" t="n"/>
      <c r="H64" s="1624" t="n"/>
      <c r="I64" s="200" t="n"/>
      <c r="J64" s="1620" t="n"/>
    </row>
    <row r="65">
      <c r="B65" s="157" t="n"/>
      <c r="C65" s="157" t="n"/>
      <c r="D65" s="1610" t="n"/>
      <c r="E65" s="1610" t="n"/>
      <c r="F65" s="1610" t="n"/>
      <c r="G65" s="1610" t="n"/>
    </row>
    <row r="66" customFormat="1" s="141">
      <c r="A66" s="140" t="inlineStr">
        <is>
          <t>Stationary Combustion</t>
        </is>
      </c>
      <c r="B66" s="159" t="n"/>
      <c r="C66" s="159" t="n"/>
      <c r="D66" s="1612" t="n"/>
      <c r="E66" s="1613" t="n"/>
      <c r="F66" s="1613" t="n"/>
      <c r="G66" s="1612" t="n"/>
      <c r="H66" s="1625" t="n"/>
    </row>
    <row r="67">
      <c r="D67" s="1611" t="n"/>
      <c r="E67" s="1615" t="inlineStr">
        <is>
          <t>IPCC</t>
        </is>
      </c>
      <c r="F67" s="1615" t="n"/>
      <c r="G67" s="1626" t="inlineStr">
        <is>
          <t>DEDE</t>
        </is>
      </c>
      <c r="H67" s="132" t="n"/>
    </row>
    <row r="68" ht="14.25" customHeight="1">
      <c r="B68" s="135" t="n"/>
      <c r="C68" s="134" t="n"/>
      <c r="D68" s="1616" t="inlineStr">
        <is>
          <t>[kg/TJ]</t>
        </is>
      </c>
      <c r="E68" s="1415" t="n"/>
      <c r="F68" s="1416" t="n"/>
      <c r="G68" s="1627" t="inlineStr">
        <is>
          <t>[MJ/unit]</t>
        </is>
      </c>
      <c r="H68" s="132" t="n"/>
    </row>
    <row r="69">
      <c r="B69" s="135" t="n"/>
      <c r="C69" s="134" t="inlineStr">
        <is>
          <t>unit</t>
        </is>
      </c>
      <c r="D69" s="1616" t="inlineStr">
        <is>
          <t>CO2</t>
        </is>
      </c>
      <c r="E69" s="134" t="inlineStr">
        <is>
          <t>CH4</t>
        </is>
      </c>
      <c r="F69" s="134" t="inlineStr">
        <is>
          <t>N2O</t>
        </is>
      </c>
      <c r="G69" s="1627" t="inlineStr">
        <is>
          <t>NCV</t>
        </is>
      </c>
      <c r="H69" s="132" t="n"/>
    </row>
    <row r="70">
      <c r="B70" s="135" t="inlineStr">
        <is>
          <t>Natural gas</t>
        </is>
      </c>
      <c r="C70" s="134" t="inlineStr">
        <is>
          <t>scf</t>
        </is>
      </c>
      <c r="D70" s="205" t="n">
        <v>56100</v>
      </c>
      <c r="E70" s="206" t="n">
        <v>1</v>
      </c>
      <c r="F70" s="206" t="n">
        <v>0.1</v>
      </c>
      <c r="G70" s="1627" t="n">
        <v>1.02</v>
      </c>
      <c r="H70" s="132" t="inlineStr">
        <is>
          <t>dry basis</t>
        </is>
      </c>
    </row>
    <row r="71">
      <c r="B71" s="135" t="inlineStr">
        <is>
          <t>Lignite</t>
        </is>
      </c>
      <c r="C71" s="134" t="inlineStr">
        <is>
          <t>kg</t>
        </is>
      </c>
      <c r="D71" s="205" t="n">
        <v>101000</v>
      </c>
      <c r="E71" s="206" t="n">
        <v>1</v>
      </c>
      <c r="F71" s="206" t="n">
        <v>1.5</v>
      </c>
      <c r="G71" s="1627" t="n">
        <v>10.47</v>
      </c>
      <c r="H71" s="132" t="n"/>
    </row>
    <row r="72">
      <c r="B72" s="135" t="inlineStr">
        <is>
          <t>Residual fuel oil (Fuel oil A)</t>
        </is>
      </c>
      <c r="C72" s="134" t="inlineStr">
        <is>
          <t>litre</t>
        </is>
      </c>
      <c r="D72" s="205" t="n">
        <v>77400</v>
      </c>
      <c r="E72" s="206" t="n">
        <v>3</v>
      </c>
      <c r="F72" s="206" t="n">
        <v>0.6</v>
      </c>
      <c r="G72" s="1627" t="n">
        <v>41.46897214950003</v>
      </c>
      <c r="H72" s="132" t="inlineStr">
        <is>
          <t>*ref. from PTT</t>
        </is>
      </c>
      <c r="K72" s="166" t="n"/>
      <c r="L72" s="1608" t="n"/>
    </row>
    <row r="73">
      <c r="B73" s="135" t="inlineStr">
        <is>
          <t>Residual fuel oil (Fuel oil C)</t>
        </is>
      </c>
      <c r="C73" s="134" t="inlineStr">
        <is>
          <t>litre</t>
        </is>
      </c>
      <c r="D73" s="205" t="n">
        <v>77400</v>
      </c>
      <c r="E73" s="206" t="n">
        <v>3</v>
      </c>
      <c r="F73" s="206" t="n">
        <v>0.6</v>
      </c>
      <c r="G73" s="1627" t="n">
        <v>41.80025970210002</v>
      </c>
      <c r="H73" s="132" t="inlineStr">
        <is>
          <t>*ref. from PTT</t>
        </is>
      </c>
      <c r="K73" s="166" t="n"/>
      <c r="L73" s="1608" t="n"/>
    </row>
    <row r="74">
      <c r="B74" s="135" t="inlineStr">
        <is>
          <t>Gas/Diesel oil</t>
        </is>
      </c>
      <c r="C74" s="134" t="inlineStr">
        <is>
          <t>litre</t>
        </is>
      </c>
      <c r="D74" s="205" t="n">
        <v>74100</v>
      </c>
      <c r="E74" s="206" t="n">
        <v>3</v>
      </c>
      <c r="F74" s="206" t="n">
        <v>0.6</v>
      </c>
      <c r="G74" s="1627" t="n">
        <v>36.42</v>
      </c>
      <c r="H74" s="132" t="n"/>
    </row>
    <row r="75">
      <c r="B75" s="135" t="inlineStr">
        <is>
          <t>Anthracite</t>
        </is>
      </c>
      <c r="C75" s="134" t="inlineStr">
        <is>
          <t>kg</t>
        </is>
      </c>
      <c r="D75" s="205" t="n">
        <v>98300</v>
      </c>
      <c r="E75" s="206" t="n">
        <v>1</v>
      </c>
      <c r="F75" s="206" t="n">
        <v>1.5</v>
      </c>
      <c r="G75" s="1627" t="n">
        <v>31.4</v>
      </c>
      <c r="H75" s="132" t="n"/>
    </row>
    <row r="76">
      <c r="B76" s="207" t="inlineStr">
        <is>
          <t>Sub-bituminous coal</t>
        </is>
      </c>
      <c r="C76" s="206" t="inlineStr">
        <is>
          <t>kg</t>
        </is>
      </c>
      <c r="D76" s="205" t="n">
        <v>96100</v>
      </c>
      <c r="E76" s="206" t="n">
        <v>1</v>
      </c>
      <c r="F76" s="206" t="n">
        <v>1.5</v>
      </c>
      <c r="G76" s="1627" t="n">
        <v>26.37</v>
      </c>
      <c r="H76" s="132" t="n"/>
    </row>
    <row r="77">
      <c r="B77" s="135" t="inlineStr">
        <is>
          <t>Jet Kerosene</t>
        </is>
      </c>
      <c r="C77" s="134" t="inlineStr">
        <is>
          <t>litre</t>
        </is>
      </c>
      <c r="D77" s="205" t="n">
        <v>71500</v>
      </c>
      <c r="E77" s="206" t="n">
        <v>3</v>
      </c>
      <c r="F77" s="206" t="n">
        <v>0.6</v>
      </c>
      <c r="G77" s="1627" t="n">
        <v>34.53</v>
      </c>
      <c r="H77" s="132" t="n"/>
    </row>
    <row r="78">
      <c r="B78" s="135" t="inlineStr">
        <is>
          <t>LPG</t>
        </is>
      </c>
      <c r="C78" s="134" t="inlineStr">
        <is>
          <t>litre</t>
        </is>
      </c>
      <c r="D78" s="205" t="n">
        <v>63100</v>
      </c>
      <c r="E78" s="206" t="n">
        <v>1</v>
      </c>
      <c r="F78" s="206" t="n">
        <v>0.1</v>
      </c>
      <c r="G78" s="1627" t="n">
        <v>26.62</v>
      </c>
      <c r="H78" s="132" t="n"/>
    </row>
    <row r="79">
      <c r="B79" s="135" t="inlineStr">
        <is>
          <t>Motor gasoline</t>
        </is>
      </c>
      <c r="C79" s="134" t="inlineStr">
        <is>
          <t>litre</t>
        </is>
      </c>
      <c r="D79" s="205" t="n">
        <v>69300</v>
      </c>
      <c r="E79" s="206" t="n">
        <v>3</v>
      </c>
      <c r="F79" s="206" t="n">
        <v>0.6</v>
      </c>
      <c r="G79" s="1627">
        <f>G91</f>
        <v/>
      </c>
      <c r="H79" s="132" t="n"/>
    </row>
    <row r="80">
      <c r="B80" s="135" t="inlineStr">
        <is>
          <t>Wood / Wood Waste (FUEL WOOD)</t>
        </is>
      </c>
      <c r="C80" s="134" t="inlineStr">
        <is>
          <t>kg</t>
        </is>
      </c>
      <c r="D80" s="205" t="n">
        <v>112000</v>
      </c>
      <c r="E80" s="206" t="n">
        <v>30</v>
      </c>
      <c r="F80" s="206" t="n">
        <v>4</v>
      </c>
      <c r="G80" s="1627" t="n">
        <v>15.99</v>
      </c>
      <c r="H80" s="132" t="n"/>
    </row>
    <row r="81">
      <c r="B81" s="135" t="inlineStr">
        <is>
          <t>Other Primary Solid
Biomass</t>
        </is>
      </c>
      <c r="C81" s="134" t="n"/>
      <c r="D81" s="205" t="n"/>
      <c r="E81" s="206" t="n"/>
      <c r="F81" s="206" t="n"/>
      <c r="G81" s="1627" t="n"/>
      <c r="H81" s="132" t="n"/>
    </row>
    <row r="82">
      <c r="B82" s="135" t="inlineStr">
        <is>
          <t>Bagasse</t>
        </is>
      </c>
      <c r="C82" s="134" t="inlineStr">
        <is>
          <t>kg</t>
        </is>
      </c>
      <c r="D82" s="205" t="n">
        <v>100000</v>
      </c>
      <c r="E82" s="206" t="n">
        <v>30</v>
      </c>
      <c r="F82" s="206" t="n">
        <v>4</v>
      </c>
      <c r="G82" s="1627" t="n">
        <v>7.53</v>
      </c>
      <c r="H82" s="132" t="n"/>
    </row>
    <row r="83">
      <c r="B83" s="135" t="inlineStr">
        <is>
          <t xml:space="preserve">Palm kernel shell </t>
        </is>
      </c>
      <c r="C83" s="134" t="inlineStr">
        <is>
          <t>kg</t>
        </is>
      </c>
      <c r="D83" s="205" t="n">
        <v>100000</v>
      </c>
      <c r="E83" s="206" t="n">
        <v>30</v>
      </c>
      <c r="F83" s="206" t="n">
        <v>4</v>
      </c>
      <c r="G83" s="1627" t="n">
        <v>18.53</v>
      </c>
      <c r="H83" s="132" t="n"/>
    </row>
    <row r="84">
      <c r="B84" s="135" t="inlineStr">
        <is>
          <t>Cob</t>
        </is>
      </c>
      <c r="C84" s="134" t="inlineStr">
        <is>
          <t>kg</t>
        </is>
      </c>
      <c r="D84" s="205" t="n">
        <v>100000</v>
      </c>
      <c r="E84" s="206" t="n">
        <v>30</v>
      </c>
      <c r="F84" s="206" t="n">
        <v>4</v>
      </c>
      <c r="G84" s="1627" t="n">
        <v>16.78</v>
      </c>
      <c r="H84" s="132" t="n"/>
    </row>
    <row r="85" ht="15.6" customHeight="1">
      <c r="B85" s="135" t="inlineStr">
        <is>
          <t>Biogas</t>
        </is>
      </c>
      <c r="C85" s="134" t="inlineStr">
        <is>
          <t>m3</t>
        </is>
      </c>
      <c r="D85" s="205" t="n">
        <v>54600</v>
      </c>
      <c r="E85" s="206" t="n">
        <v>1</v>
      </c>
      <c r="F85" s="206" t="n">
        <v>0.1</v>
      </c>
      <c r="G85" s="1627" t="n">
        <v>20.93</v>
      </c>
      <c r="H85" s="132" t="n"/>
    </row>
    <row r="86">
      <c r="D86" s="1611" t="n"/>
      <c r="E86" s="1611" t="n"/>
      <c r="F86" s="1611" t="n"/>
      <c r="G86" s="1626" t="n"/>
      <c r="H86" s="132" t="n"/>
    </row>
    <row r="87" customFormat="1" s="141">
      <c r="A87" s="140" t="inlineStr">
        <is>
          <t>Mobile Combustion (On road)</t>
        </is>
      </c>
      <c r="B87" s="159" t="n"/>
      <c r="C87" s="159" t="n"/>
      <c r="D87" s="1612" t="n"/>
      <c r="E87" s="1613" t="n"/>
      <c r="F87" s="1612" t="n"/>
      <c r="G87" s="1625" t="n"/>
    </row>
    <row r="88">
      <c r="D88" s="1618" t="inlineStr">
        <is>
          <t>IPCC</t>
        </is>
      </c>
      <c r="E88" s="1414" t="n"/>
      <c r="F88" s="1414" t="n"/>
      <c r="G88" s="1626" t="inlineStr">
        <is>
          <t>DEDE</t>
        </is>
      </c>
      <c r="H88" s="132" t="n"/>
    </row>
    <row r="89">
      <c r="B89" s="135" t="n"/>
      <c r="C89" s="133" t="n"/>
      <c r="D89" s="1616" t="inlineStr">
        <is>
          <t>[kg/TJ]</t>
        </is>
      </c>
      <c r="E89" s="1415" t="n"/>
      <c r="F89" s="1416" t="n"/>
      <c r="G89" s="1627" t="inlineStr">
        <is>
          <t>[MJ/unit]</t>
        </is>
      </c>
      <c r="H89" s="132" t="n"/>
    </row>
    <row r="90">
      <c r="B90" s="135" t="n"/>
      <c r="C90" s="137" t="inlineStr">
        <is>
          <t>unit</t>
        </is>
      </c>
      <c r="D90" s="134" t="inlineStr">
        <is>
          <t>CO2</t>
        </is>
      </c>
      <c r="E90" s="1616" t="inlineStr">
        <is>
          <t>CH4</t>
        </is>
      </c>
      <c r="F90" s="134" t="inlineStr">
        <is>
          <t>N2O</t>
        </is>
      </c>
      <c r="G90" s="1627" t="inlineStr">
        <is>
          <t>NCV</t>
        </is>
      </c>
      <c r="H90" s="132" t="n"/>
    </row>
    <row r="91">
      <c r="B91" s="135" t="inlineStr">
        <is>
          <t xml:space="preserve">Motor Gasoline - uncontrolled </t>
        </is>
      </c>
      <c r="C91" s="137" t="inlineStr">
        <is>
          <t>litre</t>
        </is>
      </c>
      <c r="D91" s="134" t="n">
        <v>69300</v>
      </c>
      <c r="E91" s="145" t="n">
        <v>33</v>
      </c>
      <c r="F91" s="134" t="n">
        <v>3.2</v>
      </c>
      <c r="G91" s="1627" t="n">
        <v>31.48</v>
      </c>
      <c r="H91" s="132" t="inlineStr">
        <is>
          <t>gasoline</t>
        </is>
      </c>
    </row>
    <row r="92">
      <c r="B92" s="135" t="inlineStr">
        <is>
          <t>Motor Gasoline -oxydation catalyst</t>
        </is>
      </c>
      <c r="C92" s="137" t="inlineStr">
        <is>
          <t>litre</t>
        </is>
      </c>
      <c r="D92" s="134" t="n">
        <v>69300</v>
      </c>
      <c r="E92" s="145" t="n">
        <v>25</v>
      </c>
      <c r="F92" s="134" t="n">
        <v>8</v>
      </c>
      <c r="G92" s="1627" t="n">
        <v>31.48</v>
      </c>
      <c r="H92" s="132" t="n"/>
    </row>
    <row r="93">
      <c r="B93" s="135" t="inlineStr">
        <is>
          <t>Motor Gasoline - low mileage light duty vihicle vintage 1995 or later</t>
        </is>
      </c>
      <c r="C93" s="137" t="inlineStr">
        <is>
          <t>litre</t>
        </is>
      </c>
      <c r="D93" s="134" t="n">
        <v>69300</v>
      </c>
      <c r="E93" s="145" t="n">
        <v>3.8</v>
      </c>
      <c r="F93" s="134" t="n">
        <v>5.7</v>
      </c>
      <c r="G93" s="1627" t="n">
        <v>31.48</v>
      </c>
      <c r="H93" s="132" t="n"/>
    </row>
    <row r="94">
      <c r="B94" s="135" t="inlineStr">
        <is>
          <t>Gas/ Diesel Oil</t>
        </is>
      </c>
      <c r="C94" s="137" t="inlineStr">
        <is>
          <t>litre</t>
        </is>
      </c>
      <c r="D94" s="134" t="n">
        <v>74100</v>
      </c>
      <c r="E94" s="145" t="n">
        <v>3.9</v>
      </c>
      <c r="F94" s="134" t="n">
        <v>3.9</v>
      </c>
      <c r="G94" s="1627">
        <f>G74</f>
        <v/>
      </c>
      <c r="H94" s="132" t="n"/>
    </row>
    <row r="95">
      <c r="B95" s="135" t="inlineStr">
        <is>
          <t>Compressed Natural Gas</t>
        </is>
      </c>
      <c r="C95" s="137" t="inlineStr">
        <is>
          <t>kg</t>
        </is>
      </c>
      <c r="D95" s="134" t="n">
        <v>56100</v>
      </c>
      <c r="E95" s="145" t="n">
        <v>92</v>
      </c>
      <c r="F95" s="134" t="n">
        <v>3</v>
      </c>
      <c r="G95" s="1627" t="n">
        <v>37.9</v>
      </c>
      <c r="H95" s="132" t="inlineStr">
        <is>
          <t>*ref. from PTT</t>
        </is>
      </c>
    </row>
    <row r="96">
      <c r="B96" s="135" t="inlineStr">
        <is>
          <t>Liquified Petroleum Gas</t>
        </is>
      </c>
      <c r="C96" s="137" t="inlineStr">
        <is>
          <t>litre</t>
        </is>
      </c>
      <c r="D96" s="134" t="n">
        <v>63100</v>
      </c>
      <c r="E96" s="145" t="n">
        <v>62</v>
      </c>
      <c r="F96" s="134" t="n">
        <v>0.2</v>
      </c>
      <c r="G96" s="1627">
        <f>G78</f>
        <v/>
      </c>
      <c r="H96" s="132" t="n"/>
    </row>
    <row r="97">
      <c r="D97" s="1611" t="n"/>
      <c r="E97" s="1611" t="n"/>
      <c r="F97" s="1611" t="n"/>
      <c r="G97" s="1620" t="n"/>
      <c r="H97" s="132" t="n"/>
    </row>
    <row r="98" customFormat="1" s="141">
      <c r="A98" s="140" t="inlineStr">
        <is>
          <t xml:space="preserve">Mobile Combustion (Off road) </t>
        </is>
      </c>
      <c r="B98" s="159" t="n"/>
      <c r="C98" s="159" t="n"/>
      <c r="D98" s="1612" t="n"/>
      <c r="E98" s="1613" t="n"/>
      <c r="F98" s="1612" t="n"/>
      <c r="G98" s="1625" t="n"/>
    </row>
    <row r="99">
      <c r="D99" s="1618" t="inlineStr">
        <is>
          <t>IPCC</t>
        </is>
      </c>
      <c r="E99" s="1414" t="n"/>
      <c r="F99" s="1414" t="n"/>
      <c r="G99" s="1626" t="inlineStr">
        <is>
          <t>DEDE</t>
        </is>
      </c>
      <c r="H99" s="132" t="n"/>
    </row>
    <row r="100">
      <c r="B100" s="135" t="n"/>
      <c r="C100" s="133" t="n"/>
      <c r="D100" s="1616" t="inlineStr">
        <is>
          <t>[kg/TJ]</t>
        </is>
      </c>
      <c r="E100" s="1415" t="n"/>
      <c r="F100" s="1416" t="n"/>
      <c r="G100" s="1627" t="inlineStr">
        <is>
          <t>[MJ/unit]</t>
        </is>
      </c>
      <c r="H100" s="132" t="n"/>
    </row>
    <row r="101">
      <c r="B101" s="135" t="n"/>
      <c r="C101" s="137" t="inlineStr">
        <is>
          <t>unit</t>
        </is>
      </c>
      <c r="D101" s="134" t="inlineStr">
        <is>
          <t>CO2</t>
        </is>
      </c>
      <c r="E101" s="1616" t="inlineStr">
        <is>
          <t>CH4</t>
        </is>
      </c>
      <c r="F101" s="134" t="inlineStr">
        <is>
          <t>N2O</t>
        </is>
      </c>
      <c r="G101" s="1627" t="inlineStr">
        <is>
          <t>NCV</t>
        </is>
      </c>
      <c r="H101" s="132" t="n"/>
    </row>
    <row r="102">
      <c r="B102" s="138" t="inlineStr">
        <is>
          <t>Diesel</t>
        </is>
      </c>
      <c r="C102" s="137" t="n"/>
      <c r="D102" s="134" t="n"/>
      <c r="E102" s="145" t="n"/>
      <c r="F102" s="134" t="n"/>
      <c r="G102" s="1627" t="n"/>
      <c r="H102" s="132" t="n"/>
    </row>
    <row r="103">
      <c r="B103" s="139" t="inlineStr">
        <is>
          <t>- Agriculture</t>
        </is>
      </c>
      <c r="C103" s="137" t="inlineStr">
        <is>
          <t>litre</t>
        </is>
      </c>
      <c r="D103" s="134" t="n">
        <v>74100</v>
      </c>
      <c r="E103" s="145" t="n">
        <v>4.15</v>
      </c>
      <c r="F103" s="134" t="n">
        <v>28.6</v>
      </c>
      <c r="G103" s="1627" t="n">
        <v>36.42</v>
      </c>
      <c r="H103" s="132" t="n"/>
    </row>
    <row r="104">
      <c r="B104" s="139" t="inlineStr">
        <is>
          <t xml:space="preserve">- Forestry </t>
        </is>
      </c>
      <c r="C104" s="137" t="inlineStr">
        <is>
          <t>litre</t>
        </is>
      </c>
      <c r="D104" s="134" t="n">
        <v>74100</v>
      </c>
      <c r="E104" s="145" t="n">
        <v>4.15</v>
      </c>
      <c r="F104" s="134" t="n">
        <v>28.6</v>
      </c>
      <c r="G104" s="1627" t="n">
        <v>36.42</v>
      </c>
      <c r="H104" s="132" t="n"/>
    </row>
    <row r="105">
      <c r="B105" s="139" t="inlineStr">
        <is>
          <t xml:space="preserve">- Industry </t>
        </is>
      </c>
      <c r="C105" s="137" t="inlineStr">
        <is>
          <t>litre</t>
        </is>
      </c>
      <c r="D105" s="134" t="n">
        <v>74100</v>
      </c>
      <c r="E105" s="145" t="n">
        <v>4.15</v>
      </c>
      <c r="F105" s="134" t="n">
        <v>28.6</v>
      </c>
      <c r="G105" s="1627" t="n">
        <v>36.42</v>
      </c>
      <c r="H105" s="132" t="n"/>
    </row>
    <row r="106">
      <c r="B106" s="139" t="inlineStr">
        <is>
          <t>- Household</t>
        </is>
      </c>
      <c r="C106" s="137" t="inlineStr">
        <is>
          <t>litre</t>
        </is>
      </c>
      <c r="D106" s="134" t="n">
        <v>74100</v>
      </c>
      <c r="E106" s="145" t="n">
        <v>4.15</v>
      </c>
      <c r="F106" s="134" t="n">
        <v>28.6</v>
      </c>
      <c r="G106" s="1627" t="n">
        <v>36.42</v>
      </c>
      <c r="H106" s="132" t="n"/>
    </row>
    <row r="107">
      <c r="B107" s="138" t="inlineStr">
        <is>
          <t>Motor Gasoline - 4 stroke</t>
        </is>
      </c>
      <c r="C107" s="137" t="n"/>
      <c r="D107" s="134" t="n"/>
      <c r="E107" s="145" t="n"/>
      <c r="F107" s="134" t="n"/>
      <c r="G107" s="1627" t="n"/>
      <c r="H107" s="132" t="n"/>
    </row>
    <row r="108">
      <c r="B108" s="139" t="inlineStr">
        <is>
          <t>- Agriculture</t>
        </is>
      </c>
      <c r="C108" s="137" t="inlineStr">
        <is>
          <t>litre</t>
        </is>
      </c>
      <c r="D108" s="146" t="n">
        <v>69300</v>
      </c>
      <c r="E108" s="146" t="n">
        <v>80</v>
      </c>
      <c r="F108" s="146" t="n">
        <v>2</v>
      </c>
      <c r="G108" s="1627" t="n">
        <v>31.48</v>
      </c>
      <c r="H108" s="132" t="n"/>
    </row>
    <row r="109">
      <c r="B109" s="139" t="inlineStr">
        <is>
          <t xml:space="preserve">- Forestry </t>
        </is>
      </c>
      <c r="C109" s="137" t="inlineStr">
        <is>
          <t>litre</t>
        </is>
      </c>
      <c r="D109" s="146" t="n">
        <v>69300</v>
      </c>
      <c r="E109" s="146" t="n"/>
      <c r="F109" s="146" t="n"/>
      <c r="G109" s="1627" t="n">
        <v>31.48</v>
      </c>
      <c r="H109" s="132" t="n"/>
    </row>
    <row r="110">
      <c r="B110" s="139" t="inlineStr">
        <is>
          <t xml:space="preserve">- Industry </t>
        </is>
      </c>
      <c r="C110" s="137" t="inlineStr">
        <is>
          <t>litre</t>
        </is>
      </c>
      <c r="D110" s="146" t="n">
        <v>69300</v>
      </c>
      <c r="E110" s="146" t="n">
        <v>50</v>
      </c>
      <c r="F110" s="146" t="n">
        <v>2</v>
      </c>
      <c r="G110" s="1627" t="n">
        <v>31.48</v>
      </c>
      <c r="H110" s="132" t="n"/>
    </row>
    <row r="111">
      <c r="B111" s="139" t="inlineStr">
        <is>
          <t>- Household</t>
        </is>
      </c>
      <c r="C111" s="137" t="inlineStr">
        <is>
          <t>litre</t>
        </is>
      </c>
      <c r="D111" s="146" t="n">
        <v>69300</v>
      </c>
      <c r="E111" s="146" t="n">
        <v>120</v>
      </c>
      <c r="F111" s="146" t="n">
        <v>2</v>
      </c>
      <c r="G111" s="1627" t="n">
        <v>31.48</v>
      </c>
      <c r="H111" s="132" t="n"/>
    </row>
    <row r="112">
      <c r="B112" s="138" t="inlineStr">
        <is>
          <t>Motor Gasoline - 2 stroke</t>
        </is>
      </c>
      <c r="C112" s="133" t="n"/>
      <c r="D112" s="1619" t="n"/>
      <c r="E112" s="1619" t="n"/>
      <c r="F112" s="1619" t="n"/>
      <c r="G112" s="1628" t="n"/>
      <c r="H112" s="132" t="n"/>
    </row>
    <row r="113">
      <c r="B113" s="139" t="inlineStr">
        <is>
          <t>- Agriculture</t>
        </is>
      </c>
      <c r="C113" s="137" t="inlineStr">
        <is>
          <t>litre</t>
        </is>
      </c>
      <c r="D113" s="146" t="n">
        <v>69300</v>
      </c>
      <c r="E113" s="146" t="n">
        <v>140</v>
      </c>
      <c r="F113" s="146" t="n">
        <v>0.4</v>
      </c>
      <c r="G113" s="1627" t="n">
        <v>31.48</v>
      </c>
      <c r="H113" s="132" t="n"/>
    </row>
    <row r="114">
      <c r="B114" s="139" t="inlineStr">
        <is>
          <t xml:space="preserve">- Forestry </t>
        </is>
      </c>
      <c r="C114" s="137" t="inlineStr">
        <is>
          <t>litre</t>
        </is>
      </c>
      <c r="D114" s="146" t="n">
        <v>69300</v>
      </c>
      <c r="E114" s="146" t="n">
        <v>170</v>
      </c>
      <c r="F114" s="146" t="n">
        <v>0.4</v>
      </c>
      <c r="G114" s="1627" t="n">
        <v>31.48</v>
      </c>
      <c r="H114" s="132" t="n"/>
    </row>
    <row r="115">
      <c r="B115" s="139" t="inlineStr">
        <is>
          <t xml:space="preserve">- Industry </t>
        </is>
      </c>
      <c r="C115" s="137" t="inlineStr">
        <is>
          <t>litre</t>
        </is>
      </c>
      <c r="D115" s="146" t="n">
        <v>69300</v>
      </c>
      <c r="E115" s="146" t="n">
        <v>130</v>
      </c>
      <c r="F115" s="146" t="n">
        <v>0.4</v>
      </c>
      <c r="G115" s="1627" t="n">
        <v>31.48</v>
      </c>
      <c r="H115" s="132" t="n"/>
    </row>
    <row r="116">
      <c r="B116" s="139" t="inlineStr">
        <is>
          <t>- Household</t>
        </is>
      </c>
      <c r="C116" s="137" t="inlineStr">
        <is>
          <t>litre</t>
        </is>
      </c>
      <c r="D116" s="146" t="n">
        <v>69300</v>
      </c>
      <c r="E116" s="146" t="n">
        <v>180</v>
      </c>
      <c r="F116" s="146" t="n">
        <v>0.4</v>
      </c>
      <c r="G116" s="1627" t="n">
        <v>31.48</v>
      </c>
      <c r="H116" s="132" t="n"/>
    </row>
    <row r="117">
      <c r="D117" s="1611" t="n"/>
      <c r="E117" s="1611" t="n"/>
      <c r="F117" s="1611" t="n"/>
      <c r="G117" s="1620" t="n"/>
      <c r="H117" s="132" t="n"/>
    </row>
    <row r="118">
      <c r="D118" s="1611" t="n"/>
      <c r="E118" s="1611" t="n"/>
      <c r="F118" s="1611" t="n"/>
      <c r="G118" s="1620" t="n"/>
      <c r="H118" s="132" t="n"/>
    </row>
    <row r="119">
      <c r="D119" s="1611" t="n"/>
      <c r="E119" s="1611" t="n"/>
      <c r="F119" s="1611" t="n"/>
      <c r="G119" s="1620" t="n"/>
      <c r="H119" s="132" t="n"/>
    </row>
    <row r="120">
      <c r="D120" s="1611" t="n"/>
      <c r="E120" s="1611" t="n"/>
      <c r="F120" s="1611" t="n"/>
      <c r="G120" s="1620" t="n"/>
      <c r="H120" s="132" t="n"/>
    </row>
    <row r="121">
      <c r="D121" s="1611" t="n"/>
      <c r="E121" s="1611" t="n"/>
      <c r="F121" s="1611" t="n"/>
      <c r="G121" s="1620" t="n"/>
      <c r="H121" s="132" t="n"/>
    </row>
    <row r="122">
      <c r="D122" s="1611" t="n"/>
      <c r="E122" s="1611" t="n"/>
      <c r="F122" s="1611" t="n"/>
      <c r="G122" s="1620" t="n"/>
      <c r="H122" s="132" t="n"/>
    </row>
    <row r="123">
      <c r="D123" s="1611" t="n"/>
      <c r="E123" s="1611" t="n"/>
      <c r="F123" s="1611" t="n"/>
      <c r="G123" s="1620" t="n"/>
      <c r="H123" s="132" t="n"/>
    </row>
    <row r="124">
      <c r="D124" s="1611" t="n"/>
      <c r="E124" s="1611" t="n"/>
      <c r="F124" s="1611" t="n"/>
      <c r="G124" s="1611" t="n"/>
    </row>
    <row r="125">
      <c r="D125" s="1611" t="n"/>
      <c r="E125" s="1611" t="n"/>
      <c r="F125" s="1611" t="n"/>
      <c r="G125" s="1611" t="n"/>
    </row>
    <row r="126">
      <c r="D126" s="1611" t="n"/>
      <c r="E126" s="1611" t="n"/>
      <c r="F126" s="1611" t="n"/>
      <c r="G126" s="1611" t="n"/>
    </row>
    <row r="127">
      <c r="D127" s="1611" t="n"/>
      <c r="E127" s="1611" t="n"/>
      <c r="F127" s="1611" t="n"/>
      <c r="G127" s="1611" t="n"/>
    </row>
    <row r="128">
      <c r="D128" s="1611" t="n"/>
      <c r="E128" s="1611" t="n"/>
      <c r="F128" s="1611" t="n"/>
      <c r="G128" s="1611" t="n"/>
    </row>
    <row r="129">
      <c r="D129" s="1611" t="n"/>
      <c r="E129" s="1611" t="n"/>
      <c r="F129" s="1611" t="n"/>
      <c r="G129" s="1611" t="n"/>
    </row>
    <row r="130">
      <c r="D130" s="1611" t="n"/>
      <c r="E130" s="1611" t="n"/>
      <c r="F130" s="1611" t="n"/>
      <c r="G130" s="1611" t="n"/>
    </row>
    <row r="131">
      <c r="D131" s="1611" t="n"/>
      <c r="E131" s="1611" t="n"/>
      <c r="F131" s="1611" t="n"/>
      <c r="G131" s="1611" t="n"/>
    </row>
    <row r="132">
      <c r="D132" s="1611" t="n"/>
      <c r="E132" s="1611" t="n"/>
      <c r="F132" s="1611" t="n"/>
      <c r="G132" s="1611" t="n"/>
    </row>
    <row r="133">
      <c r="D133" s="1611" t="n"/>
      <c r="E133" s="1611" t="n"/>
      <c r="F133" s="1611" t="n"/>
      <c r="G133" s="1611" t="n"/>
    </row>
    <row r="134">
      <c r="D134" s="1611" t="n"/>
      <c r="E134" s="1611" t="n"/>
      <c r="F134" s="1611" t="n"/>
      <c r="G134" s="1611" t="n"/>
    </row>
    <row r="135">
      <c r="D135" s="1611" t="n"/>
      <c r="E135" s="1611" t="n"/>
      <c r="F135" s="1611" t="n"/>
      <c r="G135" s="1611" t="n"/>
    </row>
    <row r="136">
      <c r="D136" s="1611" t="n"/>
      <c r="E136" s="1611" t="n"/>
      <c r="F136" s="1611" t="n"/>
      <c r="G136" s="1611" t="n"/>
    </row>
    <row r="137">
      <c r="D137" s="1611" t="n"/>
      <c r="E137" s="1611" t="n"/>
      <c r="F137" s="1611" t="n"/>
      <c r="G137" s="1611" t="n"/>
    </row>
    <row r="138">
      <c r="D138" s="1611" t="n"/>
      <c r="E138" s="1611" t="n"/>
      <c r="F138" s="1611" t="n"/>
      <c r="G138" s="1611" t="n"/>
    </row>
    <row r="139">
      <c r="D139" s="1611" t="n"/>
      <c r="E139" s="1611" t="n"/>
      <c r="F139" s="1611" t="n"/>
      <c r="G139" s="1611" t="n"/>
    </row>
    <row r="140">
      <c r="D140" s="1611" t="n"/>
      <c r="E140" s="1611" t="n"/>
      <c r="F140" s="1611" t="n"/>
      <c r="G140" s="1611" t="n"/>
    </row>
    <row r="141">
      <c r="D141" s="1611" t="n"/>
      <c r="E141" s="1611" t="n"/>
      <c r="F141" s="1611" t="n"/>
      <c r="G141" s="1611" t="n"/>
    </row>
    <row r="142">
      <c r="D142" s="1611" t="n"/>
      <c r="E142" s="1611" t="n"/>
      <c r="F142" s="1611" t="n"/>
      <c r="G142" s="1611" t="n"/>
    </row>
    <row r="143">
      <c r="D143" s="1611" t="n"/>
      <c r="E143" s="1611" t="n"/>
      <c r="F143" s="1611" t="n"/>
      <c r="G143" s="1611" t="n"/>
    </row>
    <row r="144">
      <c r="D144" s="1611" t="n"/>
      <c r="E144" s="1611" t="n"/>
      <c r="F144" s="1611" t="n"/>
      <c r="G144" s="1611" t="n"/>
    </row>
    <row r="145">
      <c r="D145" s="1611" t="n"/>
      <c r="E145" s="1611" t="n"/>
      <c r="F145" s="1611" t="n"/>
      <c r="G145" s="1611" t="n"/>
    </row>
    <row r="146">
      <c r="D146" s="1611" t="n"/>
      <c r="E146" s="1611" t="n"/>
      <c r="F146" s="1611" t="n"/>
      <c r="G146" s="1611" t="n"/>
    </row>
    <row r="147">
      <c r="D147" s="1611" t="n"/>
      <c r="E147" s="1611" t="n"/>
      <c r="F147" s="1611" t="n"/>
      <c r="G147" s="1611" t="n"/>
    </row>
    <row r="148">
      <c r="D148" s="1611" t="n"/>
      <c r="E148" s="1611" t="n"/>
      <c r="F148" s="1611" t="n"/>
      <c r="G148" s="1611" t="n"/>
    </row>
    <row r="149">
      <c r="D149" s="1611" t="n"/>
      <c r="E149" s="1611" t="n"/>
      <c r="F149" s="1611" t="n"/>
      <c r="G149" s="1611" t="n"/>
    </row>
    <row r="150">
      <c r="D150" s="1611" t="n"/>
      <c r="E150" s="1611" t="n"/>
      <c r="F150" s="1611" t="n"/>
      <c r="G150" s="1611" t="n"/>
    </row>
    <row r="151">
      <c r="D151" s="1611" t="n"/>
      <c r="E151" s="1611" t="n"/>
      <c r="F151" s="1611" t="n"/>
      <c r="G151" s="1611" t="n"/>
    </row>
    <row r="152">
      <c r="D152" s="1611" t="n"/>
      <c r="E152" s="1611" t="n"/>
      <c r="F152" s="1611" t="n"/>
      <c r="G152" s="1611" t="n"/>
    </row>
    <row r="153">
      <c r="D153" s="1611" t="n"/>
      <c r="E153" s="1611" t="n"/>
      <c r="F153" s="1611" t="n"/>
      <c r="G153" s="1611" t="n"/>
    </row>
    <row r="154">
      <c r="D154" s="1611" t="n"/>
      <c r="E154" s="1611" t="n"/>
      <c r="F154" s="1611" t="n"/>
      <c r="G154" s="1611" t="n"/>
    </row>
    <row r="155">
      <c r="D155" s="1611" t="n"/>
      <c r="E155" s="1611" t="n"/>
      <c r="F155" s="1611" t="n"/>
      <c r="G155" s="1611" t="n"/>
    </row>
    <row r="156">
      <c r="D156" s="1611" t="n"/>
      <c r="E156" s="1611" t="n"/>
      <c r="F156" s="1611" t="n"/>
      <c r="G156" s="1611" t="n"/>
    </row>
    <row r="157">
      <c r="D157" s="1611" t="n"/>
      <c r="E157" s="1611" t="n"/>
      <c r="F157" s="1611" t="n"/>
      <c r="G157" s="1611" t="n"/>
    </row>
    <row r="158">
      <c r="D158" s="1611" t="n"/>
      <c r="E158" s="1611" t="n"/>
      <c r="F158" s="1611" t="n"/>
      <c r="G158" s="1611" t="n"/>
    </row>
    <row r="159">
      <c r="D159" s="1611" t="n"/>
      <c r="E159" s="1611" t="n"/>
      <c r="F159" s="1611" t="n"/>
      <c r="G159" s="1611" t="n"/>
    </row>
    <row r="160">
      <c r="D160" s="1611" t="n"/>
      <c r="E160" s="1611" t="n"/>
      <c r="F160" s="1611" t="n"/>
      <c r="G160" s="1611" t="n"/>
    </row>
    <row r="161">
      <c r="D161" s="1611" t="n"/>
      <c r="E161" s="1611" t="n"/>
      <c r="F161" s="1611" t="n"/>
      <c r="G161" s="1611" t="n"/>
    </row>
    <row r="162">
      <c r="D162" s="1611" t="n"/>
      <c r="E162" s="1611" t="n"/>
      <c r="F162" s="1611" t="n"/>
      <c r="G162" s="1611" t="n"/>
    </row>
    <row r="163">
      <c r="D163" s="1611" t="n"/>
      <c r="E163" s="1611" t="n"/>
      <c r="F163" s="1611" t="n"/>
      <c r="G163" s="1611" t="n"/>
    </row>
    <row r="164">
      <c r="D164" s="1611" t="n"/>
      <c r="E164" s="1611" t="n"/>
      <c r="F164" s="1611" t="n"/>
      <c r="G164" s="1611" t="n"/>
    </row>
    <row r="165">
      <c r="D165" s="1611" t="n"/>
      <c r="E165" s="1611" t="n"/>
      <c r="F165" s="1611" t="n"/>
      <c r="G165" s="1611" t="n"/>
    </row>
    <row r="166">
      <c r="D166" s="1611" t="n"/>
      <c r="E166" s="1611" t="n"/>
      <c r="F166" s="1611" t="n"/>
      <c r="G166" s="1611" t="n"/>
    </row>
    <row r="167">
      <c r="D167" s="1611" t="n"/>
      <c r="E167" s="1611" t="n"/>
      <c r="F167" s="1611" t="n"/>
      <c r="G167" s="1611" t="n"/>
    </row>
    <row r="168">
      <c r="D168" s="1611" t="n"/>
      <c r="E168" s="1611" t="n"/>
      <c r="F168" s="1611" t="n"/>
      <c r="G168" s="1611" t="n"/>
    </row>
    <row r="169">
      <c r="D169" s="1611" t="n"/>
      <c r="E169" s="1611" t="n"/>
      <c r="F169" s="1611" t="n"/>
      <c r="G169" s="1611" t="n"/>
    </row>
    <row r="170">
      <c r="D170" s="1611" t="n"/>
      <c r="E170" s="1611" t="n"/>
      <c r="F170" s="1611" t="n"/>
      <c r="G170" s="1611" t="n"/>
    </row>
    <row r="171">
      <c r="D171" s="1611" t="n"/>
      <c r="E171" s="1611" t="n"/>
      <c r="F171" s="1611" t="n"/>
      <c r="G171" s="1611" t="n"/>
    </row>
    <row r="172">
      <c r="D172" s="1611" t="n"/>
      <c r="E172" s="1611" t="n"/>
      <c r="F172" s="1611" t="n"/>
      <c r="G172" s="1611" t="n"/>
    </row>
    <row r="173">
      <c r="D173" s="1611" t="n"/>
      <c r="E173" s="1611" t="n"/>
      <c r="F173" s="1611" t="n"/>
      <c r="G173" s="1611" t="n"/>
    </row>
    <row r="174">
      <c r="D174" s="1611" t="n"/>
      <c r="E174" s="1611" t="n"/>
      <c r="F174" s="1611" t="n"/>
      <c r="G174" s="1611" t="n"/>
    </row>
    <row r="175">
      <c r="D175" s="1611" t="n"/>
      <c r="E175" s="1611" t="n"/>
      <c r="F175" s="1611" t="n"/>
      <c r="G175" s="1611" t="n"/>
    </row>
    <row r="176">
      <c r="D176" s="1611" t="n"/>
      <c r="E176" s="1611" t="n"/>
      <c r="F176" s="1611" t="n"/>
      <c r="G176" s="1611" t="n"/>
    </row>
    <row r="177">
      <c r="D177" s="1611" t="n"/>
      <c r="E177" s="1611" t="n"/>
      <c r="F177" s="1611" t="n"/>
      <c r="G177" s="1611" t="n"/>
    </row>
    <row r="178">
      <c r="D178" s="1611" t="n"/>
      <c r="E178" s="1611" t="n"/>
      <c r="F178" s="1611" t="n"/>
      <c r="G178" s="1611" t="n"/>
    </row>
    <row r="179">
      <c r="D179" s="1611" t="n"/>
      <c r="E179" s="1611" t="n"/>
      <c r="F179" s="1611" t="n"/>
      <c r="G179" s="1611" t="n"/>
    </row>
    <row r="180">
      <c r="D180" s="1611" t="n"/>
      <c r="E180" s="1611" t="n"/>
      <c r="F180" s="1611" t="n"/>
      <c r="G180" s="1611" t="n"/>
    </row>
    <row r="181">
      <c r="D181" s="1611" t="n"/>
      <c r="E181" s="1611" t="n"/>
      <c r="F181" s="1611" t="n"/>
      <c r="G181" s="1611" t="n"/>
    </row>
    <row r="182">
      <c r="D182" s="1611" t="n"/>
      <c r="E182" s="1611" t="n"/>
      <c r="F182" s="1611" t="n"/>
      <c r="G182" s="1611" t="n"/>
    </row>
    <row r="183">
      <c r="D183" s="1611" t="n"/>
      <c r="E183" s="1611" t="n"/>
      <c r="F183" s="1611" t="n"/>
      <c r="G183" s="1611" t="n"/>
    </row>
    <row r="184">
      <c r="D184" s="1611" t="n"/>
      <c r="E184" s="1611" t="n"/>
      <c r="F184" s="1611" t="n"/>
      <c r="G184" s="1611" t="n"/>
    </row>
    <row r="185">
      <c r="D185" s="1611" t="n"/>
      <c r="E185" s="1611" t="n"/>
      <c r="F185" s="1611" t="n"/>
      <c r="G185" s="16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1">
    <mergeCell ref="I2:I4"/>
    <mergeCell ref="D99:F99"/>
    <mergeCell ref="D89:F89"/>
    <mergeCell ref="A2:A4"/>
    <mergeCell ref="K2:L2"/>
    <mergeCell ref="C2:C4"/>
    <mergeCell ref="D2:H2"/>
    <mergeCell ref="D88:F88"/>
    <mergeCell ref="B2:B4"/>
    <mergeCell ref="D68:F68"/>
    <mergeCell ref="D100:F100"/>
  </mergeCells>
  <hyperlinks>
    <hyperlink xmlns:r="http://schemas.openxmlformats.org/officeDocument/2006/relationships" ref="E63" r:id="rId1"/>
  </hyperlink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1"/>
  <sheetViews>
    <sheetView topLeftCell="A3" zoomScale="85" zoomScaleNormal="85" workbookViewId="0">
      <selection activeCell="A13" sqref="A13:F19"/>
    </sheetView>
  </sheetViews>
  <sheetFormatPr baseColWidth="8" defaultColWidth="8.8984375" defaultRowHeight="15"/>
  <cols>
    <col width="14.19921875" customWidth="1" style="520" min="1" max="1"/>
    <col width="15" customWidth="1" style="520" min="2" max="3"/>
    <col width="8.8984375" customWidth="1" style="520" min="4" max="4"/>
    <col width="14.19921875" customWidth="1" style="520" min="5" max="5"/>
    <col width="20.296875" customWidth="1" style="520" min="6" max="6"/>
    <col width="35.796875" customWidth="1" style="520" min="7" max="7"/>
    <col width="8.8984375" customWidth="1" style="520" min="8" max="16384"/>
  </cols>
  <sheetData>
    <row r="1">
      <c r="A1" s="523" t="inlineStr">
        <is>
          <t>EF of Acetylene</t>
        </is>
      </c>
    </row>
    <row r="3" ht="18.6" customHeight="1">
      <c r="B3" s="520" t="inlineStr">
        <is>
          <t>2C2H2 + 5O2  " 4CO2 + 2H2O</t>
        </is>
      </c>
    </row>
    <row r="5">
      <c r="A5" s="471" t="n"/>
      <c r="B5" s="471" t="inlineStr">
        <is>
          <t>MW</t>
        </is>
      </c>
      <c r="C5" s="471" t="inlineStr">
        <is>
          <t>#mole</t>
        </is>
      </c>
      <c r="D5" s="521" t="n"/>
    </row>
    <row r="6" ht="18.6" customHeight="1">
      <c r="A6" s="471" t="inlineStr">
        <is>
          <t>C2H2</t>
        </is>
      </c>
      <c r="B6" s="471" t="n">
        <v>26</v>
      </c>
      <c r="C6" s="471" t="n">
        <v>2</v>
      </c>
    </row>
    <row r="7" ht="18.6" customHeight="1">
      <c r="A7" s="471" t="inlineStr">
        <is>
          <t>CO2</t>
        </is>
      </c>
      <c r="B7" s="471" t="n">
        <v>44</v>
      </c>
      <c r="C7" s="471" t="n">
        <v>4</v>
      </c>
    </row>
    <row r="9" ht="18.6" customHeight="1">
      <c r="A9" s="522" t="inlineStr">
        <is>
          <t>Efacetylene =</t>
        </is>
      </c>
      <c r="B9" s="1629">
        <f>(B7*C7)/(B6*C6)</f>
        <v/>
      </c>
      <c r="C9" s="522" t="inlineStr">
        <is>
          <t xml:space="preserve">kg CO2/Kg C2H2 </t>
        </is>
      </c>
    </row>
    <row r="10">
      <c r="B10" s="558" t="n"/>
    </row>
    <row r="11" ht="24" customHeight="1">
      <c r="A11" s="802" t="inlineStr">
        <is>
          <t>สารทำความเย็น</t>
        </is>
      </c>
    </row>
    <row r="12">
      <c r="A12" s="540" t="inlineStr">
        <is>
          <t xml:space="preserve">    สารทำความเย็น</t>
        </is>
      </c>
      <c r="B12" s="541" t="n"/>
      <c r="C12" s="542" t="n"/>
      <c r="D12" s="542" t="n"/>
      <c r="E12" s="542" t="n"/>
      <c r="F12" s="543" t="n"/>
    </row>
    <row r="13">
      <c r="A13" s="1292" t="n">
        <v>1</v>
      </c>
      <c r="B13" s="128" t="inlineStr">
        <is>
          <t>R-123</t>
        </is>
      </c>
      <c r="C13" s="128" t="inlineStr">
        <is>
          <t>HCFC-123</t>
        </is>
      </c>
      <c r="D13" s="1292" t="inlineStr">
        <is>
          <t>kg</t>
        </is>
      </c>
      <c r="E13" s="1630" t="n">
        <v>79</v>
      </c>
      <c r="F13" s="1631" t="inlineStr">
        <is>
          <t>IPCC-AR5 Report</t>
        </is>
      </c>
    </row>
    <row r="14">
      <c r="A14" s="1292" t="n">
        <v>2</v>
      </c>
      <c r="B14" s="128" t="inlineStr">
        <is>
          <t>R-32</t>
        </is>
      </c>
      <c r="C14" s="128" t="inlineStr">
        <is>
          <t>HFC-32</t>
        </is>
      </c>
      <c r="D14" s="1292" t="inlineStr">
        <is>
          <t>kg</t>
        </is>
      </c>
      <c r="E14" s="1630" t="n">
        <v>677</v>
      </c>
      <c r="F14" s="1631" t="inlineStr">
        <is>
          <t>IPCC-AR5 Report</t>
        </is>
      </c>
    </row>
    <row r="15">
      <c r="A15" s="1292" t="n">
        <v>3</v>
      </c>
      <c r="B15" s="128" t="inlineStr">
        <is>
          <t>R-125</t>
        </is>
      </c>
      <c r="C15" s="128" t="inlineStr">
        <is>
          <t>HFC-125</t>
        </is>
      </c>
      <c r="D15" s="1292" t="inlineStr">
        <is>
          <t>kg</t>
        </is>
      </c>
      <c r="E15" s="1630" t="n">
        <v>3170</v>
      </c>
      <c r="F15" s="1631" t="inlineStr">
        <is>
          <t>IPCC-AR5 Report</t>
        </is>
      </c>
    </row>
    <row r="16" ht="41.4" customHeight="1">
      <c r="A16" s="1292" t="n">
        <v>4</v>
      </c>
      <c r="B16" s="128" t="inlineStr">
        <is>
          <t>R410a</t>
        </is>
      </c>
      <c r="C16" s="546" t="inlineStr">
        <is>
          <t>HFC-32 (50%)/HFC-125 (50%)</t>
        </is>
      </c>
      <c r="D16" s="1292" t="inlineStr">
        <is>
          <t>kg</t>
        </is>
      </c>
      <c r="E16" s="1630" t="n">
        <v>1923.5</v>
      </c>
      <c r="F16" s="1631" t="inlineStr">
        <is>
          <t>IPCC-AR5 Report</t>
        </is>
      </c>
    </row>
    <row r="17">
      <c r="A17" s="1292" t="n">
        <v>5</v>
      </c>
      <c r="B17" s="128" t="inlineStr">
        <is>
          <t>HFC-236fa</t>
        </is>
      </c>
      <c r="C17" s="128" t="inlineStr">
        <is>
          <t>HFC-236fa</t>
        </is>
      </c>
      <c r="D17" s="1292" t="inlineStr">
        <is>
          <t>kg</t>
        </is>
      </c>
      <c r="E17" s="1630" t="n">
        <v>8060</v>
      </c>
      <c r="F17" s="1631" t="inlineStr">
        <is>
          <t>IPCC-AR5 Report</t>
        </is>
      </c>
    </row>
    <row r="18" ht="69" customHeight="1">
      <c r="A18" s="1292" t="n">
        <v>6</v>
      </c>
      <c r="B18" s="128" t="inlineStr">
        <is>
          <t>R-404a</t>
        </is>
      </c>
      <c r="C18" s="546" t="inlineStr">
        <is>
          <t>HFC-125 (44%)/HFC-143a (52%)/HFC-134a (4%)</t>
        </is>
      </c>
      <c r="D18" s="1292" t="inlineStr">
        <is>
          <t>kg</t>
        </is>
      </c>
      <c r="E18" s="1630">
        <f>(E15*44/100)+('[1]EF TGO AR5'!H61*52/100)+('[1]EF TGO AR5'!H59*4/100)</f>
        <v/>
      </c>
      <c r="F18" s="1631" t="inlineStr">
        <is>
          <t>IPCC-AR5 Report</t>
        </is>
      </c>
    </row>
    <row r="19" ht="55.2" customHeight="1">
      <c r="A19" s="1292" t="n">
        <v>7</v>
      </c>
      <c r="B19" s="128" t="inlineStr">
        <is>
          <t>R-407c</t>
        </is>
      </c>
      <c r="C19" s="546" t="inlineStr">
        <is>
          <t>HFC-32 (23%)/HFC-125 (25%)/HFC-134a (52%)</t>
        </is>
      </c>
      <c r="D19" s="1292" t="inlineStr">
        <is>
          <t>kg</t>
        </is>
      </c>
      <c r="E19" s="1630">
        <f>(E14*23/100)+(E15*25/100)+('[1]EF TGO AR5'!H59*52/100)</f>
        <v/>
      </c>
      <c r="F19" s="1631" t="inlineStr">
        <is>
          <t>IPCC-AR5 Report</t>
        </is>
      </c>
    </row>
    <row r="20"/>
    <row r="21">
      <c r="A21" s="520" t="inlineStr">
        <is>
          <t>อ้างอิง</t>
        </is>
      </c>
      <c r="B21" s="547" t="inlineStr">
        <is>
          <t>https://ghgprotocol.org/sites/default/files/ghgp/Global-Warming-Potential-Values%20%28Feb%2016%202016%29_1.pdf</t>
        </is>
      </c>
    </row>
    <row r="23">
      <c r="A23" s="523" t="inlineStr">
        <is>
          <t>Biogenic CO2</t>
        </is>
      </c>
    </row>
    <row r="26" ht="15.6" customHeight="1">
      <c r="A26" s="1288" t="inlineStr">
        <is>
          <t>การเผาไหม้</t>
        </is>
      </c>
      <c r="B26" s="1288" t="inlineStr">
        <is>
          <t>รายการ</t>
        </is>
      </c>
      <c r="C26" s="1288" t="inlineStr">
        <is>
          <t>GHG emission (kg CO2/TJ)</t>
        </is>
      </c>
      <c r="D26" s="1415" t="n"/>
      <c r="E26" s="1416" t="n"/>
      <c r="F26" s="1288" t="inlineStr">
        <is>
          <t>NCV (TJ/kg)</t>
        </is>
      </c>
      <c r="G26" s="1288" t="inlineStr">
        <is>
          <t>อ้างอิง</t>
        </is>
      </c>
      <c r="H26" s="228" t="n"/>
      <c r="I26" s="228" t="n"/>
      <c r="J26" s="228" t="n"/>
      <c r="K26" s="228" t="n"/>
    </row>
    <row r="27">
      <c r="A27" s="1417" t="n"/>
      <c r="B27" s="1417" t="n"/>
      <c r="C27" s="1288" t="inlineStr">
        <is>
          <t>CO2</t>
        </is>
      </c>
      <c r="D27" s="1288" t="inlineStr">
        <is>
          <t>CH4</t>
        </is>
      </c>
      <c r="E27" s="1288" t="inlineStr">
        <is>
          <t>N2O</t>
        </is>
      </c>
      <c r="F27" s="1417" t="n"/>
      <c r="G27" s="1417" t="n"/>
      <c r="H27" s="228" t="n"/>
      <c r="I27" s="228" t="n"/>
      <c r="J27" s="228" t="n"/>
      <c r="K27" s="228" t="n"/>
    </row>
    <row r="28">
      <c r="A28" s="1291" t="inlineStr">
        <is>
          <t>Stationary combustion</t>
        </is>
      </c>
      <c r="B28" s="818" t="inlineStr">
        <is>
          <t>Biodiesel</t>
        </is>
      </c>
      <c r="C28" s="1632" t="n">
        <v>70800</v>
      </c>
      <c r="D28" s="1397" t="n">
        <v>3</v>
      </c>
      <c r="E28" s="1397" t="n">
        <v>0.6</v>
      </c>
      <c r="F28" s="806" t="n">
        <v>2.7e-05</v>
      </c>
      <c r="G28" s="258" t="inlineStr">
        <is>
          <t>IPCC, 2006, Volume 2, Chapter 2 Table 2.2</t>
        </is>
      </c>
      <c r="H28" s="228" t="n"/>
      <c r="I28" s="228" t="n"/>
      <c r="J28" s="228" t="n"/>
      <c r="K28" s="228" t="n"/>
    </row>
    <row r="29">
      <c r="A29" s="1417" t="n"/>
      <c r="B29" s="818" t="inlineStr">
        <is>
          <t>Biogasoline (Ethanol)</t>
        </is>
      </c>
      <c r="C29" s="1632" t="n">
        <v>70800</v>
      </c>
      <c r="D29" s="1397" t="n">
        <v>3</v>
      </c>
      <c r="E29" s="1397" t="n">
        <v>0.6</v>
      </c>
      <c r="F29" s="806" t="n">
        <v>2.7e-05</v>
      </c>
      <c r="G29" s="258" t="inlineStr">
        <is>
          <t>IPCC, 2006, Volume 2, Chapter 2 Table 2.2</t>
        </is>
      </c>
      <c r="H29" s="228" t="n"/>
      <c r="I29" s="228" t="n"/>
      <c r="J29" s="228" t="n"/>
      <c r="K29" s="228" t="n"/>
    </row>
    <row r="30" ht="14.4" customHeight="1">
      <c r="A30" s="1291" t="inlineStr">
        <is>
          <t>Mobile combustion (on road)</t>
        </is>
      </c>
      <c r="B30" s="818" t="inlineStr">
        <is>
          <t>Biodiesel</t>
        </is>
      </c>
      <c r="C30" s="1632" t="n">
        <v>70800</v>
      </c>
      <c r="D30" s="1397" t="n">
        <v>4.15</v>
      </c>
      <c r="E30" s="1397" t="n">
        <v>28.6</v>
      </c>
      <c r="F30" s="806" t="n">
        <v>2.7e-05</v>
      </c>
      <c r="G30" s="288" t="inlineStr">
        <is>
          <t>IPCC, 2006, Volume 2, Chapter 3 Table 3.3.1</t>
        </is>
      </c>
      <c r="H30" s="228" t="n"/>
      <c r="I30" s="228" t="n"/>
      <c r="J30" s="228" t="n"/>
      <c r="K30" s="228" t="n"/>
    </row>
    <row r="31" ht="14.4" customHeight="1">
      <c r="A31" s="1417" t="n"/>
      <c r="B31" s="818" t="inlineStr">
        <is>
          <t xml:space="preserve">Ethanol </t>
        </is>
      </c>
      <c r="C31" s="1632" t="n">
        <v>70800</v>
      </c>
      <c r="D31" s="1397" t="n">
        <v>260</v>
      </c>
      <c r="E31" s="1397" t="n">
        <v>41</v>
      </c>
      <c r="F31" s="806" t="n">
        <v>2.7e-05</v>
      </c>
      <c r="G31" s="258" t="inlineStr">
        <is>
          <t>IPCC, 2006, Volume 2, Chapter 3 Table 3.2.2</t>
        </is>
      </c>
      <c r="H31" s="228" t="n"/>
      <c r="I31" s="228" t="n"/>
      <c r="J31" s="228" t="n"/>
      <c r="K31" s="228" t="n"/>
    </row>
    <row r="32" ht="19.2" customHeight="1">
      <c r="A32" s="1291" t="inlineStr">
        <is>
          <t>Mobile combustion (off road)</t>
        </is>
      </c>
      <c r="B32" s="818" t="inlineStr">
        <is>
          <t>Biodiesel</t>
        </is>
      </c>
      <c r="C32" s="1632" t="n">
        <v>70800</v>
      </c>
      <c r="D32" s="1397" t="n">
        <v>4.15</v>
      </c>
      <c r="E32" s="1397" t="n">
        <v>28.6</v>
      </c>
      <c r="F32" s="806" t="n">
        <v>2.7e-05</v>
      </c>
      <c r="G32" s="288" t="inlineStr">
        <is>
          <t>IPCC, 2006, Volume 2, Chapter 3 Table 3.3.1</t>
        </is>
      </c>
      <c r="H32" s="228" t="n"/>
      <c r="I32" s="228" t="n"/>
      <c r="J32" s="228" t="n"/>
      <c r="K32" s="228" t="n"/>
    </row>
    <row r="33" ht="24.6" customHeight="1">
      <c r="A33" s="917" t="inlineStr">
        <is>
          <t>การเผาไหม้</t>
        </is>
      </c>
      <c r="B33" s="454" t="inlineStr">
        <is>
          <t>รายการ</t>
        </is>
      </c>
      <c r="C33" s="1633" t="inlineStr">
        <is>
          <t>CO2 emission (kgCO2/kg)</t>
        </is>
      </c>
      <c r="D33" s="309" t="n"/>
      <c r="E33" s="309" t="n"/>
      <c r="F33" s="916" t="n"/>
      <c r="G33" s="260" t="n"/>
      <c r="H33" s="228" t="n"/>
      <c r="I33" s="228" t="n"/>
      <c r="J33" s="228" t="n"/>
      <c r="K33" s="228" t="n"/>
    </row>
    <row r="34" ht="14.4" customHeight="1">
      <c r="A34" s="1291" t="inlineStr">
        <is>
          <t>Mobile combustion (on road)</t>
        </is>
      </c>
      <c r="B34" s="818" t="inlineStr">
        <is>
          <t>Biodiesel</t>
        </is>
      </c>
      <c r="C34" s="1634">
        <f>9.45/(3.78541*0.88)</f>
        <v/>
      </c>
      <c r="D34" s="309" t="n"/>
      <c r="E34" s="309" t="n"/>
      <c r="F34" s="916" t="n"/>
      <c r="G34" s="260" t="n"/>
      <c r="H34" s="228" t="n"/>
      <c r="I34" s="228" t="n"/>
      <c r="J34" s="228" t="n"/>
      <c r="K34" s="228" t="n"/>
    </row>
    <row r="35" ht="14.4" customHeight="1">
      <c r="A35" s="1417" t="n"/>
      <c r="B35" s="818" t="inlineStr">
        <is>
          <t xml:space="preserve">Ethanol </t>
        </is>
      </c>
      <c r="C35" s="1634">
        <f>5.75/(3.78541*0.79)</f>
        <v/>
      </c>
      <c r="D35" s="309" t="n"/>
      <c r="E35" s="309" t="n"/>
      <c r="F35" s="916" t="n"/>
      <c r="G35" s="260" t="n"/>
      <c r="H35" s="228" t="n"/>
      <c r="I35" s="228" t="n"/>
      <c r="J35" s="228" t="n"/>
      <c r="K35" s="228" t="n"/>
    </row>
    <row r="36" ht="18" customHeight="1">
      <c r="A36" s="1291" t="inlineStr">
        <is>
          <t>Mobile combustion (off road)</t>
        </is>
      </c>
      <c r="B36" s="818" t="inlineStr">
        <is>
          <t>Biodiesel</t>
        </is>
      </c>
      <c r="C36" s="1634">
        <f>9.45/(3.78541*0.88)</f>
        <v/>
      </c>
      <c r="D36" s="309" t="n"/>
      <c r="E36" s="309" t="n"/>
      <c r="F36" s="916" t="n"/>
      <c r="G36" s="260" t="n"/>
      <c r="H36" s="228" t="n"/>
      <c r="I36" s="228" t="n"/>
      <c r="J36" s="228" t="n"/>
      <c r="K36" s="228" t="n"/>
    </row>
    <row r="37">
      <c r="A37" s="228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</row>
    <row r="38">
      <c r="A38" s="228" t="inlineStr">
        <is>
          <t>อ้างอิง</t>
        </is>
      </c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</row>
    <row r="39">
      <c r="A39" s="547" t="inlineStr">
        <is>
          <t>https://www.ipcc-nggip.iges.or.jp/public/2006gl/pdf/2_Volume2/V2_1_Ch1_Introduction.pdf</t>
        </is>
      </c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</row>
    <row r="40">
      <c r="A40" s="547" t="inlineStr">
        <is>
          <t>https://www.ipcc-nggip.iges.or.jp/public/2006gl/pdf/2_Volume2/V2_2_Ch2_Stationary_Combustion.pdf</t>
        </is>
      </c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</row>
    <row r="41">
      <c r="A41" s="547" t="inlineStr">
        <is>
          <t>https://www.ipcc-nggip.iges.or.jp/public/2006gl/pdf/2_Volume2/V2_3_Ch3_Mobile_Combustion.pdf</t>
        </is>
      </c>
    </row>
    <row r="42">
      <c r="A42" s="547" t="inlineStr">
        <is>
          <t>https://www.epa.gov/system/files/documents/2024-02/ghg-emission-factors-hub-2024.pdf</t>
        </is>
      </c>
    </row>
    <row r="113">
      <c r="A113" s="523" t="inlineStr">
        <is>
          <t>EF of Ethanol</t>
        </is>
      </c>
    </row>
    <row r="115" ht="23.4" customHeight="1">
      <c r="B115" s="520" t="inlineStr">
        <is>
          <t>C2H5OH + 3O2  " 2CO2 + 3H2O</t>
        </is>
      </c>
      <c r="E115" s="809" t="n"/>
    </row>
    <row r="117">
      <c r="A117" s="471" t="n"/>
      <c r="B117" s="471" t="inlineStr">
        <is>
          <t>MW</t>
        </is>
      </c>
      <c r="C117" s="471" t="inlineStr">
        <is>
          <t>#mole</t>
        </is>
      </c>
    </row>
    <row r="118" ht="18.6" customHeight="1">
      <c r="A118" s="471" t="inlineStr">
        <is>
          <t>C2H5OH</t>
        </is>
      </c>
      <c r="B118" s="471" t="n">
        <v>46</v>
      </c>
      <c r="C118" s="471" t="n">
        <v>1</v>
      </c>
    </row>
    <row r="119" ht="18.6" customHeight="1">
      <c r="A119" s="471" t="inlineStr">
        <is>
          <t>CO2</t>
        </is>
      </c>
      <c r="B119" s="471" t="n">
        <v>44</v>
      </c>
      <c r="C119" s="471" t="n">
        <v>2</v>
      </c>
    </row>
    <row r="121" ht="18.6" customHeight="1">
      <c r="A121" s="522" t="inlineStr">
        <is>
          <t>Ethanol =</t>
        </is>
      </c>
      <c r="B121" s="1629">
        <f>(B119*C119)/(B118*C118)</f>
        <v/>
      </c>
      <c r="C121" s="522" t="inlineStr">
        <is>
          <t>kg CO2/Kg C2H5OH</t>
        </is>
      </c>
    </row>
  </sheetData>
  <mergeCells count="8">
    <mergeCell ref="A34:A35"/>
    <mergeCell ref="A28:A29"/>
    <mergeCell ref="F26:F27"/>
    <mergeCell ref="A26:A27"/>
    <mergeCell ref="C26:E26"/>
    <mergeCell ref="A30:A31"/>
    <mergeCell ref="B26:B27"/>
    <mergeCell ref="G26:G27"/>
  </mergeCells>
  <hyperlinks>
    <hyperlink xmlns:r="http://schemas.openxmlformats.org/officeDocument/2006/relationships" ref="B21" r:id="rId1"/>
    <hyperlink xmlns:r="http://schemas.openxmlformats.org/officeDocument/2006/relationships" ref="A39" r:id="rId2"/>
    <hyperlink xmlns:r="http://schemas.openxmlformats.org/officeDocument/2006/relationships" ref="A40" r:id="rId3"/>
    <hyperlink xmlns:r="http://schemas.openxmlformats.org/officeDocument/2006/relationships" ref="A41" r:id="rId4"/>
    <hyperlink xmlns:r="http://schemas.openxmlformats.org/officeDocument/2006/relationships" ref="A42" r:id="rId5"/>
  </hyperlink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18" sqref="E18"/>
    </sheetView>
  </sheetViews>
  <sheetFormatPr baseColWidth="8" defaultRowHeight="13.8"/>
  <cols>
    <col width="13.8984375" customWidth="1" min="1" max="1"/>
    <col width="5.8984375" bestFit="1" customWidth="1" min="2" max="2"/>
    <col width="18.09765625" bestFit="1" customWidth="1" min="3" max="3"/>
    <col width="12.3984375" customWidth="1" min="4" max="4"/>
    <col width="74.09765625" customWidth="1" min="5" max="5"/>
    <col hidden="1" width="20.296875" customWidth="1" min="6" max="6"/>
  </cols>
  <sheetData>
    <row r="1">
      <c r="A1" s="1292" t="inlineStr">
        <is>
          <t>บันทึกการแก้ไข</t>
        </is>
      </c>
      <c r="B1" s="1415" t="n"/>
      <c r="C1" s="1415" t="n"/>
      <c r="D1" s="1415" t="n"/>
      <c r="E1" s="1415" t="n"/>
      <c r="F1" s="1416" t="n"/>
    </row>
    <row r="2">
      <c r="A2" s="1292" t="inlineStr">
        <is>
          <t>วันที่</t>
        </is>
      </c>
      <c r="B2" s="1292" t="inlineStr">
        <is>
          <t>ลำดับ</t>
        </is>
      </c>
      <c r="C2" s="1292" t="inlineStr">
        <is>
          <t>Sheet</t>
        </is>
      </c>
      <c r="D2" s="1292" t="inlineStr">
        <is>
          <t>Cell</t>
        </is>
      </c>
      <c r="E2" s="1292" t="inlineStr">
        <is>
          <t>รายละเอียด</t>
        </is>
      </c>
      <c r="F2" s="1292" t="inlineStr">
        <is>
          <t>ผู้ทำการแก้ไข</t>
        </is>
      </c>
    </row>
    <row r="3">
      <c r="A3" s="1292" t="n"/>
      <c r="B3" s="1292" t="n"/>
      <c r="C3" s="1292" t="n"/>
      <c r="D3" s="1292" t="n"/>
      <c r="E3" s="1292" t="n"/>
      <c r="F3" s="1292" t="n"/>
    </row>
    <row r="4">
      <c r="A4" s="127" t="n">
        <v>241864</v>
      </c>
      <c r="B4" s="1292" t="n">
        <v>1</v>
      </c>
      <c r="C4" s="1292" t="inlineStr">
        <is>
          <t>Fr-04</t>
        </is>
      </c>
      <c r="D4" s="1292" t="inlineStr">
        <is>
          <t>AM,AN,AO</t>
        </is>
      </c>
      <c r="E4" s="128" t="inlineStr">
        <is>
          <t>เพิ่มการคำนวณสัดส่วน (%)</t>
        </is>
      </c>
      <c r="F4" s="1292" t="inlineStr">
        <is>
          <t>มนต์ชัย จิตติปัญญากุล</t>
        </is>
      </c>
    </row>
    <row r="5">
      <c r="A5" s="127" t="n">
        <v>241864</v>
      </c>
      <c r="B5" s="1292" t="n">
        <v>2</v>
      </c>
      <c r="C5" s="1292" t="inlineStr">
        <is>
          <t>Fr-05</t>
        </is>
      </c>
      <c r="D5" s="1292" t="inlineStr">
        <is>
          <t>C10-C13</t>
        </is>
      </c>
      <c r="E5" s="128" t="inlineStr">
        <is>
          <t>ลบสูตร Round up</t>
        </is>
      </c>
      <c r="F5" s="1292" t="inlineStr">
        <is>
          <t>มนต์ชัย จิตติปัญญากุล</t>
        </is>
      </c>
    </row>
    <row r="6">
      <c r="A6" s="127" t="n">
        <v>241864</v>
      </c>
      <c r="B6" s="1292" t="n">
        <v>3</v>
      </c>
      <c r="C6" s="1292" t="inlineStr">
        <is>
          <t>Fr-05</t>
        </is>
      </c>
      <c r="D6" s="1292" t="inlineStr">
        <is>
          <t>B15</t>
        </is>
      </c>
      <c r="E6" s="128" t="inlineStr">
        <is>
          <t>เพิ่มการคำนวณรวม Scope 1 &amp; 2 &amp; 3</t>
        </is>
      </c>
      <c r="F6" s="1292" t="inlineStr">
        <is>
          <t>มนต์ชัย จิตติปัญญากุล</t>
        </is>
      </c>
    </row>
    <row r="7">
      <c r="A7" s="127" t="n">
        <v>241864</v>
      </c>
      <c r="B7" s="131" t="n">
        <v>4</v>
      </c>
      <c r="C7" s="1292" t="inlineStr">
        <is>
          <t>TGO_EF</t>
        </is>
      </c>
      <c r="D7" s="2" t="n"/>
      <c r="E7" s="2" t="inlineStr">
        <is>
          <t>เพิ่ม EF  Gasoline Stationary Combustion</t>
        </is>
      </c>
      <c r="F7" s="1292" t="inlineStr">
        <is>
          <t>มนต์ชัย จิตติปัญญากุล</t>
        </is>
      </c>
    </row>
    <row r="8">
      <c r="A8" s="127" t="n">
        <v>242229</v>
      </c>
      <c r="B8" s="131" t="n">
        <v>5</v>
      </c>
      <c r="C8" s="1292" t="inlineStr">
        <is>
          <t>TGO_EF</t>
        </is>
      </c>
      <c r="D8" s="2" t="n"/>
      <c r="E8" s="128" t="inlineStr">
        <is>
          <t>เพิ่ม Sheet EF TGO AR5</t>
        </is>
      </c>
      <c r="F8" s="1292" t="inlineStr">
        <is>
          <t>มนต์ชัย จิตติปัญญากุล</t>
        </is>
      </c>
    </row>
    <row r="9">
      <c r="A9" s="127" t="n">
        <v>242229</v>
      </c>
      <c r="B9" s="131" t="n">
        <v>6</v>
      </c>
      <c r="C9" s="1292" t="inlineStr">
        <is>
          <t>Fr-04</t>
        </is>
      </c>
      <c r="D9" s="2" t="n"/>
      <c r="E9" s="128" t="inlineStr">
        <is>
          <t>แก้ไขสูตรการคำนวณให้ใช้ GWP AR5</t>
        </is>
      </c>
      <c r="F9" s="1292" t="inlineStr">
        <is>
          <t>มนต์ชัย จิตติปัญญากุล</t>
        </is>
      </c>
    </row>
    <row r="10">
      <c r="A10" s="127" t="n">
        <v>242355</v>
      </c>
      <c r="B10" s="131" t="n">
        <v>7</v>
      </c>
      <c r="C10" s="1292" t="inlineStr">
        <is>
          <t>Fr-05</t>
        </is>
      </c>
      <c r="D10" s="2" t="n"/>
      <c r="E10" s="128" t="inlineStr">
        <is>
          <t>ใส่สูตร Roundup ในแต่ละ SCOPE</t>
        </is>
      </c>
      <c r="F10" s="1292" t="inlineStr">
        <is>
          <t>มนต์ชัย จิตติปัญญากุล</t>
        </is>
      </c>
    </row>
    <row r="11">
      <c r="A11" s="127" t="n">
        <v>242433</v>
      </c>
      <c r="B11" s="131" t="n">
        <v>8</v>
      </c>
      <c r="C11" s="1292" t="inlineStr">
        <is>
          <t>TGO_EF</t>
        </is>
      </c>
      <c r="D11" s="2" t="n"/>
      <c r="E11" s="128" t="inlineStr">
        <is>
          <t>เพิ่ม EF  ไฟฟ้า และสารทำความเย็น</t>
        </is>
      </c>
      <c r="F11" s="1292" t="inlineStr">
        <is>
          <t>มนต์ชัย จิตติปัญญากุล</t>
        </is>
      </c>
    </row>
    <row r="12">
      <c r="A12" s="127" t="n">
        <v>242433</v>
      </c>
      <c r="B12" s="131" t="n">
        <v>9</v>
      </c>
      <c r="C12" s="1292" t="inlineStr">
        <is>
          <t>Fr-01 Fr-05</t>
        </is>
      </c>
      <c r="D12" s="2" t="n"/>
      <c r="E12" s="128" t="inlineStr">
        <is>
          <t>เพิ่ม การคำนวณ Carbon Intensity</t>
        </is>
      </c>
      <c r="F12" s="1292" t="inlineStr">
        <is>
          <t>มนต์ชัย จิตติปัญญากุล</t>
        </is>
      </c>
    </row>
    <row r="13">
      <c r="A13" s="127" t="n">
        <v>242783</v>
      </c>
      <c r="B13" s="131" t="n">
        <v>10</v>
      </c>
      <c r="C13" s="1292" t="inlineStr">
        <is>
          <t>Fr-01, Fr-04.2, Fr-05</t>
        </is>
      </c>
      <c r="D13" s="2" t="n"/>
      <c r="E13" s="128" t="inlineStr">
        <is>
          <t>เพิ่ม การคำนวณปีฐาน</t>
        </is>
      </c>
      <c r="F13" s="1292" t="inlineStr">
        <is>
          <t>มนต์ชัย จิตติปัญญากุล</t>
        </is>
      </c>
    </row>
    <row r="14">
      <c r="A14" s="127" t="n">
        <v>242783</v>
      </c>
      <c r="B14" s="131" t="n">
        <v>11</v>
      </c>
      <c r="C14" s="1292" t="inlineStr">
        <is>
          <t>EF TGO AR5</t>
        </is>
      </c>
      <c r="D14" s="2" t="n"/>
      <c r="E14" s="128" t="inlineStr">
        <is>
          <t>เพิ่ม EF Biomass</t>
        </is>
      </c>
      <c r="F14" s="1292" t="inlineStr">
        <is>
          <t>มนต์ชัย จิตติปัญญากุล</t>
        </is>
      </c>
    </row>
    <row r="15">
      <c r="A15" s="127" t="n">
        <v>242783</v>
      </c>
      <c r="B15" s="131" t="n">
        <v>12</v>
      </c>
      <c r="C15" s="1292" t="inlineStr">
        <is>
          <t xml:space="preserve">Fr-03.2 </t>
        </is>
      </c>
      <c r="D15" s="2" t="n"/>
      <c r="E15" s="128" t="inlineStr">
        <is>
          <t>เพิ่ม Fr-03.2 ประเมินความมีนัยสำคัญของการปล่อยก๊าซเรือนกระจกทางอ้อม (SCOPE 3)</t>
        </is>
      </c>
      <c r="F15" s="1292" t="inlineStr">
        <is>
          <t>มนต์ชัย จิตติปัญญากุล</t>
        </is>
      </c>
    </row>
    <row r="16">
      <c r="A16" s="127" t="n">
        <v>242879</v>
      </c>
      <c r="B16" s="131" t="n">
        <v>13</v>
      </c>
      <c r="C16" s="1292" t="inlineStr">
        <is>
          <t>EF TGO AR5</t>
        </is>
      </c>
      <c r="D16" s="2" t="n"/>
      <c r="E16" s="128" t="inlineStr">
        <is>
          <t>เพิ่มค่า GWP Fossil CH4 และแก้ไขการคำนวณ EF การเผาไหม้เชื้อเพลิงฟอสซิล</t>
        </is>
      </c>
      <c r="F16" s="1292" t="inlineStr">
        <is>
          <t>มนต์ชัย จิตติปัญญากุล</t>
        </is>
      </c>
    </row>
    <row r="17">
      <c r="A17" s="127" t="n">
        <v>242879</v>
      </c>
      <c r="B17" s="131" t="n">
        <v>14</v>
      </c>
      <c r="C17" s="1292" t="inlineStr">
        <is>
          <t>Fr-04.1</t>
        </is>
      </c>
      <c r="D17" s="2" t="n"/>
      <c r="E17" s="128" t="inlineStr">
        <is>
          <t>เพิ่มค่า GWP Fossil CH4 และแก้ไขการคำนวณ Total (kgCO2e/หน่วย)</t>
        </is>
      </c>
      <c r="F17" s="1292" t="inlineStr">
        <is>
          <t>มนต์ชัย จิตติปัญญากุล</t>
        </is>
      </c>
    </row>
    <row r="18">
      <c r="A18" s="127" t="n">
        <v>243016</v>
      </c>
      <c r="B18" s="131" t="n">
        <v>15</v>
      </c>
      <c r="C18" s="1292" t="inlineStr">
        <is>
          <t>Fr-04.1</t>
        </is>
      </c>
      <c r="D18" s="2" t="n"/>
      <c r="E18" s="128" t="inlineStr">
        <is>
          <t>เพิ่มคอลัมน์ Fossil CH4</t>
        </is>
      </c>
      <c r="F18" s="1292" t="inlineStr">
        <is>
          <t>มนต์ชัย จิตติปัญญากุล</t>
        </is>
      </c>
    </row>
    <row r="19">
      <c r="A19" s="127" t="n">
        <v>243016</v>
      </c>
      <c r="B19" s="131" t="n">
        <v>16</v>
      </c>
      <c r="C19" s="1292" t="inlineStr">
        <is>
          <t>Fr-04.1</t>
        </is>
      </c>
      <c r="D19" s="2" t="n"/>
      <c r="E19" s="128" t="inlineStr">
        <is>
          <t>เพิ่มคอลัมน์ Fossil CH4</t>
        </is>
      </c>
      <c r="F19" s="1292" t="inlineStr">
        <is>
          <t>มนต์ชัย จิตติปัญญากุล</t>
        </is>
      </c>
    </row>
    <row r="20">
      <c r="A20" s="127" t="n">
        <v>243016</v>
      </c>
      <c r="B20" s="131" t="n">
        <v>17</v>
      </c>
      <c r="C20" s="1292" t="inlineStr">
        <is>
          <t>EF TGO AR5</t>
        </is>
      </c>
      <c r="D20" s="2" t="n"/>
      <c r="E20" s="128" t="inlineStr">
        <is>
          <t>เพิ่มคอลัมน์ Fossil CH4</t>
        </is>
      </c>
      <c r="F20" s="1292" t="inlineStr">
        <is>
          <t>มนต์ชัย จิตติปัญญากุล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P60"/>
  <sheetViews>
    <sheetView tabSelected="1" zoomScale="70" zoomScaleNormal="70" workbookViewId="0">
      <selection activeCell="H24" sqref="H24"/>
    </sheetView>
  </sheetViews>
  <sheetFormatPr baseColWidth="8" defaultColWidth="14.3984375" defaultRowHeight="13.2"/>
  <cols>
    <col width="40.3984375" customWidth="1" style="260" min="1" max="1"/>
    <col width="15" customWidth="1" style="260" min="2" max="2"/>
    <col width="8.796875" customWidth="1" style="260" min="3" max="3"/>
    <col width="12.69921875" customWidth="1" style="260" min="4" max="4"/>
    <col width="12.59765625" customWidth="1" style="260" min="5" max="12"/>
    <col width="13.296875" customWidth="1" style="260" min="13" max="16"/>
    <col width="8.796875" customWidth="1" style="260" min="17" max="27"/>
    <col width="14.3984375" customWidth="1" style="260" min="28" max="16384"/>
  </cols>
  <sheetData>
    <row r="1" ht="21" customHeight="1">
      <c r="A1" s="259" t="inlineStr">
        <is>
          <t>Stationary combustion</t>
        </is>
      </c>
    </row>
    <row r="2" ht="21" customHeight="1">
      <c r="A2" s="1299" t="inlineStr">
        <is>
          <t>รายการ</t>
        </is>
      </c>
      <c r="B2" s="1410" t="n"/>
      <c r="C2" s="1299" t="inlineStr">
        <is>
          <t>ชนิด</t>
        </is>
      </c>
      <c r="D2" s="1299" t="inlineStr">
        <is>
          <t>หลักฐาน</t>
        </is>
      </c>
      <c r="E2" s="1299" t="inlineStr">
        <is>
          <t>หน่วย</t>
        </is>
      </c>
      <c r="F2" s="1299" t="inlineStr">
        <is>
          <t>ปริมาณน้ำมัน</t>
        </is>
      </c>
      <c r="G2" s="1299" t="inlineStr">
        <is>
          <t>Diesel</t>
        </is>
      </c>
      <c r="H2" s="1299" t="inlineStr">
        <is>
          <t>Biodiesel</t>
        </is>
      </c>
      <c r="I2" s="1416" t="n"/>
      <c r="J2" s="1299" t="inlineStr">
        <is>
          <t>Gasoline</t>
        </is>
      </c>
      <c r="K2" s="1299" t="inlineStr">
        <is>
          <t>Ethanol</t>
        </is>
      </c>
      <c r="L2" s="1416" t="n"/>
    </row>
    <row r="3" ht="21" customHeight="1">
      <c r="A3" s="1413" t="n"/>
      <c r="B3" s="830" t="n"/>
      <c r="C3" s="1417" t="n"/>
      <c r="D3" s="1417" t="n"/>
      <c r="E3" s="1417" t="n"/>
      <c r="F3" s="1417" t="n"/>
      <c r="G3" s="1299" t="inlineStr">
        <is>
          <t>L</t>
        </is>
      </c>
      <c r="H3" s="1299" t="inlineStr">
        <is>
          <t>L</t>
        </is>
      </c>
      <c r="I3" s="1299" t="inlineStr">
        <is>
          <t>kg</t>
        </is>
      </c>
      <c r="J3" s="1299" t="inlineStr">
        <is>
          <t>L</t>
        </is>
      </c>
      <c r="K3" s="1299" t="inlineStr">
        <is>
          <t>L</t>
        </is>
      </c>
      <c r="L3" s="1299" t="inlineStr">
        <is>
          <t>kg</t>
        </is>
      </c>
    </row>
    <row r="4" ht="21" customHeight="1">
      <c r="A4" s="1300">
        <f>A9</f>
        <v/>
      </c>
      <c r="B4" s="1416" t="n"/>
      <c r="C4" s="1397" t="inlineStr">
        <is>
          <t>B7</t>
        </is>
      </c>
      <c r="D4" s="288">
        <f>B9</f>
        <v/>
      </c>
      <c r="E4" s="1397" t="inlineStr">
        <is>
          <t>L</t>
        </is>
      </c>
      <c r="F4" s="1635">
        <f>D9</f>
        <v/>
      </c>
      <c r="G4" s="1636">
        <f>F4*0.93</f>
        <v/>
      </c>
      <c r="H4" s="1637">
        <f>F4-G4</f>
        <v/>
      </c>
      <c r="I4" s="1636">
        <f>H4*0.87</f>
        <v/>
      </c>
      <c r="J4" s="288" t="n"/>
      <c r="K4" s="288" t="n"/>
      <c r="L4" s="288" t="n"/>
    </row>
    <row r="5" ht="21" customHeight="1">
      <c r="A5" s="1300">
        <f>A10</f>
        <v/>
      </c>
      <c r="B5" s="1416" t="n"/>
      <c r="C5" s="1397" t="inlineStr">
        <is>
          <t>91/95</t>
        </is>
      </c>
      <c r="D5" s="288">
        <f>B10</f>
        <v/>
      </c>
      <c r="E5" s="1397" t="inlineStr">
        <is>
          <t>L</t>
        </is>
      </c>
      <c r="F5" s="1637">
        <f>D10</f>
        <v/>
      </c>
      <c r="G5" s="288" t="n"/>
      <c r="H5" s="288" t="n"/>
      <c r="I5" s="288" t="n"/>
      <c r="J5" s="1638">
        <f>F5*0.9</f>
        <v/>
      </c>
      <c r="K5" s="1637">
        <f>F5-J5</f>
        <v/>
      </c>
      <c r="L5" s="1638">
        <f>K5*0.79</f>
        <v/>
      </c>
    </row>
    <row r="6" ht="21" customHeight="1">
      <c r="A6" s="259" t="n"/>
    </row>
    <row r="7" ht="21" customHeight="1">
      <c r="A7" s="261" t="inlineStr">
        <is>
          <t>รายการ</t>
        </is>
      </c>
      <c r="B7" s="261" t="inlineStr">
        <is>
          <t>หลักฐาน</t>
        </is>
      </c>
      <c r="C7" s="261" t="inlineStr">
        <is>
          <t xml:space="preserve">หน่วย </t>
        </is>
      </c>
      <c r="D7" s="261" t="inlineStr">
        <is>
          <t>รวม</t>
        </is>
      </c>
      <c r="E7" s="261" t="inlineStr">
        <is>
          <t>ปริมาณการใช้แต่ละเดือน/2566</t>
        </is>
      </c>
      <c r="F7" s="1639" t="n"/>
      <c r="G7" s="1639" t="n"/>
      <c r="H7" s="1639" t="n"/>
      <c r="I7" s="1639" t="n"/>
      <c r="J7" s="1639" t="n"/>
      <c r="K7" s="1639" t="n"/>
      <c r="L7" s="1639" t="n"/>
      <c r="M7" s="1639" t="n"/>
      <c r="N7" s="1639" t="n"/>
      <c r="O7" s="1639" t="n"/>
      <c r="P7" s="1640" t="n"/>
    </row>
    <row r="8" ht="21" customHeight="1">
      <c r="A8" s="1641" t="n"/>
      <c r="B8" s="1641" t="n"/>
      <c r="C8" s="1641" t="n"/>
      <c r="D8" s="1641" t="n"/>
      <c r="E8" s="261" t="n">
        <v>1</v>
      </c>
      <c r="F8" s="261" t="n">
        <v>2</v>
      </c>
      <c r="G8" s="261" t="n">
        <v>3</v>
      </c>
      <c r="H8" s="261" t="n">
        <v>4</v>
      </c>
      <c r="I8" s="261" t="n">
        <v>5</v>
      </c>
      <c r="J8" s="261" t="n">
        <v>6</v>
      </c>
      <c r="K8" s="261" t="n">
        <v>7</v>
      </c>
      <c r="L8" s="261" t="n">
        <v>8</v>
      </c>
      <c r="M8" s="261" t="n">
        <v>9</v>
      </c>
      <c r="N8" s="261" t="n">
        <v>10</v>
      </c>
      <c r="O8" s="261" t="n">
        <v>11</v>
      </c>
      <c r="P8" s="261" t="n">
        <v>12</v>
      </c>
    </row>
    <row r="9" ht="22.2" customHeight="1">
      <c r="A9" s="262">
        <f>IFERROR(INDEX(tblScope11Stationary[ItemLabel],MATCH("DIESEL_B7_STATIONARY",tblScope11Stationary[RowId],0)),"")</f>
        <v/>
      </c>
      <c r="B9" s="263">
        <f>IFERROR(INDEX(tblScope11Stationary[Evidence],MATCH("DIESEL_B7_STATIONARY",tblScope11Stationary[RowId],0)),"")</f>
        <v/>
      </c>
      <c r="C9" s="263">
        <f>IFERROR(INDEX(tblScope11Stationary[Unit],MATCH("DIESEL_B7_STATIONARY",tblScope11Stationary[RowId],0)),"")</f>
        <v/>
      </c>
      <c r="D9" s="1642">
        <f>IF(A9="","",SUM(E9:P9))</f>
        <v/>
      </c>
      <c r="E9" s="1643">
        <f>IFERROR(INDEX(tblScope11Stationary[M1],MATCH("DIESEL_B7_STATIONARY",tblScope11Stationary[RowId],0)),"")</f>
        <v/>
      </c>
      <c r="F9" s="1643">
        <f>IFERROR(INDEX(tblScope11Stationary[M2],MATCH("DIESEL_B7_STATIONARY",tblScope11Stationary[RowId],0)),"")</f>
        <v/>
      </c>
      <c r="G9" s="1643">
        <f>IFERROR(INDEX(tblScope11Stationary[M3],MATCH("DIESEL_B7_STATIONARY",tblScope11Stationary[RowId],0)),"")</f>
        <v/>
      </c>
      <c r="H9" s="1643">
        <f>IFERROR(INDEX(tblScope11Stationary[M4],MATCH("DIESEL_B7_STATIONARY",tblScope11Stationary[RowId],0)),"")</f>
        <v/>
      </c>
      <c r="I9" s="1644">
        <f>IFERROR(INDEX(tblScope11Stationary[M5],MATCH("DIESEL_B7_STATIONARY",tblScope11Stationary[RowId],0)),"")</f>
        <v/>
      </c>
      <c r="J9" s="1643">
        <f>IFERROR(INDEX(tblScope11Stationary[M6],MATCH("DIESEL_B7_STATIONARY",tblScope11Stationary[RowId],0)),"")</f>
        <v/>
      </c>
      <c r="K9" s="1643">
        <f>IFERROR(INDEX(tblScope11Stationary[M7],MATCH("DIESEL_B7_STATIONARY",tblScope11Stationary[RowId],0)),"")</f>
        <v/>
      </c>
      <c r="L9" s="1643">
        <f>IFERROR(INDEX(tblScope11Stationary[M8],MATCH("DIESEL_B7_STATIONARY",tblScope11Stationary[RowId],0)),"")</f>
        <v/>
      </c>
      <c r="M9" s="1644">
        <f>IFERROR(INDEX(tblScope11Stationary[M9],MATCH("DIESEL_B7_STATIONARY",tblScope11Stationary[RowId],0)),"")</f>
        <v/>
      </c>
      <c r="N9" s="1643">
        <f>IFERROR(INDEX(tblScope11Stationary[M10],MATCH("DIESEL_B7_STATIONARY",tblScope11Stationary[RowId],0)),"")</f>
        <v/>
      </c>
      <c r="O9" s="1643">
        <f>IFERROR(INDEX(tblScope11Stationary[M11],MATCH("DIESEL_B7_STATIONARY",tblScope11Stationary[RowId],0)),"")</f>
        <v/>
      </c>
      <c r="P9" s="1644">
        <f>IFERROR(INDEX(tblScope11Stationary[M12],MATCH("DIESEL_B7_STATIONARY",tblScope11Stationary[RowId],0)),"")</f>
        <v/>
      </c>
    </row>
    <row r="10" ht="22.2" customHeight="1">
      <c r="A10" s="262">
        <f>IFERROR(INDEX(tblScope11Stationary[ItemLabel],MATCH("GASOHOL_9195_STATIONARY",tblScope11Stationary[RowId],0)),"")</f>
        <v/>
      </c>
      <c r="B10" s="366">
        <f>IFERROR(INDEX(tblScope11Stationary[Evidence],MATCH("GASOHOL_9195_STATIONARY",tblScope11Stationary[RowId],0)),"")</f>
        <v/>
      </c>
      <c r="C10" s="263">
        <f>IFERROR(INDEX(tblScope11Stationary[Unit],MATCH("GASOHOL_9195_STATIONARY",tblScope11Stationary[RowId],0)),"")</f>
        <v/>
      </c>
      <c r="D10" s="1642">
        <f>IF(A10="","",SUM(E10:P10))</f>
        <v/>
      </c>
      <c r="E10" s="1643">
        <f>IFERROR(INDEX(tblScope11Stationary[M1],MATCH("GASOHOL_9195_STATIONARY",tblScope11Stationary[RowId],0)),"")</f>
        <v/>
      </c>
      <c r="F10" s="1643">
        <f>IFERROR(INDEX(tblScope11Stationary[M2],MATCH("GASOHOL_9195_STATIONARY",tblScope11Stationary[RowId],0)),"")</f>
        <v/>
      </c>
      <c r="G10" s="1643">
        <f>IFERROR(INDEX(tblScope11Stationary[M3],MATCH("GASOHOL_9195_STATIONARY",tblScope11Stationary[RowId],0)),"")</f>
        <v/>
      </c>
      <c r="H10" s="1643">
        <f>IFERROR(INDEX(tblScope11Stationary[M4],MATCH("GASOHOL_9195_STATIONARY",tblScope11Stationary[RowId],0)),"")</f>
        <v/>
      </c>
      <c r="I10" s="1644">
        <f>IFERROR(INDEX(tblScope11Stationary[M5],MATCH("GASOHOL_9195_STATIONARY",tblScope11Stationary[RowId],0)),"")</f>
        <v/>
      </c>
      <c r="J10" s="1643">
        <f>IFERROR(INDEX(tblScope11Stationary[M6],MATCH("GASOHOL_9195_STATIONARY",tblScope11Stationary[RowId],0)),"")</f>
        <v/>
      </c>
      <c r="K10" s="1643">
        <f>IFERROR(INDEX(tblScope11Stationary[M7],MATCH("GASOHOL_9195_STATIONARY",tblScope11Stationary[RowId],0)),"")</f>
        <v/>
      </c>
      <c r="L10" s="1643">
        <f>IFERROR(INDEX(tblScope11Stationary[M8],MATCH("GASOHOL_9195_STATIONARY",tblScope11Stationary[RowId],0)),"")</f>
        <v/>
      </c>
      <c r="M10" s="1644">
        <f>IFERROR(INDEX(tblScope11Stationary[M9],MATCH("GASOHOL_9195_STATIONARY",tblScope11Stationary[RowId],0)),"")</f>
        <v/>
      </c>
      <c r="N10" s="1643">
        <f>IFERROR(INDEX(tblScope11Stationary[M10],MATCH("GASOHOL_9195_STATIONARY",tblScope11Stationary[RowId],0)),"")</f>
        <v/>
      </c>
      <c r="O10" s="1643">
        <f>IFERROR(INDEX(tblScope11Stationary[M11],MATCH("GASOHOL_9195_STATIONARY",tblScope11Stationary[RowId],0)),"")</f>
        <v/>
      </c>
      <c r="P10" s="1644">
        <f>IFERROR(INDEX(tblScope11Stationary[M12],MATCH("GASOHOL_9195_STATIONARY",tblScope11Stationary[RowId],0)),"")</f>
        <v/>
      </c>
    </row>
    <row r="11" ht="22.2" customHeight="1">
      <c r="A11" s="268">
        <f>IF(OR(A12&lt;&gt;"",A14&lt;&gt;""),"Acetylene Gas (?????????)","")</f>
        <v/>
      </c>
      <c r="B11" s="267" t="inlineStr">
        <is>
          <t>ใบกำกับภาษี</t>
        </is>
      </c>
      <c r="C11" s="263">
        <f>IF(A11="","","kg")</f>
        <v/>
      </c>
      <c r="D11" s="1642">
        <f>IF(A11="","",D13+D15)</f>
        <v/>
      </c>
      <c r="E11" s="1643" t="n"/>
      <c r="F11" s="1643" t="n"/>
      <c r="G11" s="1643" t="n"/>
      <c r="H11" s="1643" t="n"/>
      <c r="I11" s="1644" t="n"/>
      <c r="J11" s="1643" t="n"/>
      <c r="K11" s="1643" t="n"/>
      <c r="L11" s="1643" t="n"/>
      <c r="M11" s="1644" t="n"/>
      <c r="N11" s="1643" t="n"/>
      <c r="O11" s="1643" t="n"/>
      <c r="P11" s="1644" t="n"/>
    </row>
    <row r="12" ht="22.2" customHeight="1">
      <c r="A12" s="269">
        <f>IFERROR(INDEX(tblScope11Stationary[ItemLabel],MATCH("ACETYLENE_TANK5_MAINT_2",tblScope11Stationary[RowId],0)),"")</f>
        <v/>
      </c>
      <c r="B12" s="270">
        <f>IFERROR(INDEX(tblScope11Stationary[Evidence],MATCH("ACETYLENE_TANK5_MAINT_2",tblScope11Stationary[RowId],0)),"")</f>
        <v/>
      </c>
      <c r="C12" s="271">
        <f>IFERROR(INDEX(tblScope11Stationary[Unit],MATCH("ACETYLENE_TANK5_MAINT_2",tblScope11Stationary[RowId],0)),"")</f>
        <v/>
      </c>
      <c r="D12" s="1645">
        <f>IF(A12="","",SUM(E12:P12))</f>
        <v/>
      </c>
      <c r="E12" s="1643">
        <f>IFERROR(INDEX(tblScope11Stationary[M1],MATCH("ACETYLENE_TANK5_MAINT_2",tblScope11Stationary[RowId],0)),"")</f>
        <v/>
      </c>
      <c r="F12" s="1643">
        <f>IFERROR(INDEX(tblScope11Stationary[M2],MATCH("ACETYLENE_TANK5_MAINT_2",tblScope11Stationary[RowId],0)),"")</f>
        <v/>
      </c>
      <c r="G12" s="1643">
        <f>IFERROR(INDEX(tblScope11Stationary[M3],MATCH("ACETYLENE_TANK5_MAINT_2",tblScope11Stationary[RowId],0)),"")</f>
        <v/>
      </c>
      <c r="H12" s="1643">
        <f>IFERROR(INDEX(tblScope11Stationary[M4],MATCH("ACETYLENE_TANK5_MAINT_2",tblScope11Stationary[RowId],0)),"")</f>
        <v/>
      </c>
      <c r="I12" s="1643">
        <f>IFERROR(INDEX(tblScope11Stationary[M5],MATCH("ACETYLENE_TANK5_MAINT_2",tblScope11Stationary[RowId],0)),"")</f>
        <v/>
      </c>
      <c r="J12" s="1643">
        <f>IFERROR(INDEX(tblScope11Stationary[M6],MATCH("ACETYLENE_TANK5_MAINT_2",tblScope11Stationary[RowId],0)),"")</f>
        <v/>
      </c>
      <c r="K12" s="1643">
        <f>IFERROR(INDEX(tblScope11Stationary[M7],MATCH("ACETYLENE_TANK5_MAINT_2",tblScope11Stationary[RowId],0)),"")</f>
        <v/>
      </c>
      <c r="L12" s="1643">
        <f>IFERROR(INDEX(tblScope11Stationary[M8],MATCH("ACETYLENE_TANK5_MAINT_2",tblScope11Stationary[RowId],0)),"")</f>
        <v/>
      </c>
      <c r="M12" s="1643">
        <f>IFERROR(INDEX(tblScope11Stationary[M9],MATCH("ACETYLENE_TANK5_MAINT_2",tblScope11Stationary[RowId],0)),"")</f>
        <v/>
      </c>
      <c r="N12" s="1643">
        <f>IFERROR(INDEX(tblScope11Stationary[M10],MATCH("ACETYLENE_TANK5_MAINT_2",tblScope11Stationary[RowId],0)),"")</f>
        <v/>
      </c>
      <c r="O12" s="1643">
        <f>IFERROR(INDEX(tblScope11Stationary[M11],MATCH("ACETYLENE_TANK5_MAINT_2",tblScope11Stationary[RowId],0)),"")</f>
        <v/>
      </c>
      <c r="P12" s="1643">
        <f>IFERROR(INDEX(tblScope11Stationary[M12],MATCH("ACETYLENE_TANK5_MAINT_2",tblScope11Stationary[RowId],0)),"")</f>
        <v/>
      </c>
    </row>
    <row r="13" ht="22.2" customHeight="1">
      <c r="A13" s="273" t="n"/>
      <c r="B13" s="274" t="n"/>
      <c r="C13" s="271" t="inlineStr">
        <is>
          <t>kg</t>
        </is>
      </c>
      <c r="D13" s="1645">
        <f>IF(A12="","",SUM(E13:P13))</f>
        <v/>
      </c>
      <c r="E13" s="1643">
        <f>IF(A12="","",E12*5)</f>
        <v/>
      </c>
      <c r="F13" s="1643">
        <f>IF(A12="","",F12*5)</f>
        <v/>
      </c>
      <c r="G13" s="1643">
        <f>IF(A12="","",G12*5)</f>
        <v/>
      </c>
      <c r="H13" s="1643">
        <f>IF(A12="","",H12*5)</f>
        <v/>
      </c>
      <c r="I13" s="1643">
        <f>IF(A12="","",I12*5)</f>
        <v/>
      </c>
      <c r="J13" s="1643">
        <f>IF(A12="","",J12*5)</f>
        <v/>
      </c>
      <c r="K13" s="1643">
        <f>IF(A12="","",K12*5)</f>
        <v/>
      </c>
      <c r="L13" s="1643">
        <f>IF(A12="","",L12*5)</f>
        <v/>
      </c>
      <c r="M13" s="1643">
        <f>IF(A12="","",M12*5)</f>
        <v/>
      </c>
      <c r="N13" s="1643">
        <f>IF(A12="","",N12*5)</f>
        <v/>
      </c>
      <c r="O13" s="1643">
        <f>IF(A12="","",O12*5)</f>
        <v/>
      </c>
      <c r="P13" s="1643">
        <f>IF(A12="","",P12*5)</f>
        <v/>
      </c>
    </row>
    <row r="14" ht="22.2" customHeight="1">
      <c r="A14" s="269">
        <f>IFERROR(INDEX(tblScope11Stationary[ItemLabel],MATCH("ACETYLENE_TANK5_MAINT_3",tblScope11Stationary[RowId],0)),"")</f>
        <v/>
      </c>
      <c r="B14" s="270">
        <f>IFERROR(INDEX(tblScope11Stationary[Evidence],MATCH("ACETYLENE_TANK5_MAINT_3",tblScope11Stationary[RowId],0)),"")</f>
        <v/>
      </c>
      <c r="C14" s="275">
        <f>IFERROR(INDEX(tblScope11Stationary[Unit],MATCH("ACETYLENE_TANK5_MAINT_3",tblScope11Stationary[RowId],0)),"")</f>
        <v/>
      </c>
      <c r="D14" s="1645">
        <f>IF(A14="","",SUM(E14:P14))</f>
        <v/>
      </c>
      <c r="E14" s="1643">
        <f>IFERROR(INDEX(tblScope11Stationary[M1],MATCH("ACETYLENE_TANK5_MAINT_3",tblScope11Stationary[RowId],0)),"")</f>
        <v/>
      </c>
      <c r="F14" s="1643">
        <f>IFERROR(INDEX(tblScope11Stationary[M2],MATCH("ACETYLENE_TANK5_MAINT_3",tblScope11Stationary[RowId],0)),"")</f>
        <v/>
      </c>
      <c r="G14" s="1643">
        <f>IFERROR(INDEX(tblScope11Stationary[M3],MATCH("ACETYLENE_TANK5_MAINT_3",tblScope11Stationary[RowId],0)),"")</f>
        <v/>
      </c>
      <c r="H14" s="1643">
        <f>IFERROR(INDEX(tblScope11Stationary[M4],MATCH("ACETYLENE_TANK5_MAINT_3",tblScope11Stationary[RowId],0)),"")</f>
        <v/>
      </c>
      <c r="I14" s="1643">
        <f>IFERROR(INDEX(tblScope11Stationary[M5],MATCH("ACETYLENE_TANK5_MAINT_3",tblScope11Stationary[RowId],0)),"")</f>
        <v/>
      </c>
      <c r="J14" s="1643">
        <f>IFERROR(INDEX(tblScope11Stationary[M6],MATCH("ACETYLENE_TANK5_MAINT_3",tblScope11Stationary[RowId],0)),"")</f>
        <v/>
      </c>
      <c r="K14" s="1643">
        <f>IFERROR(INDEX(tblScope11Stationary[M7],MATCH("ACETYLENE_TANK5_MAINT_3",tblScope11Stationary[RowId],0)),"")</f>
        <v/>
      </c>
      <c r="L14" s="1643">
        <f>IFERROR(INDEX(tblScope11Stationary[M8],MATCH("ACETYLENE_TANK5_MAINT_3",tblScope11Stationary[RowId],0)),"")</f>
        <v/>
      </c>
      <c r="M14" s="1643">
        <f>IFERROR(INDEX(tblScope11Stationary[M9],MATCH("ACETYLENE_TANK5_MAINT_3",tblScope11Stationary[RowId],0)),"")</f>
        <v/>
      </c>
      <c r="N14" s="1643">
        <f>IFERROR(INDEX(tblScope11Stationary[M10],MATCH("ACETYLENE_TANK5_MAINT_3",tblScope11Stationary[RowId],0)),"")</f>
        <v/>
      </c>
      <c r="O14" s="1643">
        <f>IFERROR(INDEX(tblScope11Stationary[M11],MATCH("ACETYLENE_TANK5_MAINT_3",tblScope11Stationary[RowId],0)),"")</f>
        <v/>
      </c>
      <c r="P14" s="1643">
        <f>IFERROR(INDEX(tblScope11Stationary[M12],MATCH("ACETYLENE_TANK5_MAINT_3",tblScope11Stationary[RowId],0)),"")</f>
        <v/>
      </c>
    </row>
    <row r="15" ht="22.2" customHeight="1">
      <c r="A15" s="276" t="n"/>
      <c r="B15" s="1357" t="n"/>
      <c r="C15" s="275" t="inlineStr">
        <is>
          <t>Kg</t>
        </is>
      </c>
      <c r="D15" s="1645">
        <f>IF(A14="","",SUM(E15:P15))</f>
        <v/>
      </c>
      <c r="E15" s="1646">
        <f>IF(A14="","",E14*5)</f>
        <v/>
      </c>
      <c r="F15" s="1646">
        <f>IF(A14="","",F14*5)</f>
        <v/>
      </c>
      <c r="G15" s="1646">
        <f>IF(A14="","",G14*5)</f>
        <v/>
      </c>
      <c r="H15" s="1646">
        <f>IF(A14="","",H14*5)</f>
        <v/>
      </c>
      <c r="I15" s="1646">
        <f>IF(A14="","",I14*5)</f>
        <v/>
      </c>
      <c r="J15" s="1646">
        <f>IF(A14="","",J14*5)</f>
        <v/>
      </c>
      <c r="K15" s="1646">
        <f>IF(A14="","",K14*5)</f>
        <v/>
      </c>
      <c r="L15" s="1646">
        <f>IF(A14="","",L14*5)</f>
        <v/>
      </c>
      <c r="M15" s="1646">
        <f>IF(A14="","",M14*5)</f>
        <v/>
      </c>
      <c r="N15" s="1646">
        <f>IF(A14="","",N14*5)</f>
        <v/>
      </c>
      <c r="O15" s="1646">
        <f>IF(A14="","",O14*5)</f>
        <v/>
      </c>
      <c r="P15" s="1646">
        <f>IF(A14="","",P14*5)</f>
        <v/>
      </c>
    </row>
    <row r="16" ht="21" customHeight="1"/>
    <row r="17" ht="21" customHeight="1">
      <c r="A17">
        <f>IFERROR(INDEX(tblScope11Stationary[ItemLabel],ROW()-12),"")</f>
        <v/>
      </c>
      <c r="B17">
        <f>IFERROR(INDEX(tblScope11Stationary[Evidence],ROW()-12),"")</f>
        <v/>
      </c>
      <c r="C17">
        <f>IFERROR(INDEX(tblScope11Stationary[Unit],ROW()-12),"")</f>
        <v/>
      </c>
      <c r="D17">
        <f>IF(A17="","",SUM(E17:P17))</f>
        <v/>
      </c>
      <c r="E17">
        <f>IFERROR(INDEX(tblScope11Stationary[M1],ROW()-12),"")</f>
        <v/>
      </c>
      <c r="F17">
        <f>IFERROR(INDEX(tblScope11Stationary[M2],ROW()-12),"")</f>
        <v/>
      </c>
      <c r="G17">
        <f>IFERROR(INDEX(tblScope11Stationary[M3],ROW()-12),"")</f>
        <v/>
      </c>
      <c r="H17">
        <f>IFERROR(INDEX(tblScope11Stationary[M4],ROW()-12),"")</f>
        <v/>
      </c>
      <c r="I17">
        <f>IFERROR(INDEX(tblScope11Stationary[M5],ROW()-12),"")</f>
        <v/>
      </c>
      <c r="J17">
        <f>IFERROR(INDEX(tblScope11Stationary[M6],ROW()-12),"")</f>
        <v/>
      </c>
      <c r="K17">
        <f>IFERROR(INDEX(tblScope11Stationary[M7],ROW()-12),"")</f>
        <v/>
      </c>
      <c r="L17">
        <f>IFERROR(INDEX(tblScope11Stationary[M8],ROW()-12),"")</f>
        <v/>
      </c>
      <c r="M17">
        <f>IFERROR(INDEX(tblScope11Stationary[M9],ROW()-12),"")</f>
        <v/>
      </c>
      <c r="N17">
        <f>IFERROR(INDEX(tblScope11Stationary[M10],ROW()-12),"")</f>
        <v/>
      </c>
      <c r="O17">
        <f>IFERROR(INDEX(tblScope11Stationary[M11],ROW()-12),"")</f>
        <v/>
      </c>
      <c r="P17">
        <f>IFERROR(INDEX(tblScope11Stationary[M12],ROW()-12),"")</f>
        <v/>
      </c>
    </row>
    <row r="18" ht="21" customHeight="1">
      <c r="A18">
        <f>IFERROR(INDEX(tblScope11Stationary[ItemLabel],ROW()-12),"")</f>
        <v/>
      </c>
      <c r="B18">
        <f>IFERROR(INDEX(tblScope11Stationary[Evidence],ROW()-12),"")</f>
        <v/>
      </c>
      <c r="C18">
        <f>IFERROR(INDEX(tblScope11Stationary[Unit],ROW()-12),"")</f>
        <v/>
      </c>
      <c r="D18">
        <f>IF(A18="","",SUM(E18:P18))</f>
        <v/>
      </c>
      <c r="E18">
        <f>IFERROR(INDEX(tblScope11Stationary[M1],ROW()-12),"")</f>
        <v/>
      </c>
      <c r="F18">
        <f>IFERROR(INDEX(tblScope11Stationary[M2],ROW()-12),"")</f>
        <v/>
      </c>
      <c r="G18">
        <f>IFERROR(INDEX(tblScope11Stationary[M3],ROW()-12),"")</f>
        <v/>
      </c>
      <c r="H18">
        <f>IFERROR(INDEX(tblScope11Stationary[M4],ROW()-12),"")</f>
        <v/>
      </c>
      <c r="I18">
        <f>IFERROR(INDEX(tblScope11Stationary[M5],ROW()-12),"")</f>
        <v/>
      </c>
      <c r="J18">
        <f>IFERROR(INDEX(tblScope11Stationary[M6],ROW()-12),"")</f>
        <v/>
      </c>
      <c r="K18">
        <f>IFERROR(INDEX(tblScope11Stationary[M7],ROW()-12),"")</f>
        <v/>
      </c>
      <c r="L18">
        <f>IFERROR(INDEX(tblScope11Stationary[M8],ROW()-12),"")</f>
        <v/>
      </c>
      <c r="M18">
        <f>IFERROR(INDEX(tblScope11Stationary[M9],ROW()-12),"")</f>
        <v/>
      </c>
      <c r="N18">
        <f>IFERROR(INDEX(tblScope11Stationary[M10],ROW()-12),"")</f>
        <v/>
      </c>
      <c r="O18">
        <f>IFERROR(INDEX(tblScope11Stationary[M11],ROW()-12),"")</f>
        <v/>
      </c>
      <c r="P18">
        <f>IFERROR(INDEX(tblScope11Stationary[M12],ROW()-12),"")</f>
        <v/>
      </c>
    </row>
    <row r="19" ht="21" customHeight="1">
      <c r="A19">
        <f>IFERROR(INDEX(tblScope11Stationary[ItemLabel],ROW()-12),"")</f>
        <v/>
      </c>
      <c r="B19">
        <f>IFERROR(INDEX(tblScope11Stationary[Evidence],ROW()-12),"")</f>
        <v/>
      </c>
      <c r="C19">
        <f>IFERROR(INDEX(tblScope11Stationary[Unit],ROW()-12),"")</f>
        <v/>
      </c>
      <c r="D19">
        <f>IF(A19="","",SUM(E19:P19))</f>
        <v/>
      </c>
      <c r="E19">
        <f>IFERROR(INDEX(tblScope11Stationary[M1],ROW()-12),"")</f>
        <v/>
      </c>
      <c r="F19">
        <f>IFERROR(INDEX(tblScope11Stationary[M2],ROW()-12),"")</f>
        <v/>
      </c>
      <c r="G19">
        <f>IFERROR(INDEX(tblScope11Stationary[M3],ROW()-12),"")</f>
        <v/>
      </c>
      <c r="H19">
        <f>IFERROR(INDEX(tblScope11Stationary[M4],ROW()-12),"")</f>
        <v/>
      </c>
      <c r="I19">
        <f>IFERROR(INDEX(tblScope11Stationary[M5],ROW()-12),"")</f>
        <v/>
      </c>
      <c r="J19">
        <f>IFERROR(INDEX(tblScope11Stationary[M6],ROW()-12),"")</f>
        <v/>
      </c>
      <c r="K19">
        <f>IFERROR(INDEX(tblScope11Stationary[M7],ROW()-12),"")</f>
        <v/>
      </c>
      <c r="L19">
        <f>IFERROR(INDEX(tblScope11Stationary[M8],ROW()-12),"")</f>
        <v/>
      </c>
      <c r="M19">
        <f>IFERROR(INDEX(tblScope11Stationary[M9],ROW()-12),"")</f>
        <v/>
      </c>
      <c r="N19">
        <f>IFERROR(INDEX(tblScope11Stationary[M10],ROW()-12),"")</f>
        <v/>
      </c>
      <c r="O19">
        <f>IFERROR(INDEX(tblScope11Stationary[M11],ROW()-12),"")</f>
        <v/>
      </c>
      <c r="P19">
        <f>IFERROR(INDEX(tblScope11Stationary[M12],ROW()-12),"")</f>
        <v/>
      </c>
    </row>
    <row r="20" ht="21" customHeight="1">
      <c r="A20">
        <f>IFERROR(INDEX(tblScope11Stationary[ItemLabel],ROW()-12),"")</f>
        <v/>
      </c>
      <c r="B20">
        <f>IFERROR(INDEX(tblScope11Stationary[Evidence],ROW()-12),"")</f>
        <v/>
      </c>
      <c r="C20">
        <f>IFERROR(INDEX(tblScope11Stationary[Unit],ROW()-12),"")</f>
        <v/>
      </c>
      <c r="D20">
        <f>IF(A20="","",SUM(E20:P20))</f>
        <v/>
      </c>
      <c r="E20">
        <f>IFERROR(INDEX(tblScope11Stationary[M1],ROW()-12),"")</f>
        <v/>
      </c>
      <c r="F20">
        <f>IFERROR(INDEX(tblScope11Stationary[M2],ROW()-12),"")</f>
        <v/>
      </c>
      <c r="G20">
        <f>IFERROR(INDEX(tblScope11Stationary[M3],ROW()-12),"")</f>
        <v/>
      </c>
      <c r="H20">
        <f>IFERROR(INDEX(tblScope11Stationary[M4],ROW()-12),"")</f>
        <v/>
      </c>
      <c r="I20">
        <f>IFERROR(INDEX(tblScope11Stationary[M5],ROW()-12),"")</f>
        <v/>
      </c>
      <c r="J20">
        <f>IFERROR(INDEX(tblScope11Stationary[M6],ROW()-12),"")</f>
        <v/>
      </c>
      <c r="K20">
        <f>IFERROR(INDEX(tblScope11Stationary[M7],ROW()-12),"")</f>
        <v/>
      </c>
      <c r="L20">
        <f>IFERROR(INDEX(tblScope11Stationary[M8],ROW()-12),"")</f>
        <v/>
      </c>
      <c r="M20">
        <f>IFERROR(INDEX(tblScope11Stationary[M9],ROW()-12),"")</f>
        <v/>
      </c>
      <c r="N20">
        <f>IFERROR(INDEX(tblScope11Stationary[M10],ROW()-12),"")</f>
        <v/>
      </c>
      <c r="O20">
        <f>IFERROR(INDEX(tblScope11Stationary[M11],ROW()-12),"")</f>
        <v/>
      </c>
      <c r="P20">
        <f>IFERROR(INDEX(tblScope11Stationary[M12],ROW()-12),"")</f>
        <v/>
      </c>
    </row>
    <row r="21" ht="21" customHeight="1">
      <c r="A21">
        <f>IFERROR(INDEX(tblScope11Stationary[ItemLabel],ROW()-12),"")</f>
        <v/>
      </c>
      <c r="B21">
        <f>IFERROR(INDEX(tblScope11Stationary[Evidence],ROW()-12),"")</f>
        <v/>
      </c>
      <c r="C21">
        <f>IFERROR(INDEX(tblScope11Stationary[Unit],ROW()-12),"")</f>
        <v/>
      </c>
      <c r="D21">
        <f>IF(A21="","",SUM(E21:P21))</f>
        <v/>
      </c>
      <c r="E21">
        <f>IFERROR(INDEX(tblScope11Stationary[M1],ROW()-12),"")</f>
        <v/>
      </c>
      <c r="F21">
        <f>IFERROR(INDEX(tblScope11Stationary[M2],ROW()-12),"")</f>
        <v/>
      </c>
      <c r="G21">
        <f>IFERROR(INDEX(tblScope11Stationary[M3],ROW()-12),"")</f>
        <v/>
      </c>
      <c r="H21">
        <f>IFERROR(INDEX(tblScope11Stationary[M4],ROW()-12),"")</f>
        <v/>
      </c>
      <c r="I21">
        <f>IFERROR(INDEX(tblScope11Stationary[M5],ROW()-12),"")</f>
        <v/>
      </c>
      <c r="J21">
        <f>IFERROR(INDEX(tblScope11Stationary[M6],ROW()-12),"")</f>
        <v/>
      </c>
      <c r="K21">
        <f>IFERROR(INDEX(tblScope11Stationary[M7],ROW()-12),"")</f>
        <v/>
      </c>
      <c r="L21">
        <f>IFERROR(INDEX(tblScope11Stationary[M8],ROW()-12),"")</f>
        <v/>
      </c>
      <c r="M21">
        <f>IFERROR(INDEX(tblScope11Stationary[M9],ROW()-12),"")</f>
        <v/>
      </c>
      <c r="N21">
        <f>IFERROR(INDEX(tblScope11Stationary[M10],ROW()-12),"")</f>
        <v/>
      </c>
      <c r="O21">
        <f>IFERROR(INDEX(tblScope11Stationary[M11],ROW()-12),"")</f>
        <v/>
      </c>
      <c r="P21">
        <f>IFERROR(INDEX(tblScope11Stationary[M12],ROW()-12),"")</f>
        <v/>
      </c>
    </row>
    <row r="22" ht="21" customHeight="1">
      <c r="A22">
        <f>IFERROR(INDEX(tblScope11Stationary[ItemLabel],ROW()-12),"")</f>
        <v/>
      </c>
      <c r="B22">
        <f>IFERROR(INDEX(tblScope11Stationary[Evidence],ROW()-12),"")</f>
        <v/>
      </c>
      <c r="C22">
        <f>IFERROR(INDEX(tblScope11Stationary[Unit],ROW()-12),"")</f>
        <v/>
      </c>
      <c r="D22">
        <f>IF(A22="","",SUM(E22:P22))</f>
        <v/>
      </c>
      <c r="E22">
        <f>IFERROR(INDEX(tblScope11Stationary[M1],ROW()-12),"")</f>
        <v/>
      </c>
      <c r="F22">
        <f>IFERROR(INDEX(tblScope11Stationary[M2],ROW()-12),"")</f>
        <v/>
      </c>
      <c r="G22">
        <f>IFERROR(INDEX(tblScope11Stationary[M3],ROW()-12),"")</f>
        <v/>
      </c>
      <c r="H22">
        <f>IFERROR(INDEX(tblScope11Stationary[M4],ROW()-12),"")</f>
        <v/>
      </c>
      <c r="I22">
        <f>IFERROR(INDEX(tblScope11Stationary[M5],ROW()-12),"")</f>
        <v/>
      </c>
      <c r="J22">
        <f>IFERROR(INDEX(tblScope11Stationary[M6],ROW()-12),"")</f>
        <v/>
      </c>
      <c r="K22">
        <f>IFERROR(INDEX(tblScope11Stationary[M7],ROW()-12),"")</f>
        <v/>
      </c>
      <c r="L22">
        <f>IFERROR(INDEX(tblScope11Stationary[M8],ROW()-12),"")</f>
        <v/>
      </c>
      <c r="M22">
        <f>IFERROR(INDEX(tblScope11Stationary[M9],ROW()-12),"")</f>
        <v/>
      </c>
      <c r="N22">
        <f>IFERROR(INDEX(tblScope11Stationary[M10],ROW()-12),"")</f>
        <v/>
      </c>
      <c r="O22">
        <f>IFERROR(INDEX(tblScope11Stationary[M11],ROW()-12),"")</f>
        <v/>
      </c>
      <c r="P22">
        <f>IFERROR(INDEX(tblScope11Stationary[M12],ROW()-12),"")</f>
        <v/>
      </c>
    </row>
    <row r="23" ht="21" customHeight="1">
      <c r="A23">
        <f>IFERROR(INDEX(tblScope11Stationary[ItemLabel],ROW()-12),"")</f>
        <v/>
      </c>
      <c r="B23">
        <f>IFERROR(INDEX(tblScope11Stationary[Evidence],ROW()-12),"")</f>
        <v/>
      </c>
      <c r="C23">
        <f>IFERROR(INDEX(tblScope11Stationary[Unit],ROW()-12),"")</f>
        <v/>
      </c>
      <c r="D23">
        <f>IF(A23="","",SUM(E23:P23))</f>
        <v/>
      </c>
      <c r="E23">
        <f>IFERROR(INDEX(tblScope11Stationary[M1],ROW()-12),"")</f>
        <v/>
      </c>
      <c r="F23">
        <f>IFERROR(INDEX(tblScope11Stationary[M2],ROW()-12),"")</f>
        <v/>
      </c>
      <c r="G23">
        <f>IFERROR(INDEX(tblScope11Stationary[M3],ROW()-12),"")</f>
        <v/>
      </c>
      <c r="H23">
        <f>IFERROR(INDEX(tblScope11Stationary[M4],ROW()-12),"")</f>
        <v/>
      </c>
      <c r="I23">
        <f>IFERROR(INDEX(tblScope11Stationary[M5],ROW()-12),"")</f>
        <v/>
      </c>
      <c r="J23">
        <f>IFERROR(INDEX(tblScope11Stationary[M6],ROW()-12),"")</f>
        <v/>
      </c>
      <c r="K23">
        <f>IFERROR(INDEX(tblScope11Stationary[M7],ROW()-12),"")</f>
        <v/>
      </c>
      <c r="L23">
        <f>IFERROR(INDEX(tblScope11Stationary[M8],ROW()-12),"")</f>
        <v/>
      </c>
      <c r="M23">
        <f>IFERROR(INDEX(tblScope11Stationary[M9],ROW()-12),"")</f>
        <v/>
      </c>
      <c r="N23">
        <f>IFERROR(INDEX(tblScope11Stationary[M10],ROW()-12),"")</f>
        <v/>
      </c>
      <c r="O23">
        <f>IFERROR(INDEX(tblScope11Stationary[M11],ROW()-12),"")</f>
        <v/>
      </c>
      <c r="P23">
        <f>IFERROR(INDEX(tblScope11Stationary[M12],ROW()-12),"")</f>
        <v/>
      </c>
    </row>
    <row r="24" ht="21" customHeight="1">
      <c r="A24">
        <f>IFERROR(INDEX(tblScope11Stationary[ItemLabel],ROW()-12),"")</f>
        <v/>
      </c>
      <c r="B24">
        <f>IFERROR(INDEX(tblScope11Stationary[Evidence],ROW()-12),"")</f>
        <v/>
      </c>
      <c r="C24">
        <f>IFERROR(INDEX(tblScope11Stationary[Unit],ROW()-12),"")</f>
        <v/>
      </c>
      <c r="D24">
        <f>IF(A24="","",SUM(E24:P24))</f>
        <v/>
      </c>
      <c r="E24">
        <f>IFERROR(INDEX(tblScope11Stationary[M1],ROW()-12),"")</f>
        <v/>
      </c>
      <c r="F24">
        <f>IFERROR(INDEX(tblScope11Stationary[M2],ROW()-12),"")</f>
        <v/>
      </c>
      <c r="G24">
        <f>IFERROR(INDEX(tblScope11Stationary[M3],ROW()-12),"")</f>
        <v/>
      </c>
      <c r="H24">
        <f>IFERROR(INDEX(tblScope11Stationary[M4],ROW()-12),"")</f>
        <v/>
      </c>
      <c r="I24">
        <f>IFERROR(INDEX(tblScope11Stationary[M5],ROW()-12),"")</f>
        <v/>
      </c>
      <c r="J24">
        <f>IFERROR(INDEX(tblScope11Stationary[M6],ROW()-12),"")</f>
        <v/>
      </c>
      <c r="K24">
        <f>IFERROR(INDEX(tblScope11Stationary[M7],ROW()-12),"")</f>
        <v/>
      </c>
      <c r="L24">
        <f>IFERROR(INDEX(tblScope11Stationary[M8],ROW()-12),"")</f>
        <v/>
      </c>
      <c r="M24">
        <f>IFERROR(INDEX(tblScope11Stationary[M9],ROW()-12),"")</f>
        <v/>
      </c>
      <c r="N24">
        <f>IFERROR(INDEX(tblScope11Stationary[M10],ROW()-12),"")</f>
        <v/>
      </c>
      <c r="O24">
        <f>IFERROR(INDEX(tblScope11Stationary[M11],ROW()-12),"")</f>
        <v/>
      </c>
      <c r="P24">
        <f>IFERROR(INDEX(tblScope11Stationary[M12],ROW()-12),"")</f>
        <v/>
      </c>
    </row>
    <row r="25" ht="21" customHeight="1">
      <c r="A25">
        <f>IFERROR(INDEX(tblScope11Stationary[ItemLabel],ROW()-12),"")</f>
        <v/>
      </c>
      <c r="B25">
        <f>IFERROR(INDEX(tblScope11Stationary[Evidence],ROW()-12),"")</f>
        <v/>
      </c>
      <c r="C25">
        <f>IFERROR(INDEX(tblScope11Stationary[Unit],ROW()-12),"")</f>
        <v/>
      </c>
      <c r="D25">
        <f>IF(A25="","",SUM(E25:P25))</f>
        <v/>
      </c>
      <c r="E25">
        <f>IFERROR(INDEX(tblScope11Stationary[M1],ROW()-12),"")</f>
        <v/>
      </c>
      <c r="F25">
        <f>IFERROR(INDEX(tblScope11Stationary[M2],ROW()-12),"")</f>
        <v/>
      </c>
      <c r="G25">
        <f>IFERROR(INDEX(tblScope11Stationary[M3],ROW()-12),"")</f>
        <v/>
      </c>
      <c r="H25">
        <f>IFERROR(INDEX(tblScope11Stationary[M4],ROW()-12),"")</f>
        <v/>
      </c>
      <c r="I25">
        <f>IFERROR(INDEX(tblScope11Stationary[M5],ROW()-12),"")</f>
        <v/>
      </c>
      <c r="J25">
        <f>IFERROR(INDEX(tblScope11Stationary[M6],ROW()-12),"")</f>
        <v/>
      </c>
      <c r="K25">
        <f>IFERROR(INDEX(tblScope11Stationary[M7],ROW()-12),"")</f>
        <v/>
      </c>
      <c r="L25">
        <f>IFERROR(INDEX(tblScope11Stationary[M8],ROW()-12),"")</f>
        <v/>
      </c>
      <c r="M25">
        <f>IFERROR(INDEX(tblScope11Stationary[M9],ROW()-12),"")</f>
        <v/>
      </c>
      <c r="N25">
        <f>IFERROR(INDEX(tblScope11Stationary[M10],ROW()-12),"")</f>
        <v/>
      </c>
      <c r="O25">
        <f>IFERROR(INDEX(tblScope11Stationary[M11],ROW()-12),"")</f>
        <v/>
      </c>
      <c r="P25">
        <f>IFERROR(INDEX(tblScope11Stationary[M12],ROW()-12),"")</f>
        <v/>
      </c>
    </row>
    <row r="26" ht="21" customHeight="1">
      <c r="A26">
        <f>IFERROR(INDEX(tblScope11Stationary[ItemLabel],ROW()-12),"")</f>
        <v/>
      </c>
      <c r="B26">
        <f>IFERROR(INDEX(tblScope11Stationary[Evidence],ROW()-12),"")</f>
        <v/>
      </c>
      <c r="C26">
        <f>IFERROR(INDEX(tblScope11Stationary[Unit],ROW()-12),"")</f>
        <v/>
      </c>
      <c r="D26">
        <f>IF(A26="","",SUM(E26:P26))</f>
        <v/>
      </c>
      <c r="E26">
        <f>IFERROR(INDEX(tblScope11Stationary[M1],ROW()-12),"")</f>
        <v/>
      </c>
      <c r="F26">
        <f>IFERROR(INDEX(tblScope11Stationary[M2],ROW()-12),"")</f>
        <v/>
      </c>
      <c r="G26">
        <f>IFERROR(INDEX(tblScope11Stationary[M3],ROW()-12),"")</f>
        <v/>
      </c>
      <c r="H26">
        <f>IFERROR(INDEX(tblScope11Stationary[M4],ROW()-12),"")</f>
        <v/>
      </c>
      <c r="I26">
        <f>IFERROR(INDEX(tblScope11Stationary[M5],ROW()-12),"")</f>
        <v/>
      </c>
      <c r="J26">
        <f>IFERROR(INDEX(tblScope11Stationary[M6],ROW()-12),"")</f>
        <v/>
      </c>
      <c r="K26">
        <f>IFERROR(INDEX(tblScope11Stationary[M7],ROW()-12),"")</f>
        <v/>
      </c>
      <c r="L26">
        <f>IFERROR(INDEX(tblScope11Stationary[M8],ROW()-12),"")</f>
        <v/>
      </c>
      <c r="M26">
        <f>IFERROR(INDEX(tblScope11Stationary[M9],ROW()-12),"")</f>
        <v/>
      </c>
      <c r="N26">
        <f>IFERROR(INDEX(tblScope11Stationary[M10],ROW()-12),"")</f>
        <v/>
      </c>
      <c r="O26">
        <f>IFERROR(INDEX(tblScope11Stationary[M11],ROW()-12),"")</f>
        <v/>
      </c>
      <c r="P26">
        <f>IFERROR(INDEX(tblScope11Stationary[M12],ROW()-12),"")</f>
        <v/>
      </c>
    </row>
    <row r="27" ht="21" customHeight="1">
      <c r="A27">
        <f>IFERROR(INDEX(tblScope11Stationary[ItemLabel],ROW()-12),"")</f>
        <v/>
      </c>
      <c r="B27">
        <f>IFERROR(INDEX(tblScope11Stationary[Evidence],ROW()-12),"")</f>
        <v/>
      </c>
      <c r="C27">
        <f>IFERROR(INDEX(tblScope11Stationary[Unit],ROW()-12),"")</f>
        <v/>
      </c>
      <c r="D27">
        <f>IF(A27="","",SUM(E27:P27))</f>
        <v/>
      </c>
      <c r="E27">
        <f>IFERROR(INDEX(tblScope11Stationary[M1],ROW()-12),"")</f>
        <v/>
      </c>
      <c r="F27">
        <f>IFERROR(INDEX(tblScope11Stationary[M2],ROW()-12),"")</f>
        <v/>
      </c>
      <c r="G27">
        <f>IFERROR(INDEX(tblScope11Stationary[M3],ROW()-12),"")</f>
        <v/>
      </c>
      <c r="H27">
        <f>IFERROR(INDEX(tblScope11Stationary[M4],ROW()-12),"")</f>
        <v/>
      </c>
      <c r="I27">
        <f>IFERROR(INDEX(tblScope11Stationary[M5],ROW()-12),"")</f>
        <v/>
      </c>
      <c r="J27">
        <f>IFERROR(INDEX(tblScope11Stationary[M6],ROW()-12),"")</f>
        <v/>
      </c>
      <c r="K27">
        <f>IFERROR(INDEX(tblScope11Stationary[M7],ROW()-12),"")</f>
        <v/>
      </c>
      <c r="L27">
        <f>IFERROR(INDEX(tblScope11Stationary[M8],ROW()-12),"")</f>
        <v/>
      </c>
      <c r="M27">
        <f>IFERROR(INDEX(tblScope11Stationary[M9],ROW()-12),"")</f>
        <v/>
      </c>
      <c r="N27">
        <f>IFERROR(INDEX(tblScope11Stationary[M10],ROW()-12),"")</f>
        <v/>
      </c>
      <c r="O27">
        <f>IFERROR(INDEX(tblScope11Stationary[M11],ROW()-12),"")</f>
        <v/>
      </c>
      <c r="P27">
        <f>IFERROR(INDEX(tblScope11Stationary[M12],ROW()-12),"")</f>
        <v/>
      </c>
    </row>
    <row r="28" ht="21" customHeight="1">
      <c r="A28">
        <f>IFERROR(INDEX(tblScope11Stationary[ItemLabel],ROW()-12),"")</f>
        <v/>
      </c>
      <c r="B28">
        <f>IFERROR(INDEX(tblScope11Stationary[Evidence],ROW()-12),"")</f>
        <v/>
      </c>
      <c r="C28">
        <f>IFERROR(INDEX(tblScope11Stationary[Unit],ROW()-12),"")</f>
        <v/>
      </c>
      <c r="D28">
        <f>IF(A28="","",SUM(E28:P28))</f>
        <v/>
      </c>
      <c r="E28">
        <f>IFERROR(INDEX(tblScope11Stationary[M1],ROW()-12),"")</f>
        <v/>
      </c>
      <c r="F28">
        <f>IFERROR(INDEX(tblScope11Stationary[M2],ROW()-12),"")</f>
        <v/>
      </c>
      <c r="G28">
        <f>IFERROR(INDEX(tblScope11Stationary[M3],ROW()-12),"")</f>
        <v/>
      </c>
      <c r="H28">
        <f>IFERROR(INDEX(tblScope11Stationary[M4],ROW()-12),"")</f>
        <v/>
      </c>
      <c r="I28">
        <f>IFERROR(INDEX(tblScope11Stationary[M5],ROW()-12),"")</f>
        <v/>
      </c>
      <c r="J28">
        <f>IFERROR(INDEX(tblScope11Stationary[M6],ROW()-12),"")</f>
        <v/>
      </c>
      <c r="K28">
        <f>IFERROR(INDEX(tblScope11Stationary[M7],ROW()-12),"")</f>
        <v/>
      </c>
      <c r="L28">
        <f>IFERROR(INDEX(tblScope11Stationary[M8],ROW()-12),"")</f>
        <v/>
      </c>
      <c r="M28">
        <f>IFERROR(INDEX(tblScope11Stationary[M9],ROW()-12),"")</f>
        <v/>
      </c>
      <c r="N28">
        <f>IFERROR(INDEX(tblScope11Stationary[M10],ROW()-12),"")</f>
        <v/>
      </c>
      <c r="O28">
        <f>IFERROR(INDEX(tblScope11Stationary[M11],ROW()-12),"")</f>
        <v/>
      </c>
      <c r="P28">
        <f>IFERROR(INDEX(tblScope11Stationary[M12],ROW()-12),"")</f>
        <v/>
      </c>
    </row>
    <row r="29" ht="21" customHeight="1">
      <c r="A29">
        <f>IFERROR(INDEX(tblScope11Stationary[ItemLabel],ROW()-12),"")</f>
        <v/>
      </c>
      <c r="B29">
        <f>IFERROR(INDEX(tblScope11Stationary[Evidence],ROW()-12),"")</f>
        <v/>
      </c>
      <c r="C29">
        <f>IFERROR(INDEX(tblScope11Stationary[Unit],ROW()-12),"")</f>
        <v/>
      </c>
      <c r="D29">
        <f>IF(A29="","",SUM(E29:P29))</f>
        <v/>
      </c>
      <c r="E29">
        <f>IFERROR(INDEX(tblScope11Stationary[M1],ROW()-12),"")</f>
        <v/>
      </c>
      <c r="F29">
        <f>IFERROR(INDEX(tblScope11Stationary[M2],ROW()-12),"")</f>
        <v/>
      </c>
      <c r="G29">
        <f>IFERROR(INDEX(tblScope11Stationary[M3],ROW()-12),"")</f>
        <v/>
      </c>
      <c r="H29">
        <f>IFERROR(INDEX(tblScope11Stationary[M4],ROW()-12),"")</f>
        <v/>
      </c>
      <c r="I29">
        <f>IFERROR(INDEX(tblScope11Stationary[M5],ROW()-12),"")</f>
        <v/>
      </c>
      <c r="J29">
        <f>IFERROR(INDEX(tblScope11Stationary[M6],ROW()-12),"")</f>
        <v/>
      </c>
      <c r="K29">
        <f>IFERROR(INDEX(tblScope11Stationary[M7],ROW()-12),"")</f>
        <v/>
      </c>
      <c r="L29">
        <f>IFERROR(INDEX(tblScope11Stationary[M8],ROW()-12),"")</f>
        <v/>
      </c>
      <c r="M29">
        <f>IFERROR(INDEX(tblScope11Stationary[M9],ROW()-12),"")</f>
        <v/>
      </c>
      <c r="N29">
        <f>IFERROR(INDEX(tblScope11Stationary[M10],ROW()-12),"")</f>
        <v/>
      </c>
      <c r="O29">
        <f>IFERROR(INDEX(tblScope11Stationary[M11],ROW()-12),"")</f>
        <v/>
      </c>
      <c r="P29">
        <f>IFERROR(INDEX(tblScope11Stationary[M12],ROW()-12),"")</f>
        <v/>
      </c>
    </row>
    <row r="30" ht="21" customHeight="1">
      <c r="A30">
        <f>IFERROR(INDEX(tblScope11Stationary[ItemLabel],ROW()-12),"")</f>
        <v/>
      </c>
      <c r="B30">
        <f>IFERROR(INDEX(tblScope11Stationary[Evidence],ROW()-12),"")</f>
        <v/>
      </c>
      <c r="C30">
        <f>IFERROR(INDEX(tblScope11Stationary[Unit],ROW()-12),"")</f>
        <v/>
      </c>
      <c r="D30">
        <f>IF(A30="","",SUM(E30:P30))</f>
        <v/>
      </c>
      <c r="E30">
        <f>IFERROR(INDEX(tblScope11Stationary[M1],ROW()-12),"")</f>
        <v/>
      </c>
      <c r="F30">
        <f>IFERROR(INDEX(tblScope11Stationary[M2],ROW()-12),"")</f>
        <v/>
      </c>
      <c r="G30">
        <f>IFERROR(INDEX(tblScope11Stationary[M3],ROW()-12),"")</f>
        <v/>
      </c>
      <c r="H30">
        <f>IFERROR(INDEX(tblScope11Stationary[M4],ROW()-12),"")</f>
        <v/>
      </c>
      <c r="I30">
        <f>IFERROR(INDEX(tblScope11Stationary[M5],ROW()-12),"")</f>
        <v/>
      </c>
      <c r="J30">
        <f>IFERROR(INDEX(tblScope11Stationary[M6],ROW()-12),"")</f>
        <v/>
      </c>
      <c r="K30">
        <f>IFERROR(INDEX(tblScope11Stationary[M7],ROW()-12),"")</f>
        <v/>
      </c>
      <c r="L30">
        <f>IFERROR(INDEX(tblScope11Stationary[M8],ROW()-12),"")</f>
        <v/>
      </c>
      <c r="M30">
        <f>IFERROR(INDEX(tblScope11Stationary[M9],ROW()-12),"")</f>
        <v/>
      </c>
      <c r="N30">
        <f>IFERROR(INDEX(tblScope11Stationary[M10],ROW()-12),"")</f>
        <v/>
      </c>
      <c r="O30">
        <f>IFERROR(INDEX(tblScope11Stationary[M11],ROW()-12),"")</f>
        <v/>
      </c>
      <c r="P30">
        <f>IFERROR(INDEX(tblScope11Stationary[M12],ROW()-12),"")</f>
        <v/>
      </c>
    </row>
    <row r="31" ht="21" customHeight="1">
      <c r="A31">
        <f>IFERROR(INDEX(tblScope11Stationary[ItemLabel],ROW()-12),"")</f>
        <v/>
      </c>
      <c r="B31">
        <f>IFERROR(INDEX(tblScope11Stationary[Evidence],ROW()-12),"")</f>
        <v/>
      </c>
      <c r="C31">
        <f>IFERROR(INDEX(tblScope11Stationary[Unit],ROW()-12),"")</f>
        <v/>
      </c>
      <c r="D31">
        <f>IF(A31="","",SUM(E31:P31))</f>
        <v/>
      </c>
      <c r="E31">
        <f>IFERROR(INDEX(tblScope11Stationary[M1],ROW()-12),"")</f>
        <v/>
      </c>
      <c r="F31">
        <f>IFERROR(INDEX(tblScope11Stationary[M2],ROW()-12),"")</f>
        <v/>
      </c>
      <c r="G31">
        <f>IFERROR(INDEX(tblScope11Stationary[M3],ROW()-12),"")</f>
        <v/>
      </c>
      <c r="H31">
        <f>IFERROR(INDEX(tblScope11Stationary[M4],ROW()-12),"")</f>
        <v/>
      </c>
      <c r="I31">
        <f>IFERROR(INDEX(tblScope11Stationary[M5],ROW()-12),"")</f>
        <v/>
      </c>
      <c r="J31">
        <f>IFERROR(INDEX(tblScope11Stationary[M6],ROW()-12),"")</f>
        <v/>
      </c>
      <c r="K31">
        <f>IFERROR(INDEX(tblScope11Stationary[M7],ROW()-12),"")</f>
        <v/>
      </c>
      <c r="L31">
        <f>IFERROR(INDEX(tblScope11Stationary[M8],ROW()-12),"")</f>
        <v/>
      </c>
      <c r="M31">
        <f>IFERROR(INDEX(tblScope11Stationary[M9],ROW()-12),"")</f>
        <v/>
      </c>
      <c r="N31">
        <f>IFERROR(INDEX(tblScope11Stationary[M10],ROW()-12),"")</f>
        <v/>
      </c>
      <c r="O31">
        <f>IFERROR(INDEX(tblScope11Stationary[M11],ROW()-12),"")</f>
        <v/>
      </c>
      <c r="P31">
        <f>IFERROR(INDEX(tblScope11Stationary[M12],ROW()-12),"")</f>
        <v/>
      </c>
    </row>
    <row r="32" ht="21" customHeight="1">
      <c r="A32">
        <f>IFERROR(INDEX(tblScope11Stationary[ItemLabel],ROW()-12),"")</f>
        <v/>
      </c>
      <c r="B32">
        <f>IFERROR(INDEX(tblScope11Stationary[Evidence],ROW()-12),"")</f>
        <v/>
      </c>
      <c r="C32">
        <f>IFERROR(INDEX(tblScope11Stationary[Unit],ROW()-12),"")</f>
        <v/>
      </c>
      <c r="D32">
        <f>IF(A32="","",SUM(E32:P32))</f>
        <v/>
      </c>
      <c r="E32">
        <f>IFERROR(INDEX(tblScope11Stationary[M1],ROW()-12),"")</f>
        <v/>
      </c>
      <c r="F32">
        <f>IFERROR(INDEX(tblScope11Stationary[M2],ROW()-12),"")</f>
        <v/>
      </c>
      <c r="G32">
        <f>IFERROR(INDEX(tblScope11Stationary[M3],ROW()-12),"")</f>
        <v/>
      </c>
      <c r="H32">
        <f>IFERROR(INDEX(tblScope11Stationary[M4],ROW()-12),"")</f>
        <v/>
      </c>
      <c r="I32">
        <f>IFERROR(INDEX(tblScope11Stationary[M5],ROW()-12),"")</f>
        <v/>
      </c>
      <c r="J32">
        <f>IFERROR(INDEX(tblScope11Stationary[M6],ROW()-12),"")</f>
        <v/>
      </c>
      <c r="K32">
        <f>IFERROR(INDEX(tblScope11Stationary[M7],ROW()-12),"")</f>
        <v/>
      </c>
      <c r="L32">
        <f>IFERROR(INDEX(tblScope11Stationary[M8],ROW()-12),"")</f>
        <v/>
      </c>
      <c r="M32">
        <f>IFERROR(INDEX(tblScope11Stationary[M9],ROW()-12),"")</f>
        <v/>
      </c>
      <c r="N32">
        <f>IFERROR(INDEX(tblScope11Stationary[M10],ROW()-12),"")</f>
        <v/>
      </c>
      <c r="O32">
        <f>IFERROR(INDEX(tblScope11Stationary[M11],ROW()-12),"")</f>
        <v/>
      </c>
      <c r="P32">
        <f>IFERROR(INDEX(tblScope11Stationary[M12],ROW()-12),"")</f>
        <v/>
      </c>
    </row>
    <row r="33" ht="21" customHeight="1">
      <c r="A33">
        <f>IFERROR(INDEX(tblScope11Stationary[ItemLabel],ROW()-12),"")</f>
        <v/>
      </c>
      <c r="B33">
        <f>IFERROR(INDEX(tblScope11Stationary[Evidence],ROW()-12),"")</f>
        <v/>
      </c>
      <c r="C33">
        <f>IFERROR(INDEX(tblScope11Stationary[Unit],ROW()-12),"")</f>
        <v/>
      </c>
      <c r="D33">
        <f>IF(A33="","",SUM(E33:P33))</f>
        <v/>
      </c>
      <c r="E33">
        <f>IFERROR(INDEX(tblScope11Stationary[M1],ROW()-12),"")</f>
        <v/>
      </c>
      <c r="F33">
        <f>IFERROR(INDEX(tblScope11Stationary[M2],ROW()-12),"")</f>
        <v/>
      </c>
      <c r="G33">
        <f>IFERROR(INDEX(tblScope11Stationary[M3],ROW()-12),"")</f>
        <v/>
      </c>
      <c r="H33">
        <f>IFERROR(INDEX(tblScope11Stationary[M4],ROW()-12),"")</f>
        <v/>
      </c>
      <c r="I33">
        <f>IFERROR(INDEX(tblScope11Stationary[M5],ROW()-12),"")</f>
        <v/>
      </c>
      <c r="J33">
        <f>IFERROR(INDEX(tblScope11Stationary[M6],ROW()-12),"")</f>
        <v/>
      </c>
      <c r="K33">
        <f>IFERROR(INDEX(tblScope11Stationary[M7],ROW()-12),"")</f>
        <v/>
      </c>
      <c r="L33">
        <f>IFERROR(INDEX(tblScope11Stationary[M8],ROW()-12),"")</f>
        <v/>
      </c>
      <c r="M33">
        <f>IFERROR(INDEX(tblScope11Stationary[M9],ROW()-12),"")</f>
        <v/>
      </c>
      <c r="N33">
        <f>IFERROR(INDEX(tblScope11Stationary[M10],ROW()-12),"")</f>
        <v/>
      </c>
      <c r="O33">
        <f>IFERROR(INDEX(tblScope11Stationary[M11],ROW()-12),"")</f>
        <v/>
      </c>
      <c r="P33">
        <f>IFERROR(INDEX(tblScope11Stationary[M12],ROW()-12),"")</f>
        <v/>
      </c>
    </row>
    <row r="34" ht="21" customHeight="1">
      <c r="A34">
        <f>IFERROR(INDEX(tblScope11Stationary[ItemLabel],ROW()-12),"")</f>
        <v/>
      </c>
      <c r="B34">
        <f>IFERROR(INDEX(tblScope11Stationary[Evidence],ROW()-12),"")</f>
        <v/>
      </c>
      <c r="C34">
        <f>IFERROR(INDEX(tblScope11Stationary[Unit],ROW()-12),"")</f>
        <v/>
      </c>
      <c r="D34">
        <f>IF(A34="","",SUM(E34:P34))</f>
        <v/>
      </c>
      <c r="E34">
        <f>IFERROR(INDEX(tblScope11Stationary[M1],ROW()-12),"")</f>
        <v/>
      </c>
      <c r="F34">
        <f>IFERROR(INDEX(tblScope11Stationary[M2],ROW()-12),"")</f>
        <v/>
      </c>
      <c r="G34">
        <f>IFERROR(INDEX(tblScope11Stationary[M3],ROW()-12),"")</f>
        <v/>
      </c>
      <c r="H34">
        <f>IFERROR(INDEX(tblScope11Stationary[M4],ROW()-12),"")</f>
        <v/>
      </c>
      <c r="I34">
        <f>IFERROR(INDEX(tblScope11Stationary[M5],ROW()-12),"")</f>
        <v/>
      </c>
      <c r="J34">
        <f>IFERROR(INDEX(tblScope11Stationary[M6],ROW()-12),"")</f>
        <v/>
      </c>
      <c r="K34">
        <f>IFERROR(INDEX(tblScope11Stationary[M7],ROW()-12),"")</f>
        <v/>
      </c>
      <c r="L34">
        <f>IFERROR(INDEX(tblScope11Stationary[M8],ROW()-12),"")</f>
        <v/>
      </c>
      <c r="M34">
        <f>IFERROR(INDEX(tblScope11Stationary[M9],ROW()-12),"")</f>
        <v/>
      </c>
      <c r="N34">
        <f>IFERROR(INDEX(tblScope11Stationary[M10],ROW()-12),"")</f>
        <v/>
      </c>
      <c r="O34">
        <f>IFERROR(INDEX(tblScope11Stationary[M11],ROW()-12),"")</f>
        <v/>
      </c>
      <c r="P34">
        <f>IFERROR(INDEX(tblScope11Stationary[M12],ROW()-12),"")</f>
        <v/>
      </c>
    </row>
    <row r="35" ht="21" customHeight="1">
      <c r="A35">
        <f>IFERROR(INDEX(tblScope11Stationary[ItemLabel],ROW()-12),"")</f>
        <v/>
      </c>
      <c r="B35">
        <f>IFERROR(INDEX(tblScope11Stationary[Evidence],ROW()-12),"")</f>
        <v/>
      </c>
      <c r="C35">
        <f>IFERROR(INDEX(tblScope11Stationary[Unit],ROW()-12),"")</f>
        <v/>
      </c>
      <c r="D35">
        <f>IF(A35="","",SUM(E35:P35))</f>
        <v/>
      </c>
      <c r="E35">
        <f>IFERROR(INDEX(tblScope11Stationary[M1],ROW()-12),"")</f>
        <v/>
      </c>
      <c r="F35">
        <f>IFERROR(INDEX(tblScope11Stationary[M2],ROW()-12),"")</f>
        <v/>
      </c>
      <c r="G35">
        <f>IFERROR(INDEX(tblScope11Stationary[M3],ROW()-12),"")</f>
        <v/>
      </c>
      <c r="H35">
        <f>IFERROR(INDEX(tblScope11Stationary[M4],ROW()-12),"")</f>
        <v/>
      </c>
      <c r="I35">
        <f>IFERROR(INDEX(tblScope11Stationary[M5],ROW()-12),"")</f>
        <v/>
      </c>
      <c r="J35">
        <f>IFERROR(INDEX(tblScope11Stationary[M6],ROW()-12),"")</f>
        <v/>
      </c>
      <c r="K35">
        <f>IFERROR(INDEX(tblScope11Stationary[M7],ROW()-12),"")</f>
        <v/>
      </c>
      <c r="L35">
        <f>IFERROR(INDEX(tblScope11Stationary[M8],ROW()-12),"")</f>
        <v/>
      </c>
      <c r="M35">
        <f>IFERROR(INDEX(tblScope11Stationary[M9],ROW()-12),"")</f>
        <v/>
      </c>
      <c r="N35">
        <f>IFERROR(INDEX(tblScope11Stationary[M10],ROW()-12),"")</f>
        <v/>
      </c>
      <c r="O35">
        <f>IFERROR(INDEX(tblScope11Stationary[M11],ROW()-12),"")</f>
        <v/>
      </c>
      <c r="P35">
        <f>IFERROR(INDEX(tblScope11Stationary[M12],ROW()-12),"")</f>
        <v/>
      </c>
    </row>
    <row r="36" ht="21" customHeight="1">
      <c r="A36">
        <f>IFERROR(INDEX(tblScope11Stationary[ItemLabel],ROW()-12),"")</f>
        <v/>
      </c>
      <c r="B36">
        <f>IFERROR(INDEX(tblScope11Stationary[Evidence],ROW()-12),"")</f>
        <v/>
      </c>
      <c r="C36">
        <f>IFERROR(INDEX(tblScope11Stationary[Unit],ROW()-12),"")</f>
        <v/>
      </c>
      <c r="D36">
        <f>IF(A36="","",SUM(E36:P36))</f>
        <v/>
      </c>
      <c r="E36">
        <f>IFERROR(INDEX(tblScope11Stationary[M1],ROW()-12),"")</f>
        <v/>
      </c>
      <c r="F36">
        <f>IFERROR(INDEX(tblScope11Stationary[M2],ROW()-12),"")</f>
        <v/>
      </c>
      <c r="G36">
        <f>IFERROR(INDEX(tblScope11Stationary[M3],ROW()-12),"")</f>
        <v/>
      </c>
      <c r="H36">
        <f>IFERROR(INDEX(tblScope11Stationary[M4],ROW()-12),"")</f>
        <v/>
      </c>
      <c r="I36">
        <f>IFERROR(INDEX(tblScope11Stationary[M5],ROW()-12),"")</f>
        <v/>
      </c>
      <c r="J36">
        <f>IFERROR(INDEX(tblScope11Stationary[M6],ROW()-12),"")</f>
        <v/>
      </c>
      <c r="K36">
        <f>IFERROR(INDEX(tblScope11Stationary[M7],ROW()-12),"")</f>
        <v/>
      </c>
      <c r="L36">
        <f>IFERROR(INDEX(tblScope11Stationary[M8],ROW()-12),"")</f>
        <v/>
      </c>
      <c r="M36">
        <f>IFERROR(INDEX(tblScope11Stationary[M9],ROW()-12),"")</f>
        <v/>
      </c>
      <c r="N36">
        <f>IFERROR(INDEX(tblScope11Stationary[M10],ROW()-12),"")</f>
        <v/>
      </c>
      <c r="O36">
        <f>IFERROR(INDEX(tblScope11Stationary[M11],ROW()-12),"")</f>
        <v/>
      </c>
      <c r="P36">
        <f>IFERROR(INDEX(tblScope11Stationary[M12],ROW()-12),"")</f>
        <v/>
      </c>
    </row>
    <row r="37" ht="21" customHeight="1">
      <c r="A37">
        <f>IFERROR(INDEX(tblScope11Stationary[ItemLabel],ROW()-12),"")</f>
        <v/>
      </c>
      <c r="B37">
        <f>IFERROR(INDEX(tblScope11Stationary[Evidence],ROW()-12),"")</f>
        <v/>
      </c>
      <c r="C37">
        <f>IFERROR(INDEX(tblScope11Stationary[Unit],ROW()-12),"")</f>
        <v/>
      </c>
      <c r="D37">
        <f>IF(A37="","",SUM(E37:P37))</f>
        <v/>
      </c>
      <c r="E37">
        <f>IFERROR(INDEX(tblScope11Stationary[M1],ROW()-12),"")</f>
        <v/>
      </c>
      <c r="F37">
        <f>IFERROR(INDEX(tblScope11Stationary[M2],ROW()-12),"")</f>
        <v/>
      </c>
      <c r="G37">
        <f>IFERROR(INDEX(tblScope11Stationary[M3],ROW()-12),"")</f>
        <v/>
      </c>
      <c r="H37">
        <f>IFERROR(INDEX(tblScope11Stationary[M4],ROW()-12),"")</f>
        <v/>
      </c>
      <c r="I37">
        <f>IFERROR(INDEX(tblScope11Stationary[M5],ROW()-12),"")</f>
        <v/>
      </c>
      <c r="J37">
        <f>IFERROR(INDEX(tblScope11Stationary[M6],ROW()-12),"")</f>
        <v/>
      </c>
      <c r="K37">
        <f>IFERROR(INDEX(tblScope11Stationary[M7],ROW()-12),"")</f>
        <v/>
      </c>
      <c r="L37">
        <f>IFERROR(INDEX(tblScope11Stationary[M8],ROW()-12),"")</f>
        <v/>
      </c>
      <c r="M37">
        <f>IFERROR(INDEX(tblScope11Stationary[M9],ROW()-12),"")</f>
        <v/>
      </c>
      <c r="N37">
        <f>IFERROR(INDEX(tblScope11Stationary[M10],ROW()-12),"")</f>
        <v/>
      </c>
      <c r="O37">
        <f>IFERROR(INDEX(tblScope11Stationary[M11],ROW()-12),"")</f>
        <v/>
      </c>
      <c r="P37">
        <f>IFERROR(INDEX(tblScope11Stationary[M12],ROW()-12),"")</f>
        <v/>
      </c>
    </row>
    <row r="38" ht="21" customHeight="1">
      <c r="A38">
        <f>IFERROR(INDEX(tblScope11Stationary[ItemLabel],ROW()-12),"")</f>
        <v/>
      </c>
      <c r="B38">
        <f>IFERROR(INDEX(tblScope11Stationary[Evidence],ROW()-12),"")</f>
        <v/>
      </c>
      <c r="C38">
        <f>IFERROR(INDEX(tblScope11Stationary[Unit],ROW()-12),"")</f>
        <v/>
      </c>
      <c r="D38">
        <f>IF(A38="","",SUM(E38:P38))</f>
        <v/>
      </c>
      <c r="E38">
        <f>IFERROR(INDEX(tblScope11Stationary[M1],ROW()-12),"")</f>
        <v/>
      </c>
      <c r="F38">
        <f>IFERROR(INDEX(tblScope11Stationary[M2],ROW()-12),"")</f>
        <v/>
      </c>
      <c r="G38">
        <f>IFERROR(INDEX(tblScope11Stationary[M3],ROW()-12),"")</f>
        <v/>
      </c>
      <c r="H38">
        <f>IFERROR(INDEX(tblScope11Stationary[M4],ROW()-12),"")</f>
        <v/>
      </c>
      <c r="I38">
        <f>IFERROR(INDEX(tblScope11Stationary[M5],ROW()-12),"")</f>
        <v/>
      </c>
      <c r="J38">
        <f>IFERROR(INDEX(tblScope11Stationary[M6],ROW()-12),"")</f>
        <v/>
      </c>
      <c r="K38">
        <f>IFERROR(INDEX(tblScope11Stationary[M7],ROW()-12),"")</f>
        <v/>
      </c>
      <c r="L38">
        <f>IFERROR(INDEX(tblScope11Stationary[M8],ROW()-12),"")</f>
        <v/>
      </c>
      <c r="M38">
        <f>IFERROR(INDEX(tblScope11Stationary[M9],ROW()-12),"")</f>
        <v/>
      </c>
      <c r="N38">
        <f>IFERROR(INDEX(tblScope11Stationary[M10],ROW()-12),"")</f>
        <v/>
      </c>
      <c r="O38">
        <f>IFERROR(INDEX(tblScope11Stationary[M11],ROW()-12),"")</f>
        <v/>
      </c>
      <c r="P38">
        <f>IFERROR(INDEX(tblScope11Stationary[M12],ROW()-12),"")</f>
        <v/>
      </c>
    </row>
    <row r="39" ht="21" customHeight="1">
      <c r="A39">
        <f>IFERROR(INDEX(tblScope11Stationary[ItemLabel],ROW()-12),"")</f>
        <v/>
      </c>
      <c r="B39">
        <f>IFERROR(INDEX(tblScope11Stationary[Evidence],ROW()-12),"")</f>
        <v/>
      </c>
      <c r="C39">
        <f>IFERROR(INDEX(tblScope11Stationary[Unit],ROW()-12),"")</f>
        <v/>
      </c>
      <c r="D39">
        <f>IF(A39="","",SUM(E39:P39))</f>
        <v/>
      </c>
      <c r="E39">
        <f>IFERROR(INDEX(tblScope11Stationary[M1],ROW()-12),"")</f>
        <v/>
      </c>
      <c r="F39">
        <f>IFERROR(INDEX(tblScope11Stationary[M2],ROW()-12),"")</f>
        <v/>
      </c>
      <c r="G39">
        <f>IFERROR(INDEX(tblScope11Stationary[M3],ROW()-12),"")</f>
        <v/>
      </c>
      <c r="H39">
        <f>IFERROR(INDEX(tblScope11Stationary[M4],ROW()-12),"")</f>
        <v/>
      </c>
      <c r="I39">
        <f>IFERROR(INDEX(tblScope11Stationary[M5],ROW()-12),"")</f>
        <v/>
      </c>
      <c r="J39">
        <f>IFERROR(INDEX(tblScope11Stationary[M6],ROW()-12),"")</f>
        <v/>
      </c>
      <c r="K39">
        <f>IFERROR(INDEX(tblScope11Stationary[M7],ROW()-12),"")</f>
        <v/>
      </c>
      <c r="L39">
        <f>IFERROR(INDEX(tblScope11Stationary[M8],ROW()-12),"")</f>
        <v/>
      </c>
      <c r="M39">
        <f>IFERROR(INDEX(tblScope11Stationary[M9],ROW()-12),"")</f>
        <v/>
      </c>
      <c r="N39">
        <f>IFERROR(INDEX(tblScope11Stationary[M10],ROW()-12),"")</f>
        <v/>
      </c>
      <c r="O39">
        <f>IFERROR(INDEX(tblScope11Stationary[M11],ROW()-12),"")</f>
        <v/>
      </c>
      <c r="P39">
        <f>IFERROR(INDEX(tblScope11Stationary[M12],ROW()-12),"")</f>
        <v/>
      </c>
    </row>
    <row r="40" ht="21" customHeight="1">
      <c r="A40">
        <f>IFERROR(INDEX(tblScope11Stationary[ItemLabel],ROW()-12),"")</f>
        <v/>
      </c>
      <c r="B40">
        <f>IFERROR(INDEX(tblScope11Stationary[Evidence],ROW()-12),"")</f>
        <v/>
      </c>
      <c r="C40">
        <f>IFERROR(INDEX(tblScope11Stationary[Unit],ROW()-12),"")</f>
        <v/>
      </c>
      <c r="D40">
        <f>IF(A40="","",SUM(E40:P40))</f>
        <v/>
      </c>
      <c r="E40">
        <f>IFERROR(INDEX(tblScope11Stationary[M1],ROW()-12),"")</f>
        <v/>
      </c>
      <c r="F40">
        <f>IFERROR(INDEX(tblScope11Stationary[M2],ROW()-12),"")</f>
        <v/>
      </c>
      <c r="G40">
        <f>IFERROR(INDEX(tblScope11Stationary[M3],ROW()-12),"")</f>
        <v/>
      </c>
      <c r="H40">
        <f>IFERROR(INDEX(tblScope11Stationary[M4],ROW()-12),"")</f>
        <v/>
      </c>
      <c r="I40">
        <f>IFERROR(INDEX(tblScope11Stationary[M5],ROW()-12),"")</f>
        <v/>
      </c>
      <c r="J40">
        <f>IFERROR(INDEX(tblScope11Stationary[M6],ROW()-12),"")</f>
        <v/>
      </c>
      <c r="K40">
        <f>IFERROR(INDEX(tblScope11Stationary[M7],ROW()-12),"")</f>
        <v/>
      </c>
      <c r="L40">
        <f>IFERROR(INDEX(tblScope11Stationary[M8],ROW()-12),"")</f>
        <v/>
      </c>
      <c r="M40">
        <f>IFERROR(INDEX(tblScope11Stationary[M9],ROW()-12),"")</f>
        <v/>
      </c>
      <c r="N40">
        <f>IFERROR(INDEX(tblScope11Stationary[M10],ROW()-12),"")</f>
        <v/>
      </c>
      <c r="O40">
        <f>IFERROR(INDEX(tblScope11Stationary[M11],ROW()-12),"")</f>
        <v/>
      </c>
      <c r="P40">
        <f>IFERROR(INDEX(tblScope11Stationary[M12],ROW()-12),"")</f>
        <v/>
      </c>
    </row>
    <row r="41" ht="21" customHeight="1">
      <c r="A41">
        <f>IFERROR(INDEX(tblScope11Stationary[ItemLabel],ROW()-12),"")</f>
        <v/>
      </c>
      <c r="B41">
        <f>IFERROR(INDEX(tblScope11Stationary[Evidence],ROW()-12),"")</f>
        <v/>
      </c>
      <c r="C41">
        <f>IFERROR(INDEX(tblScope11Stationary[Unit],ROW()-12),"")</f>
        <v/>
      </c>
      <c r="D41">
        <f>IF(A41="","",SUM(E41:P41))</f>
        <v/>
      </c>
      <c r="E41">
        <f>IFERROR(INDEX(tblScope11Stationary[M1],ROW()-12),"")</f>
        <v/>
      </c>
      <c r="F41">
        <f>IFERROR(INDEX(tblScope11Stationary[M2],ROW()-12),"")</f>
        <v/>
      </c>
      <c r="G41">
        <f>IFERROR(INDEX(tblScope11Stationary[M3],ROW()-12),"")</f>
        <v/>
      </c>
      <c r="H41">
        <f>IFERROR(INDEX(tblScope11Stationary[M4],ROW()-12),"")</f>
        <v/>
      </c>
      <c r="I41">
        <f>IFERROR(INDEX(tblScope11Stationary[M5],ROW()-12),"")</f>
        <v/>
      </c>
      <c r="J41">
        <f>IFERROR(INDEX(tblScope11Stationary[M6],ROW()-12),"")</f>
        <v/>
      </c>
      <c r="K41">
        <f>IFERROR(INDEX(tblScope11Stationary[M7],ROW()-12),"")</f>
        <v/>
      </c>
      <c r="L41">
        <f>IFERROR(INDEX(tblScope11Stationary[M8],ROW()-12),"")</f>
        <v/>
      </c>
      <c r="M41">
        <f>IFERROR(INDEX(tblScope11Stationary[M9],ROW()-12),"")</f>
        <v/>
      </c>
      <c r="N41">
        <f>IFERROR(INDEX(tblScope11Stationary[M10],ROW()-12),"")</f>
        <v/>
      </c>
      <c r="O41">
        <f>IFERROR(INDEX(tblScope11Stationary[M11],ROW()-12),"")</f>
        <v/>
      </c>
      <c r="P41">
        <f>IFERROR(INDEX(tblScope11Stationary[M12],ROW()-12),"")</f>
        <v/>
      </c>
    </row>
    <row r="42" ht="21" customHeight="1">
      <c r="A42">
        <f>IFERROR(INDEX(tblScope11Stationary[ItemLabel],ROW()-12),"")</f>
        <v/>
      </c>
      <c r="B42">
        <f>IFERROR(INDEX(tblScope11Stationary[Evidence],ROW()-12),"")</f>
        <v/>
      </c>
      <c r="C42">
        <f>IFERROR(INDEX(tblScope11Stationary[Unit],ROW()-12),"")</f>
        <v/>
      </c>
      <c r="D42">
        <f>IF(A42="","",SUM(E42:P42))</f>
        <v/>
      </c>
      <c r="E42">
        <f>IFERROR(INDEX(tblScope11Stationary[M1],ROW()-12),"")</f>
        <v/>
      </c>
      <c r="F42">
        <f>IFERROR(INDEX(tblScope11Stationary[M2],ROW()-12),"")</f>
        <v/>
      </c>
      <c r="G42">
        <f>IFERROR(INDEX(tblScope11Stationary[M3],ROW()-12),"")</f>
        <v/>
      </c>
      <c r="H42">
        <f>IFERROR(INDEX(tblScope11Stationary[M4],ROW()-12),"")</f>
        <v/>
      </c>
      <c r="I42">
        <f>IFERROR(INDEX(tblScope11Stationary[M5],ROW()-12),"")</f>
        <v/>
      </c>
      <c r="J42">
        <f>IFERROR(INDEX(tblScope11Stationary[M6],ROW()-12),"")</f>
        <v/>
      </c>
      <c r="K42">
        <f>IFERROR(INDEX(tblScope11Stationary[M7],ROW()-12),"")</f>
        <v/>
      </c>
      <c r="L42">
        <f>IFERROR(INDEX(tblScope11Stationary[M8],ROW()-12),"")</f>
        <v/>
      </c>
      <c r="M42">
        <f>IFERROR(INDEX(tblScope11Stationary[M9],ROW()-12),"")</f>
        <v/>
      </c>
      <c r="N42">
        <f>IFERROR(INDEX(tblScope11Stationary[M10],ROW()-12),"")</f>
        <v/>
      </c>
      <c r="O42">
        <f>IFERROR(INDEX(tblScope11Stationary[M11],ROW()-12),"")</f>
        <v/>
      </c>
      <c r="P42">
        <f>IFERROR(INDEX(tblScope11Stationary[M12],ROW()-12),"")</f>
        <v/>
      </c>
    </row>
    <row r="43" ht="21" customHeight="1">
      <c r="A43">
        <f>IFERROR(INDEX(tblScope11Stationary[ItemLabel],ROW()-12),"")</f>
        <v/>
      </c>
      <c r="B43">
        <f>IFERROR(INDEX(tblScope11Stationary[Evidence],ROW()-12),"")</f>
        <v/>
      </c>
      <c r="C43">
        <f>IFERROR(INDEX(tblScope11Stationary[Unit],ROW()-12),"")</f>
        <v/>
      </c>
      <c r="D43">
        <f>IF(A43="","",SUM(E43:P43))</f>
        <v/>
      </c>
      <c r="E43">
        <f>IFERROR(INDEX(tblScope11Stationary[M1],ROW()-12),"")</f>
        <v/>
      </c>
      <c r="F43">
        <f>IFERROR(INDEX(tblScope11Stationary[M2],ROW()-12),"")</f>
        <v/>
      </c>
      <c r="G43">
        <f>IFERROR(INDEX(tblScope11Stationary[M3],ROW()-12),"")</f>
        <v/>
      </c>
      <c r="H43">
        <f>IFERROR(INDEX(tblScope11Stationary[M4],ROW()-12),"")</f>
        <v/>
      </c>
      <c r="I43">
        <f>IFERROR(INDEX(tblScope11Stationary[M5],ROW()-12),"")</f>
        <v/>
      </c>
      <c r="J43">
        <f>IFERROR(INDEX(tblScope11Stationary[M6],ROW()-12),"")</f>
        <v/>
      </c>
      <c r="K43">
        <f>IFERROR(INDEX(tblScope11Stationary[M7],ROW()-12),"")</f>
        <v/>
      </c>
      <c r="L43">
        <f>IFERROR(INDEX(tblScope11Stationary[M8],ROW()-12),"")</f>
        <v/>
      </c>
      <c r="M43">
        <f>IFERROR(INDEX(tblScope11Stationary[M9],ROW()-12),"")</f>
        <v/>
      </c>
      <c r="N43">
        <f>IFERROR(INDEX(tblScope11Stationary[M10],ROW()-12),"")</f>
        <v/>
      </c>
      <c r="O43">
        <f>IFERROR(INDEX(tblScope11Stationary[M11],ROW()-12),"")</f>
        <v/>
      </c>
      <c r="P43">
        <f>IFERROR(INDEX(tblScope11Stationary[M12],ROW()-12),"")</f>
        <v/>
      </c>
    </row>
    <row r="44" ht="21" customHeight="1">
      <c r="A44">
        <f>IFERROR(INDEX(tblScope11Stationary[ItemLabel],ROW()-12),"")</f>
        <v/>
      </c>
      <c r="B44">
        <f>IFERROR(INDEX(tblScope11Stationary[Evidence],ROW()-12),"")</f>
        <v/>
      </c>
      <c r="C44">
        <f>IFERROR(INDEX(tblScope11Stationary[Unit],ROW()-12),"")</f>
        <v/>
      </c>
      <c r="D44">
        <f>IF(A44="","",SUM(E44:P44))</f>
        <v/>
      </c>
      <c r="E44">
        <f>IFERROR(INDEX(tblScope11Stationary[M1],ROW()-12),"")</f>
        <v/>
      </c>
      <c r="F44">
        <f>IFERROR(INDEX(tblScope11Stationary[M2],ROW()-12),"")</f>
        <v/>
      </c>
      <c r="G44">
        <f>IFERROR(INDEX(tblScope11Stationary[M3],ROW()-12),"")</f>
        <v/>
      </c>
      <c r="H44">
        <f>IFERROR(INDEX(tblScope11Stationary[M4],ROW()-12),"")</f>
        <v/>
      </c>
      <c r="I44">
        <f>IFERROR(INDEX(tblScope11Stationary[M5],ROW()-12),"")</f>
        <v/>
      </c>
      <c r="J44">
        <f>IFERROR(INDEX(tblScope11Stationary[M6],ROW()-12),"")</f>
        <v/>
      </c>
      <c r="K44">
        <f>IFERROR(INDEX(tblScope11Stationary[M7],ROW()-12),"")</f>
        <v/>
      </c>
      <c r="L44">
        <f>IFERROR(INDEX(tblScope11Stationary[M8],ROW()-12),"")</f>
        <v/>
      </c>
      <c r="M44">
        <f>IFERROR(INDEX(tblScope11Stationary[M9],ROW()-12),"")</f>
        <v/>
      </c>
      <c r="N44">
        <f>IFERROR(INDEX(tblScope11Stationary[M10],ROW()-12),"")</f>
        <v/>
      </c>
      <c r="O44">
        <f>IFERROR(INDEX(tblScope11Stationary[M11],ROW()-12),"")</f>
        <v/>
      </c>
      <c r="P44">
        <f>IFERROR(INDEX(tblScope11Stationary[M12],ROW()-12),"")</f>
        <v/>
      </c>
    </row>
    <row r="45" ht="21" customHeight="1">
      <c r="A45">
        <f>IFERROR(INDEX(tblScope11Stationary[ItemLabel],ROW()-12),"")</f>
        <v/>
      </c>
      <c r="B45">
        <f>IFERROR(INDEX(tblScope11Stationary[Evidence],ROW()-12),"")</f>
        <v/>
      </c>
      <c r="C45">
        <f>IFERROR(INDEX(tblScope11Stationary[Unit],ROW()-12),"")</f>
        <v/>
      </c>
      <c r="D45">
        <f>IF(A45="","",SUM(E45:P45))</f>
        <v/>
      </c>
      <c r="E45">
        <f>IFERROR(INDEX(tblScope11Stationary[M1],ROW()-12),"")</f>
        <v/>
      </c>
      <c r="F45">
        <f>IFERROR(INDEX(tblScope11Stationary[M2],ROW()-12),"")</f>
        <v/>
      </c>
      <c r="G45">
        <f>IFERROR(INDEX(tblScope11Stationary[M3],ROW()-12),"")</f>
        <v/>
      </c>
      <c r="H45">
        <f>IFERROR(INDEX(tblScope11Stationary[M4],ROW()-12),"")</f>
        <v/>
      </c>
      <c r="I45">
        <f>IFERROR(INDEX(tblScope11Stationary[M5],ROW()-12),"")</f>
        <v/>
      </c>
      <c r="J45">
        <f>IFERROR(INDEX(tblScope11Stationary[M6],ROW()-12),"")</f>
        <v/>
      </c>
      <c r="K45">
        <f>IFERROR(INDEX(tblScope11Stationary[M7],ROW()-12),"")</f>
        <v/>
      </c>
      <c r="L45">
        <f>IFERROR(INDEX(tblScope11Stationary[M8],ROW()-12),"")</f>
        <v/>
      </c>
      <c r="M45">
        <f>IFERROR(INDEX(tblScope11Stationary[M9],ROW()-12),"")</f>
        <v/>
      </c>
      <c r="N45">
        <f>IFERROR(INDEX(tblScope11Stationary[M10],ROW()-12),"")</f>
        <v/>
      </c>
      <c r="O45">
        <f>IFERROR(INDEX(tblScope11Stationary[M11],ROW()-12),"")</f>
        <v/>
      </c>
      <c r="P45">
        <f>IFERROR(INDEX(tblScope11Stationary[M12],ROW()-12),"")</f>
        <v/>
      </c>
    </row>
    <row r="46" ht="21" customHeight="1">
      <c r="A46">
        <f>IFERROR(INDEX(tblScope11Stationary[ItemLabel],ROW()-12),"")</f>
        <v/>
      </c>
      <c r="B46">
        <f>IFERROR(INDEX(tblScope11Stationary[Evidence],ROW()-12),"")</f>
        <v/>
      </c>
      <c r="C46">
        <f>IFERROR(INDEX(tblScope11Stationary[Unit],ROW()-12),"")</f>
        <v/>
      </c>
      <c r="D46">
        <f>IF(A46="","",SUM(E46:P46))</f>
        <v/>
      </c>
      <c r="E46">
        <f>IFERROR(INDEX(tblScope11Stationary[M1],ROW()-12),"")</f>
        <v/>
      </c>
      <c r="F46">
        <f>IFERROR(INDEX(tblScope11Stationary[M2],ROW()-12),"")</f>
        <v/>
      </c>
      <c r="G46">
        <f>IFERROR(INDEX(tblScope11Stationary[M3],ROW()-12),"")</f>
        <v/>
      </c>
      <c r="H46">
        <f>IFERROR(INDEX(tblScope11Stationary[M4],ROW()-12),"")</f>
        <v/>
      </c>
      <c r="I46">
        <f>IFERROR(INDEX(tblScope11Stationary[M5],ROW()-12),"")</f>
        <v/>
      </c>
      <c r="J46">
        <f>IFERROR(INDEX(tblScope11Stationary[M6],ROW()-12),"")</f>
        <v/>
      </c>
      <c r="K46">
        <f>IFERROR(INDEX(tblScope11Stationary[M7],ROW()-12),"")</f>
        <v/>
      </c>
      <c r="L46">
        <f>IFERROR(INDEX(tblScope11Stationary[M8],ROW()-12),"")</f>
        <v/>
      </c>
      <c r="M46">
        <f>IFERROR(INDEX(tblScope11Stationary[M9],ROW()-12),"")</f>
        <v/>
      </c>
      <c r="N46">
        <f>IFERROR(INDEX(tblScope11Stationary[M10],ROW()-12),"")</f>
        <v/>
      </c>
      <c r="O46">
        <f>IFERROR(INDEX(tblScope11Stationary[M11],ROW()-12),"")</f>
        <v/>
      </c>
      <c r="P46">
        <f>IFERROR(INDEX(tblScope11Stationary[M12],ROW()-12),"")</f>
        <v/>
      </c>
    </row>
    <row r="47" ht="21" customHeight="1">
      <c r="A47">
        <f>IFERROR(INDEX(tblScope11Stationary[ItemLabel],ROW()-12),"")</f>
        <v/>
      </c>
      <c r="B47">
        <f>IFERROR(INDEX(tblScope11Stationary[Evidence],ROW()-12),"")</f>
        <v/>
      </c>
      <c r="C47">
        <f>IFERROR(INDEX(tblScope11Stationary[Unit],ROW()-12),"")</f>
        <v/>
      </c>
      <c r="D47">
        <f>IF(A47="","",SUM(E47:P47))</f>
        <v/>
      </c>
      <c r="E47">
        <f>IFERROR(INDEX(tblScope11Stationary[M1],ROW()-12),"")</f>
        <v/>
      </c>
      <c r="F47">
        <f>IFERROR(INDEX(tblScope11Stationary[M2],ROW()-12),"")</f>
        <v/>
      </c>
      <c r="G47">
        <f>IFERROR(INDEX(tblScope11Stationary[M3],ROW()-12),"")</f>
        <v/>
      </c>
      <c r="H47">
        <f>IFERROR(INDEX(tblScope11Stationary[M4],ROW()-12),"")</f>
        <v/>
      </c>
      <c r="I47">
        <f>IFERROR(INDEX(tblScope11Stationary[M5],ROW()-12),"")</f>
        <v/>
      </c>
      <c r="J47">
        <f>IFERROR(INDEX(tblScope11Stationary[M6],ROW()-12),"")</f>
        <v/>
      </c>
      <c r="K47">
        <f>IFERROR(INDEX(tblScope11Stationary[M7],ROW()-12),"")</f>
        <v/>
      </c>
      <c r="L47">
        <f>IFERROR(INDEX(tblScope11Stationary[M8],ROW()-12),"")</f>
        <v/>
      </c>
      <c r="M47">
        <f>IFERROR(INDEX(tblScope11Stationary[M9],ROW()-12),"")</f>
        <v/>
      </c>
      <c r="N47">
        <f>IFERROR(INDEX(tblScope11Stationary[M10],ROW()-12),"")</f>
        <v/>
      </c>
      <c r="O47">
        <f>IFERROR(INDEX(tblScope11Stationary[M11],ROW()-12),"")</f>
        <v/>
      </c>
      <c r="P47">
        <f>IFERROR(INDEX(tblScope11Stationary[M12],ROW()-12),"")</f>
        <v/>
      </c>
    </row>
    <row r="48" ht="21" customHeight="1">
      <c r="A48">
        <f>IFERROR(INDEX(tblScope11Stationary[ItemLabel],ROW()-12),"")</f>
        <v/>
      </c>
      <c r="B48">
        <f>IFERROR(INDEX(tblScope11Stationary[Evidence],ROW()-12),"")</f>
        <v/>
      </c>
      <c r="C48">
        <f>IFERROR(INDEX(tblScope11Stationary[Unit],ROW()-12),"")</f>
        <v/>
      </c>
      <c r="D48">
        <f>IF(A48="","",SUM(E48:P48))</f>
        <v/>
      </c>
      <c r="E48">
        <f>IFERROR(INDEX(tblScope11Stationary[M1],ROW()-12),"")</f>
        <v/>
      </c>
      <c r="F48">
        <f>IFERROR(INDEX(tblScope11Stationary[M2],ROW()-12),"")</f>
        <v/>
      </c>
      <c r="G48">
        <f>IFERROR(INDEX(tblScope11Stationary[M3],ROW()-12),"")</f>
        <v/>
      </c>
      <c r="H48">
        <f>IFERROR(INDEX(tblScope11Stationary[M4],ROW()-12),"")</f>
        <v/>
      </c>
      <c r="I48">
        <f>IFERROR(INDEX(tblScope11Stationary[M5],ROW()-12),"")</f>
        <v/>
      </c>
      <c r="J48">
        <f>IFERROR(INDEX(tblScope11Stationary[M6],ROW()-12),"")</f>
        <v/>
      </c>
      <c r="K48">
        <f>IFERROR(INDEX(tblScope11Stationary[M7],ROW()-12),"")</f>
        <v/>
      </c>
      <c r="L48">
        <f>IFERROR(INDEX(tblScope11Stationary[M8],ROW()-12),"")</f>
        <v/>
      </c>
      <c r="M48">
        <f>IFERROR(INDEX(tblScope11Stationary[M9],ROW()-12),"")</f>
        <v/>
      </c>
      <c r="N48">
        <f>IFERROR(INDEX(tblScope11Stationary[M10],ROW()-12),"")</f>
        <v/>
      </c>
      <c r="O48">
        <f>IFERROR(INDEX(tblScope11Stationary[M11],ROW()-12),"")</f>
        <v/>
      </c>
      <c r="P48">
        <f>IFERROR(INDEX(tblScope11Stationary[M12],ROW()-12),"")</f>
        <v/>
      </c>
    </row>
    <row r="49" ht="21" customHeight="1">
      <c r="A49">
        <f>IFERROR(INDEX(tblScope11Stationary[ItemLabel],ROW()-12),"")</f>
        <v/>
      </c>
      <c r="B49">
        <f>IFERROR(INDEX(tblScope11Stationary[Evidence],ROW()-12),"")</f>
        <v/>
      </c>
      <c r="C49">
        <f>IFERROR(INDEX(tblScope11Stationary[Unit],ROW()-12),"")</f>
        <v/>
      </c>
      <c r="D49">
        <f>IF(A49="","",SUM(E49:P49))</f>
        <v/>
      </c>
      <c r="E49">
        <f>IFERROR(INDEX(tblScope11Stationary[M1],ROW()-12),"")</f>
        <v/>
      </c>
      <c r="F49">
        <f>IFERROR(INDEX(tblScope11Stationary[M2],ROW()-12),"")</f>
        <v/>
      </c>
      <c r="G49">
        <f>IFERROR(INDEX(tblScope11Stationary[M3],ROW()-12),"")</f>
        <v/>
      </c>
      <c r="H49">
        <f>IFERROR(INDEX(tblScope11Stationary[M4],ROW()-12),"")</f>
        <v/>
      </c>
      <c r="I49">
        <f>IFERROR(INDEX(tblScope11Stationary[M5],ROW()-12),"")</f>
        <v/>
      </c>
      <c r="J49">
        <f>IFERROR(INDEX(tblScope11Stationary[M6],ROW()-12),"")</f>
        <v/>
      </c>
      <c r="K49">
        <f>IFERROR(INDEX(tblScope11Stationary[M7],ROW()-12),"")</f>
        <v/>
      </c>
      <c r="L49">
        <f>IFERROR(INDEX(tblScope11Stationary[M8],ROW()-12),"")</f>
        <v/>
      </c>
      <c r="M49">
        <f>IFERROR(INDEX(tblScope11Stationary[M9],ROW()-12),"")</f>
        <v/>
      </c>
      <c r="N49">
        <f>IFERROR(INDEX(tblScope11Stationary[M10],ROW()-12),"")</f>
        <v/>
      </c>
      <c r="O49">
        <f>IFERROR(INDEX(tblScope11Stationary[M11],ROW()-12),"")</f>
        <v/>
      </c>
      <c r="P49">
        <f>IFERROR(INDEX(tblScope11Stationary[M12],ROW()-12),"")</f>
        <v/>
      </c>
    </row>
    <row r="50" ht="21" customHeight="1">
      <c r="A50">
        <f>IFERROR(INDEX(tblScope11Stationary[ItemLabel],ROW()-12),"")</f>
        <v/>
      </c>
      <c r="B50">
        <f>IFERROR(INDEX(tblScope11Stationary[Evidence],ROW()-12),"")</f>
        <v/>
      </c>
      <c r="C50">
        <f>IFERROR(INDEX(tblScope11Stationary[Unit],ROW()-12),"")</f>
        <v/>
      </c>
      <c r="D50">
        <f>IF(A50="","",SUM(E50:P50))</f>
        <v/>
      </c>
      <c r="E50">
        <f>IFERROR(INDEX(tblScope11Stationary[M1],ROW()-12),"")</f>
        <v/>
      </c>
      <c r="F50">
        <f>IFERROR(INDEX(tblScope11Stationary[M2],ROW()-12),"")</f>
        <v/>
      </c>
      <c r="G50">
        <f>IFERROR(INDEX(tblScope11Stationary[M3],ROW()-12),"")</f>
        <v/>
      </c>
      <c r="H50">
        <f>IFERROR(INDEX(tblScope11Stationary[M4],ROW()-12),"")</f>
        <v/>
      </c>
      <c r="I50">
        <f>IFERROR(INDEX(tblScope11Stationary[M5],ROW()-12),"")</f>
        <v/>
      </c>
      <c r="J50">
        <f>IFERROR(INDEX(tblScope11Stationary[M6],ROW()-12),"")</f>
        <v/>
      </c>
      <c r="K50">
        <f>IFERROR(INDEX(tblScope11Stationary[M7],ROW()-12),"")</f>
        <v/>
      </c>
      <c r="L50">
        <f>IFERROR(INDEX(tblScope11Stationary[M8],ROW()-12),"")</f>
        <v/>
      </c>
      <c r="M50">
        <f>IFERROR(INDEX(tblScope11Stationary[M9],ROW()-12),"")</f>
        <v/>
      </c>
      <c r="N50">
        <f>IFERROR(INDEX(tblScope11Stationary[M10],ROW()-12),"")</f>
        <v/>
      </c>
      <c r="O50">
        <f>IFERROR(INDEX(tblScope11Stationary[M11],ROW()-12),"")</f>
        <v/>
      </c>
      <c r="P50">
        <f>IFERROR(INDEX(tblScope11Stationary[M12],ROW()-12),"")</f>
        <v/>
      </c>
    </row>
    <row r="51" ht="21" customHeight="1">
      <c r="A51">
        <f>IFERROR(INDEX(tblScope11Stationary[ItemLabel],ROW()-12),"")</f>
        <v/>
      </c>
      <c r="B51">
        <f>IFERROR(INDEX(tblScope11Stationary[Evidence],ROW()-12),"")</f>
        <v/>
      </c>
      <c r="C51">
        <f>IFERROR(INDEX(tblScope11Stationary[Unit],ROW()-12),"")</f>
        <v/>
      </c>
      <c r="D51">
        <f>IF(A51="","",SUM(E51:P51))</f>
        <v/>
      </c>
      <c r="E51">
        <f>IFERROR(INDEX(tblScope11Stationary[M1],ROW()-12),"")</f>
        <v/>
      </c>
      <c r="F51">
        <f>IFERROR(INDEX(tblScope11Stationary[M2],ROW()-12),"")</f>
        <v/>
      </c>
      <c r="G51">
        <f>IFERROR(INDEX(tblScope11Stationary[M3],ROW()-12),"")</f>
        <v/>
      </c>
      <c r="H51">
        <f>IFERROR(INDEX(tblScope11Stationary[M4],ROW()-12),"")</f>
        <v/>
      </c>
      <c r="I51">
        <f>IFERROR(INDEX(tblScope11Stationary[M5],ROW()-12),"")</f>
        <v/>
      </c>
      <c r="J51">
        <f>IFERROR(INDEX(tblScope11Stationary[M6],ROW()-12),"")</f>
        <v/>
      </c>
      <c r="K51">
        <f>IFERROR(INDEX(tblScope11Stationary[M7],ROW()-12),"")</f>
        <v/>
      </c>
      <c r="L51">
        <f>IFERROR(INDEX(tblScope11Stationary[M8],ROW()-12),"")</f>
        <v/>
      </c>
      <c r="M51">
        <f>IFERROR(INDEX(tblScope11Stationary[M9],ROW()-12),"")</f>
        <v/>
      </c>
      <c r="N51">
        <f>IFERROR(INDEX(tblScope11Stationary[M10],ROW()-12),"")</f>
        <v/>
      </c>
      <c r="O51">
        <f>IFERROR(INDEX(tblScope11Stationary[M11],ROW()-12),"")</f>
        <v/>
      </c>
      <c r="P51">
        <f>IFERROR(INDEX(tblScope11Stationary[M12],ROW()-12),"")</f>
        <v/>
      </c>
    </row>
    <row r="52" ht="21" customHeight="1">
      <c r="A52">
        <f>IFERROR(INDEX(tblScope11Stationary[ItemLabel],ROW()-12),"")</f>
        <v/>
      </c>
      <c r="B52">
        <f>IFERROR(INDEX(tblScope11Stationary[Evidence],ROW()-12),"")</f>
        <v/>
      </c>
      <c r="C52">
        <f>IFERROR(INDEX(tblScope11Stationary[Unit],ROW()-12),"")</f>
        <v/>
      </c>
      <c r="D52">
        <f>IF(A52="","",SUM(E52:P52))</f>
        <v/>
      </c>
      <c r="E52">
        <f>IFERROR(INDEX(tblScope11Stationary[M1],ROW()-12),"")</f>
        <v/>
      </c>
      <c r="F52">
        <f>IFERROR(INDEX(tblScope11Stationary[M2],ROW()-12),"")</f>
        <v/>
      </c>
      <c r="G52">
        <f>IFERROR(INDEX(tblScope11Stationary[M3],ROW()-12),"")</f>
        <v/>
      </c>
      <c r="H52">
        <f>IFERROR(INDEX(tblScope11Stationary[M4],ROW()-12),"")</f>
        <v/>
      </c>
      <c r="I52">
        <f>IFERROR(INDEX(tblScope11Stationary[M5],ROW()-12),"")</f>
        <v/>
      </c>
      <c r="J52">
        <f>IFERROR(INDEX(tblScope11Stationary[M6],ROW()-12),"")</f>
        <v/>
      </c>
      <c r="K52">
        <f>IFERROR(INDEX(tblScope11Stationary[M7],ROW()-12),"")</f>
        <v/>
      </c>
      <c r="L52">
        <f>IFERROR(INDEX(tblScope11Stationary[M8],ROW()-12),"")</f>
        <v/>
      </c>
      <c r="M52">
        <f>IFERROR(INDEX(tblScope11Stationary[M9],ROW()-12),"")</f>
        <v/>
      </c>
      <c r="N52">
        <f>IFERROR(INDEX(tblScope11Stationary[M10],ROW()-12),"")</f>
        <v/>
      </c>
      <c r="O52">
        <f>IFERROR(INDEX(tblScope11Stationary[M11],ROW()-12),"")</f>
        <v/>
      </c>
      <c r="P52">
        <f>IFERROR(INDEX(tblScope11Stationary[M12],ROW()-12),"")</f>
        <v/>
      </c>
    </row>
    <row r="53" ht="21" customHeight="1">
      <c r="A53">
        <f>IFERROR(INDEX(tblScope11Stationary[ItemLabel],ROW()-12),"")</f>
        <v/>
      </c>
      <c r="B53">
        <f>IFERROR(INDEX(tblScope11Stationary[Evidence],ROW()-12),"")</f>
        <v/>
      </c>
      <c r="C53">
        <f>IFERROR(INDEX(tblScope11Stationary[Unit],ROW()-12),"")</f>
        <v/>
      </c>
      <c r="D53">
        <f>IF(A53="","",SUM(E53:P53))</f>
        <v/>
      </c>
      <c r="E53">
        <f>IFERROR(INDEX(tblScope11Stationary[M1],ROW()-12),"")</f>
        <v/>
      </c>
      <c r="F53">
        <f>IFERROR(INDEX(tblScope11Stationary[M2],ROW()-12),"")</f>
        <v/>
      </c>
      <c r="G53">
        <f>IFERROR(INDEX(tblScope11Stationary[M3],ROW()-12),"")</f>
        <v/>
      </c>
      <c r="H53">
        <f>IFERROR(INDEX(tblScope11Stationary[M4],ROW()-12),"")</f>
        <v/>
      </c>
      <c r="I53">
        <f>IFERROR(INDEX(tblScope11Stationary[M5],ROW()-12),"")</f>
        <v/>
      </c>
      <c r="J53">
        <f>IFERROR(INDEX(tblScope11Stationary[M6],ROW()-12),"")</f>
        <v/>
      </c>
      <c r="K53">
        <f>IFERROR(INDEX(tblScope11Stationary[M7],ROW()-12),"")</f>
        <v/>
      </c>
      <c r="L53">
        <f>IFERROR(INDEX(tblScope11Stationary[M8],ROW()-12),"")</f>
        <v/>
      </c>
      <c r="M53">
        <f>IFERROR(INDEX(tblScope11Stationary[M9],ROW()-12),"")</f>
        <v/>
      </c>
      <c r="N53">
        <f>IFERROR(INDEX(tblScope11Stationary[M10],ROW()-12),"")</f>
        <v/>
      </c>
      <c r="O53">
        <f>IFERROR(INDEX(tblScope11Stationary[M11],ROW()-12),"")</f>
        <v/>
      </c>
      <c r="P53">
        <f>IFERROR(INDEX(tblScope11Stationary[M12],ROW()-12),"")</f>
        <v/>
      </c>
    </row>
    <row r="54" ht="21" customHeight="1">
      <c r="A54">
        <f>IFERROR(INDEX(tblScope11Stationary[ItemLabel],ROW()-12),"")</f>
        <v/>
      </c>
      <c r="B54">
        <f>IFERROR(INDEX(tblScope11Stationary[Evidence],ROW()-12),"")</f>
        <v/>
      </c>
      <c r="C54">
        <f>IFERROR(INDEX(tblScope11Stationary[Unit],ROW()-12),"")</f>
        <v/>
      </c>
      <c r="D54">
        <f>IF(A54="","",SUM(E54:P54))</f>
        <v/>
      </c>
      <c r="E54">
        <f>IFERROR(INDEX(tblScope11Stationary[M1],ROW()-12),"")</f>
        <v/>
      </c>
      <c r="F54">
        <f>IFERROR(INDEX(tblScope11Stationary[M2],ROW()-12),"")</f>
        <v/>
      </c>
      <c r="G54">
        <f>IFERROR(INDEX(tblScope11Stationary[M3],ROW()-12),"")</f>
        <v/>
      </c>
      <c r="H54">
        <f>IFERROR(INDEX(tblScope11Stationary[M4],ROW()-12),"")</f>
        <v/>
      </c>
      <c r="I54">
        <f>IFERROR(INDEX(tblScope11Stationary[M5],ROW()-12),"")</f>
        <v/>
      </c>
      <c r="J54">
        <f>IFERROR(INDEX(tblScope11Stationary[M6],ROW()-12),"")</f>
        <v/>
      </c>
      <c r="K54">
        <f>IFERROR(INDEX(tblScope11Stationary[M7],ROW()-12),"")</f>
        <v/>
      </c>
      <c r="L54">
        <f>IFERROR(INDEX(tblScope11Stationary[M8],ROW()-12),"")</f>
        <v/>
      </c>
      <c r="M54">
        <f>IFERROR(INDEX(tblScope11Stationary[M9],ROW()-12),"")</f>
        <v/>
      </c>
      <c r="N54">
        <f>IFERROR(INDEX(tblScope11Stationary[M10],ROW()-12),"")</f>
        <v/>
      </c>
      <c r="O54">
        <f>IFERROR(INDEX(tblScope11Stationary[M11],ROW()-12),"")</f>
        <v/>
      </c>
      <c r="P54">
        <f>IFERROR(INDEX(tblScope11Stationary[M12],ROW()-12),"")</f>
        <v/>
      </c>
    </row>
    <row r="55" ht="21" customHeight="1">
      <c r="A55">
        <f>IFERROR(INDEX(tblScope11Stationary[ItemLabel],ROW()-12),"")</f>
        <v/>
      </c>
      <c r="B55">
        <f>IFERROR(INDEX(tblScope11Stationary[Evidence],ROW()-12),"")</f>
        <v/>
      </c>
      <c r="C55">
        <f>IFERROR(INDEX(tblScope11Stationary[Unit],ROW()-12),"")</f>
        <v/>
      </c>
      <c r="D55">
        <f>IF(A55="","",SUM(E55:P55))</f>
        <v/>
      </c>
      <c r="E55">
        <f>IFERROR(INDEX(tblScope11Stationary[M1],ROW()-12),"")</f>
        <v/>
      </c>
      <c r="F55">
        <f>IFERROR(INDEX(tblScope11Stationary[M2],ROW()-12),"")</f>
        <v/>
      </c>
      <c r="G55">
        <f>IFERROR(INDEX(tblScope11Stationary[M3],ROW()-12),"")</f>
        <v/>
      </c>
      <c r="H55">
        <f>IFERROR(INDEX(tblScope11Stationary[M4],ROW()-12),"")</f>
        <v/>
      </c>
      <c r="I55">
        <f>IFERROR(INDEX(tblScope11Stationary[M5],ROW()-12),"")</f>
        <v/>
      </c>
      <c r="J55">
        <f>IFERROR(INDEX(tblScope11Stationary[M6],ROW()-12),"")</f>
        <v/>
      </c>
      <c r="K55">
        <f>IFERROR(INDEX(tblScope11Stationary[M7],ROW()-12),"")</f>
        <v/>
      </c>
      <c r="L55">
        <f>IFERROR(INDEX(tblScope11Stationary[M8],ROW()-12),"")</f>
        <v/>
      </c>
      <c r="M55">
        <f>IFERROR(INDEX(tblScope11Stationary[M9],ROW()-12),"")</f>
        <v/>
      </c>
      <c r="N55">
        <f>IFERROR(INDEX(tblScope11Stationary[M10],ROW()-12),"")</f>
        <v/>
      </c>
      <c r="O55">
        <f>IFERROR(INDEX(tblScope11Stationary[M11],ROW()-12),"")</f>
        <v/>
      </c>
      <c r="P55">
        <f>IFERROR(INDEX(tblScope11Stationary[M12],ROW()-12),"")</f>
        <v/>
      </c>
    </row>
    <row r="56" ht="21" customHeight="1">
      <c r="A56">
        <f>IFERROR(INDEX(tblScope11Stationary[ItemLabel],ROW()-12),"")</f>
        <v/>
      </c>
      <c r="B56">
        <f>IFERROR(INDEX(tblScope11Stationary[Evidence],ROW()-12),"")</f>
        <v/>
      </c>
      <c r="C56">
        <f>IFERROR(INDEX(tblScope11Stationary[Unit],ROW()-12),"")</f>
        <v/>
      </c>
      <c r="D56">
        <f>IF(A56="","",SUM(E56:P56))</f>
        <v/>
      </c>
      <c r="E56">
        <f>IFERROR(INDEX(tblScope11Stationary[M1],ROW()-12),"")</f>
        <v/>
      </c>
      <c r="F56">
        <f>IFERROR(INDEX(tblScope11Stationary[M2],ROW()-12),"")</f>
        <v/>
      </c>
      <c r="G56">
        <f>IFERROR(INDEX(tblScope11Stationary[M3],ROW()-12),"")</f>
        <v/>
      </c>
      <c r="H56">
        <f>IFERROR(INDEX(tblScope11Stationary[M4],ROW()-12),"")</f>
        <v/>
      </c>
      <c r="I56">
        <f>IFERROR(INDEX(tblScope11Stationary[M5],ROW()-12),"")</f>
        <v/>
      </c>
      <c r="J56">
        <f>IFERROR(INDEX(tblScope11Stationary[M6],ROW()-12),"")</f>
        <v/>
      </c>
      <c r="K56">
        <f>IFERROR(INDEX(tblScope11Stationary[M7],ROW()-12),"")</f>
        <v/>
      </c>
      <c r="L56">
        <f>IFERROR(INDEX(tblScope11Stationary[M8],ROW()-12),"")</f>
        <v/>
      </c>
      <c r="M56">
        <f>IFERROR(INDEX(tblScope11Stationary[M9],ROW()-12),"")</f>
        <v/>
      </c>
      <c r="N56">
        <f>IFERROR(INDEX(tblScope11Stationary[M10],ROW()-12),"")</f>
        <v/>
      </c>
      <c r="O56">
        <f>IFERROR(INDEX(tblScope11Stationary[M11],ROW()-12),"")</f>
        <v/>
      </c>
      <c r="P56">
        <f>IFERROR(INDEX(tblScope11Stationary[M12],ROW()-12),"")</f>
        <v/>
      </c>
    </row>
    <row r="57" ht="21" customHeight="1">
      <c r="A57">
        <f>IFERROR(INDEX(tblScope11Stationary[ItemLabel],ROW()-12),"")</f>
        <v/>
      </c>
      <c r="B57">
        <f>IFERROR(INDEX(tblScope11Stationary[Evidence],ROW()-12),"")</f>
        <v/>
      </c>
      <c r="C57">
        <f>IFERROR(INDEX(tblScope11Stationary[Unit],ROW()-12),"")</f>
        <v/>
      </c>
      <c r="D57">
        <f>IF(A57="","",SUM(E57:P57))</f>
        <v/>
      </c>
      <c r="E57">
        <f>IFERROR(INDEX(tblScope11Stationary[M1],ROW()-12),"")</f>
        <v/>
      </c>
      <c r="F57">
        <f>IFERROR(INDEX(tblScope11Stationary[M2],ROW()-12),"")</f>
        <v/>
      </c>
      <c r="G57">
        <f>IFERROR(INDEX(tblScope11Stationary[M3],ROW()-12),"")</f>
        <v/>
      </c>
      <c r="H57">
        <f>IFERROR(INDEX(tblScope11Stationary[M4],ROW()-12),"")</f>
        <v/>
      </c>
      <c r="I57">
        <f>IFERROR(INDEX(tblScope11Stationary[M5],ROW()-12),"")</f>
        <v/>
      </c>
      <c r="J57">
        <f>IFERROR(INDEX(tblScope11Stationary[M6],ROW()-12),"")</f>
        <v/>
      </c>
      <c r="K57">
        <f>IFERROR(INDEX(tblScope11Stationary[M7],ROW()-12),"")</f>
        <v/>
      </c>
      <c r="L57">
        <f>IFERROR(INDEX(tblScope11Stationary[M8],ROW()-12),"")</f>
        <v/>
      </c>
      <c r="M57">
        <f>IFERROR(INDEX(tblScope11Stationary[M9],ROW()-12),"")</f>
        <v/>
      </c>
      <c r="N57">
        <f>IFERROR(INDEX(tblScope11Stationary[M10],ROW()-12),"")</f>
        <v/>
      </c>
      <c r="O57">
        <f>IFERROR(INDEX(tblScope11Stationary[M11],ROW()-12),"")</f>
        <v/>
      </c>
      <c r="P57">
        <f>IFERROR(INDEX(tblScope11Stationary[M12],ROW()-12),"")</f>
        <v/>
      </c>
    </row>
    <row r="58" ht="21" customHeight="1">
      <c r="A58">
        <f>IFERROR(INDEX(tblScope11Stationary[ItemLabel],ROW()-12),"")</f>
        <v/>
      </c>
      <c r="B58">
        <f>IFERROR(INDEX(tblScope11Stationary[Evidence],ROW()-12),"")</f>
        <v/>
      </c>
      <c r="C58">
        <f>IFERROR(INDEX(tblScope11Stationary[Unit],ROW()-12),"")</f>
        <v/>
      </c>
      <c r="D58">
        <f>IF(A58="","",SUM(E58:P58))</f>
        <v/>
      </c>
      <c r="E58">
        <f>IFERROR(INDEX(tblScope11Stationary[M1],ROW()-12),"")</f>
        <v/>
      </c>
      <c r="F58">
        <f>IFERROR(INDEX(tblScope11Stationary[M2],ROW()-12),"")</f>
        <v/>
      </c>
      <c r="G58">
        <f>IFERROR(INDEX(tblScope11Stationary[M3],ROW()-12),"")</f>
        <v/>
      </c>
      <c r="H58">
        <f>IFERROR(INDEX(tblScope11Stationary[M4],ROW()-12),"")</f>
        <v/>
      </c>
      <c r="I58">
        <f>IFERROR(INDEX(tblScope11Stationary[M5],ROW()-12),"")</f>
        <v/>
      </c>
      <c r="J58">
        <f>IFERROR(INDEX(tblScope11Stationary[M6],ROW()-12),"")</f>
        <v/>
      </c>
      <c r="K58">
        <f>IFERROR(INDEX(tblScope11Stationary[M7],ROW()-12),"")</f>
        <v/>
      </c>
      <c r="L58">
        <f>IFERROR(INDEX(tblScope11Stationary[M8],ROW()-12),"")</f>
        <v/>
      </c>
      <c r="M58">
        <f>IFERROR(INDEX(tblScope11Stationary[M9],ROW()-12),"")</f>
        <v/>
      </c>
      <c r="N58">
        <f>IFERROR(INDEX(tblScope11Stationary[M10],ROW()-12),"")</f>
        <v/>
      </c>
      <c r="O58">
        <f>IFERROR(INDEX(tblScope11Stationary[M11],ROW()-12),"")</f>
        <v/>
      </c>
      <c r="P58">
        <f>IFERROR(INDEX(tblScope11Stationary[M12],ROW()-12),"")</f>
        <v/>
      </c>
    </row>
    <row r="59" ht="21" customHeight="1">
      <c r="A59">
        <f>IFERROR(INDEX(tblScope11Stationary[ItemLabel],ROW()-12),"")</f>
        <v/>
      </c>
      <c r="B59">
        <f>IFERROR(INDEX(tblScope11Stationary[Evidence],ROW()-12),"")</f>
        <v/>
      </c>
      <c r="C59">
        <f>IFERROR(INDEX(tblScope11Stationary[Unit],ROW()-12),"")</f>
        <v/>
      </c>
      <c r="D59">
        <f>IF(A59="","",SUM(E59:P59))</f>
        <v/>
      </c>
      <c r="E59">
        <f>IFERROR(INDEX(tblScope11Stationary[M1],ROW()-12),"")</f>
        <v/>
      </c>
      <c r="F59">
        <f>IFERROR(INDEX(tblScope11Stationary[M2],ROW()-12),"")</f>
        <v/>
      </c>
      <c r="G59">
        <f>IFERROR(INDEX(tblScope11Stationary[M3],ROW()-12),"")</f>
        <v/>
      </c>
      <c r="H59">
        <f>IFERROR(INDEX(tblScope11Stationary[M4],ROW()-12),"")</f>
        <v/>
      </c>
      <c r="I59">
        <f>IFERROR(INDEX(tblScope11Stationary[M5],ROW()-12),"")</f>
        <v/>
      </c>
      <c r="J59">
        <f>IFERROR(INDEX(tblScope11Stationary[M6],ROW()-12),"")</f>
        <v/>
      </c>
      <c r="K59">
        <f>IFERROR(INDEX(tblScope11Stationary[M7],ROW()-12),"")</f>
        <v/>
      </c>
      <c r="L59">
        <f>IFERROR(INDEX(tblScope11Stationary[M8],ROW()-12),"")</f>
        <v/>
      </c>
      <c r="M59">
        <f>IFERROR(INDEX(tblScope11Stationary[M9],ROW()-12),"")</f>
        <v/>
      </c>
      <c r="N59">
        <f>IFERROR(INDEX(tblScope11Stationary[M10],ROW()-12),"")</f>
        <v/>
      </c>
      <c r="O59">
        <f>IFERROR(INDEX(tblScope11Stationary[M11],ROW()-12),"")</f>
        <v/>
      </c>
      <c r="P59">
        <f>IFERROR(INDEX(tblScope11Stationary[M12],ROW()-12),"")</f>
        <v/>
      </c>
    </row>
    <row r="60" ht="21" customHeight="1">
      <c r="A60">
        <f>IFERROR(INDEX(tblScope11Stationary[ItemLabel],ROW()-12),"")</f>
        <v/>
      </c>
      <c r="B60">
        <f>IFERROR(INDEX(tblScope11Stationary[Evidence],ROW()-12),"")</f>
        <v/>
      </c>
      <c r="C60">
        <f>IFERROR(INDEX(tblScope11Stationary[Unit],ROW()-12),"")</f>
        <v/>
      </c>
      <c r="D60">
        <f>IF(A60="","",SUM(E60:P60))</f>
        <v/>
      </c>
      <c r="E60">
        <f>IFERROR(INDEX(tblScope11Stationary[M1],ROW()-12),"")</f>
        <v/>
      </c>
      <c r="F60">
        <f>IFERROR(INDEX(tblScope11Stationary[M2],ROW()-12),"")</f>
        <v/>
      </c>
      <c r="G60">
        <f>IFERROR(INDEX(tblScope11Stationary[M3],ROW()-12),"")</f>
        <v/>
      </c>
      <c r="H60">
        <f>IFERROR(INDEX(tblScope11Stationary[M4],ROW()-12),"")</f>
        <v/>
      </c>
      <c r="I60">
        <f>IFERROR(INDEX(tblScope11Stationary[M5],ROW()-12),"")</f>
        <v/>
      </c>
      <c r="J60">
        <f>IFERROR(INDEX(tblScope11Stationary[M6],ROW()-12),"")</f>
        <v/>
      </c>
      <c r="K60">
        <f>IFERROR(INDEX(tblScope11Stationary[M7],ROW()-12),"")</f>
        <v/>
      </c>
      <c r="L60">
        <f>IFERROR(INDEX(tblScope11Stationary[M8],ROW()-12),"")</f>
        <v/>
      </c>
      <c r="M60">
        <f>IFERROR(INDEX(tblScope11Stationary[M9],ROW()-12),"")</f>
        <v/>
      </c>
      <c r="N60">
        <f>IFERROR(INDEX(tblScope11Stationary[M10],ROW()-12),"")</f>
        <v/>
      </c>
      <c r="O60">
        <f>IFERROR(INDEX(tblScope11Stationary[M11],ROW()-12),"")</f>
        <v/>
      </c>
      <c r="P60">
        <f>IFERROR(INDEX(tblScope11Stationary[M12],ROW()-12),"")</f>
        <v/>
      </c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</sheetData>
  <mergeCells count="14">
    <mergeCell ref="A4:B4"/>
    <mergeCell ref="E7:P7"/>
    <mergeCell ref="H2:I2"/>
    <mergeCell ref="A2:B3"/>
    <mergeCell ref="C2:C3"/>
    <mergeCell ref="K2:L2"/>
    <mergeCell ref="A5:B5"/>
    <mergeCell ref="C7:C8"/>
    <mergeCell ref="A7:A8"/>
    <mergeCell ref="B7:B8"/>
    <mergeCell ref="D7:D8"/>
    <mergeCell ref="D2:D3"/>
    <mergeCell ref="F2:F3"/>
    <mergeCell ref="E2:E3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IE110"/>
  <sheetViews>
    <sheetView zoomScale="85" zoomScaleNormal="85" workbookViewId="0">
      <selection activeCell="F46" sqref="F46"/>
    </sheetView>
  </sheetViews>
  <sheetFormatPr baseColWidth="8" defaultColWidth="14.3984375" defaultRowHeight="13.2"/>
  <cols>
    <col width="21.59765625" customWidth="1" style="260" min="1" max="1"/>
    <col width="21.09765625" customWidth="1" style="260" min="2" max="2"/>
    <col width="8" customWidth="1" style="260" min="3" max="3"/>
    <col width="25.796875" customWidth="1" style="260" min="4" max="4"/>
    <col width="8.796875" customWidth="1" style="260" min="5" max="5"/>
    <col width="13.3984375" customWidth="1" style="260" min="6" max="6"/>
    <col width="10.3984375" customWidth="1" style="260" min="7" max="8"/>
    <col width="10.19921875" customWidth="1" style="260" min="9" max="9"/>
    <col width="10.296875" customWidth="1" style="260" min="10" max="10"/>
    <col width="10" customWidth="1" style="260" min="11" max="11"/>
    <col width="9.59765625" customWidth="1" style="260" min="12" max="12"/>
    <col width="9.8984375" customWidth="1" style="260" min="13" max="17"/>
    <col width="8.796875" customWidth="1" style="260" min="18" max="18"/>
    <col width="9.8984375" customWidth="1" style="260" min="19" max="22"/>
    <col width="8.796875" customWidth="1" style="260" min="23" max="29"/>
    <col width="14.3984375" customWidth="1" style="260" min="30" max="16384"/>
  </cols>
  <sheetData>
    <row r="1" ht="21" customHeight="1">
      <c r="A1" s="259" t="inlineStr">
        <is>
          <t>Mobile combustion</t>
        </is>
      </c>
      <c r="B1" s="259" t="n"/>
      <c r="C1" s="259" t="n"/>
    </row>
    <row r="2" ht="21" customHeight="1">
      <c r="A2" s="259" t="inlineStr">
        <is>
          <t>สรุปรายการน้ำมัน</t>
        </is>
      </c>
      <c r="B2" s="259" t="n"/>
      <c r="C2" s="259" t="n"/>
    </row>
    <row r="3" ht="21" customHeight="1">
      <c r="A3" s="1647" t="inlineStr">
        <is>
          <t>รายการ</t>
        </is>
      </c>
      <c r="B3" s="1451" t="n"/>
      <c r="C3" s="1299" t="inlineStr">
        <is>
          <t>ชนิด</t>
        </is>
      </c>
      <c r="D3" s="1299" t="inlineStr">
        <is>
          <t>หลักฐาน</t>
        </is>
      </c>
      <c r="E3" s="1299" t="inlineStr">
        <is>
          <t>หน่วย</t>
        </is>
      </c>
      <c r="F3" s="1299" t="inlineStr">
        <is>
          <t>ปริมาณน้ำมัน</t>
        </is>
      </c>
      <c r="G3" s="1299" t="inlineStr">
        <is>
          <t>Diesel</t>
        </is>
      </c>
      <c r="H3" s="1299" t="inlineStr">
        <is>
          <t>Biodiesel</t>
        </is>
      </c>
      <c r="I3" s="1416" t="n"/>
      <c r="J3" s="1299" t="inlineStr">
        <is>
          <t>Gasoline</t>
        </is>
      </c>
      <c r="K3" s="1299" t="inlineStr">
        <is>
          <t>Ethanol</t>
        </is>
      </c>
      <c r="L3" s="1416" t="n"/>
    </row>
    <row r="4" ht="21" customHeight="1">
      <c r="A4" s="1454" t="n"/>
      <c r="B4" s="830" t="n"/>
      <c r="C4" s="1417" t="n"/>
      <c r="D4" s="1417" t="n"/>
      <c r="E4" s="1417" t="n"/>
      <c r="F4" s="1417" t="n"/>
      <c r="G4" s="1299" t="inlineStr">
        <is>
          <t>L</t>
        </is>
      </c>
      <c r="H4" s="1299" t="inlineStr">
        <is>
          <t>L</t>
        </is>
      </c>
      <c r="I4" s="1299" t="inlineStr">
        <is>
          <t>kg</t>
        </is>
      </c>
      <c r="J4" s="1299" t="inlineStr">
        <is>
          <t>L</t>
        </is>
      </c>
      <c r="K4" s="1299" t="inlineStr">
        <is>
          <t>L</t>
        </is>
      </c>
      <c r="L4" s="1299" t="inlineStr">
        <is>
          <t>kg</t>
        </is>
      </c>
    </row>
    <row r="5" ht="21" customHeight="1">
      <c r="A5" s="288">
        <f>A13</f>
        <v/>
      </c>
      <c r="B5" s="1416" t="n"/>
      <c r="C5" s="1397" t="inlineStr">
        <is>
          <t>B7</t>
        </is>
      </c>
      <c r="D5" s="288">
        <f>D13</f>
        <v/>
      </c>
      <c r="E5" s="1397">
        <f>E13</f>
        <v/>
      </c>
      <c r="F5" s="1635">
        <f>F13</f>
        <v/>
      </c>
      <c r="G5" s="1636">
        <f>F5*0.93</f>
        <v/>
      </c>
      <c r="H5" s="1637">
        <f>F5-G5</f>
        <v/>
      </c>
      <c r="I5" s="1636">
        <f>H5*0.87</f>
        <v/>
      </c>
      <c r="J5" s="288" t="n"/>
      <c r="K5" s="288" t="n"/>
      <c r="L5" s="288" t="n"/>
    </row>
    <row r="6" ht="21" customHeight="1">
      <c r="A6" s="288">
        <f>A14</f>
        <v/>
      </c>
      <c r="B6" s="1416" t="n"/>
      <c r="C6" s="1397" t="inlineStr">
        <is>
          <t>B10</t>
        </is>
      </c>
      <c r="D6" s="288">
        <f>D14</f>
        <v/>
      </c>
      <c r="E6" s="1397">
        <f>E14</f>
        <v/>
      </c>
      <c r="F6" s="1635">
        <f>F14</f>
        <v/>
      </c>
      <c r="G6" s="1636">
        <f>F6*0.9</f>
        <v/>
      </c>
      <c r="H6" s="1637">
        <f>F6-G6</f>
        <v/>
      </c>
      <c r="I6" s="1636">
        <f>H6*0.87</f>
        <v/>
      </c>
      <c r="J6" s="288" t="n"/>
      <c r="K6" s="288" t="n"/>
      <c r="L6" s="288" t="n"/>
    </row>
    <row r="7" ht="21" customHeight="1">
      <c r="A7" s="288">
        <f>A43</f>
        <v/>
      </c>
      <c r="B7" s="1416" t="n"/>
      <c r="C7" s="1397" t="inlineStr">
        <is>
          <t>91/95</t>
        </is>
      </c>
      <c r="D7" s="288">
        <f>D43</f>
        <v/>
      </c>
      <c r="E7" s="1397">
        <f>E43</f>
        <v/>
      </c>
      <c r="F7" s="1635">
        <f>F43</f>
        <v/>
      </c>
      <c r="G7" s="288" t="n"/>
      <c r="H7" s="288" t="n"/>
      <c r="I7" s="288" t="n"/>
      <c r="J7" s="1638">
        <f>F7*0.9</f>
        <v/>
      </c>
      <c r="K7" s="1637">
        <f>F7-J7</f>
        <v/>
      </c>
      <c r="L7" s="1638">
        <f>K7*0.79</f>
        <v/>
      </c>
    </row>
    <row r="8" ht="21" customHeight="1">
      <c r="A8" s="288">
        <f>A44</f>
        <v/>
      </c>
      <c r="B8" s="1416" t="n"/>
      <c r="C8" s="1397" t="inlineStr">
        <is>
          <t>E20</t>
        </is>
      </c>
      <c r="D8" s="288">
        <f>D44</f>
        <v/>
      </c>
      <c r="E8" s="1397">
        <f>E44</f>
        <v/>
      </c>
      <c r="F8" s="1635">
        <f>F44</f>
        <v/>
      </c>
      <c r="G8" s="288" t="n"/>
      <c r="H8" s="288" t="n"/>
      <c r="I8" s="288" t="n"/>
      <c r="J8" s="1638">
        <f>F8*0.8</f>
        <v/>
      </c>
      <c r="K8" s="1637">
        <f>F8-J8</f>
        <v/>
      </c>
      <c r="L8" s="1638">
        <f>K8*0.79</f>
        <v/>
      </c>
    </row>
    <row r="9" ht="21" customHeight="1">
      <c r="A9" s="288">
        <f>A57</f>
        <v/>
      </c>
      <c r="B9" s="1416" t="n"/>
      <c r="C9" s="1397" t="inlineStr">
        <is>
          <t>B7</t>
        </is>
      </c>
      <c r="D9" s="288">
        <f>D57</f>
        <v/>
      </c>
      <c r="E9" s="1397">
        <f>E57</f>
        <v/>
      </c>
      <c r="F9" s="1635">
        <f>F57</f>
        <v/>
      </c>
      <c r="G9" s="1648">
        <f>F9*0.93</f>
        <v/>
      </c>
      <c r="H9" s="1637">
        <f>F9-G9</f>
        <v/>
      </c>
      <c r="I9" s="1648">
        <f>H9*0.87</f>
        <v/>
      </c>
      <c r="J9" s="288" t="n"/>
      <c r="K9" s="288" t="n"/>
      <c r="L9" s="288" t="n"/>
    </row>
    <row r="10" ht="21" customHeight="1">
      <c r="A10" s="259" t="n"/>
      <c r="B10" s="259" t="n"/>
      <c r="C10" s="259" t="n"/>
    </row>
    <row r="11" ht="21" customHeight="1">
      <c r="A11" s="1649" t="inlineStr">
        <is>
          <t>รายการ</t>
        </is>
      </c>
      <c r="B11" s="1649" t="inlineStr">
        <is>
          <t>Location</t>
        </is>
      </c>
      <c r="C11" s="1649" t="inlineStr">
        <is>
          <t>ชนิด</t>
        </is>
      </c>
      <c r="D11" s="1649" t="inlineStr">
        <is>
          <t>หลักฐาน</t>
        </is>
      </c>
      <c r="E11" s="1649" t="inlineStr">
        <is>
          <t xml:space="preserve">หน่วย </t>
        </is>
      </c>
      <c r="F11" s="1649" t="inlineStr">
        <is>
          <t>รวม</t>
        </is>
      </c>
      <c r="G11" s="1306" t="inlineStr">
        <is>
          <t>ปริมาณการใช้แต่ละเดือน/2566</t>
        </is>
      </c>
      <c r="H11" s="1650" t="n"/>
      <c r="I11" s="1650" t="n"/>
      <c r="J11" s="1650" t="n"/>
      <c r="K11" s="1650" t="n"/>
      <c r="L11" s="1650" t="n"/>
      <c r="M11" s="1650" t="n"/>
      <c r="N11" s="1650" t="n"/>
      <c r="O11" s="1650" t="n"/>
      <c r="P11" s="1650" t="n"/>
      <c r="Q11" s="1650" t="n"/>
      <c r="R11" s="1651" t="n"/>
    </row>
    <row r="12" ht="21" customHeight="1">
      <c r="A12" s="1652" t="n"/>
      <c r="B12" s="1652" t="n"/>
      <c r="C12" s="1652" t="n"/>
      <c r="D12" s="1652" t="n"/>
      <c r="E12" s="1652" t="n"/>
      <c r="F12" s="1652" t="n"/>
      <c r="G12" s="1306" t="n">
        <v>1</v>
      </c>
      <c r="H12" s="1306" t="n">
        <v>2</v>
      </c>
      <c r="I12" s="1306" t="n">
        <v>3</v>
      </c>
      <c r="J12" s="1306" t="n">
        <v>4</v>
      </c>
      <c r="K12" s="1306" t="n">
        <v>5</v>
      </c>
      <c r="L12" s="1306" t="n">
        <v>6</v>
      </c>
      <c r="M12" s="1306" t="n">
        <v>7</v>
      </c>
      <c r="N12" s="1306" t="n">
        <v>8</v>
      </c>
      <c r="O12" s="1306" t="n">
        <v>9</v>
      </c>
      <c r="P12" s="1306" t="n">
        <v>10</v>
      </c>
      <c r="Q12" s="1303" t="n">
        <v>11</v>
      </c>
      <c r="R12" s="281" t="n">
        <v>12</v>
      </c>
    </row>
    <row r="13" ht="23.4" customFormat="1" customHeight="1" s="288">
      <c r="A13" s="524" t="inlineStr">
        <is>
          <t>น้ำมัน Diesel B7  ที่ใช้ในรถยนต์ขององค์กร</t>
        </is>
      </c>
      <c r="B13" s="525" t="n"/>
      <c r="C13" s="819" t="inlineStr">
        <is>
          <t>B7</t>
        </is>
      </c>
      <c r="D13" s="526" t="inlineStr">
        <is>
          <t>ใบกำกับภาษี /Fleet Card Report</t>
        </is>
      </c>
      <c r="E13" s="527" t="inlineStr">
        <is>
          <t>L</t>
        </is>
      </c>
      <c r="F13" s="1653">
        <f>F15+F17+F19+F21+F23+F25+F27+F29+F31+F33+F35+F37+F39+F41</f>
        <v/>
      </c>
      <c r="G13" s="1654" t="n"/>
      <c r="H13" s="1654" t="n"/>
      <c r="I13" s="1654" t="n"/>
      <c r="J13" s="1654" t="n"/>
      <c r="K13" s="1654" t="n"/>
      <c r="L13" s="1654" t="n"/>
      <c r="M13" s="1654" t="n"/>
      <c r="N13" s="1654" t="n"/>
      <c r="O13" s="1654" t="n"/>
      <c r="P13" s="1654" t="n"/>
      <c r="Q13" s="1655" t="n"/>
      <c r="R13" s="1654" t="n"/>
      <c r="S13" s="260" t="n"/>
      <c r="T13" s="260" t="n"/>
      <c r="U13" s="260" t="n"/>
      <c r="V13" s="260" t="n"/>
      <c r="W13" s="260" t="n"/>
      <c r="X13" s="260" t="n"/>
      <c r="Y13" s="260" t="n"/>
      <c r="Z13" s="260" t="n"/>
      <c r="AA13" s="260" t="n"/>
      <c r="AB13" s="260" t="n"/>
      <c r="AC13" s="260" t="n"/>
      <c r="AD13" s="260" t="n"/>
      <c r="AE13" s="260" t="n"/>
      <c r="AF13" s="260" t="n"/>
      <c r="AG13" s="260" t="n"/>
      <c r="AH13" s="260" t="n"/>
      <c r="AI13" s="260" t="n"/>
      <c r="AJ13" s="260" t="n"/>
      <c r="AK13" s="260" t="n"/>
      <c r="AL13" s="260" t="n"/>
      <c r="AM13" s="260" t="n"/>
      <c r="AN13" s="260" t="n"/>
      <c r="AO13" s="260" t="n"/>
      <c r="AP13" s="260" t="n"/>
      <c r="AQ13" s="260" t="n"/>
      <c r="AR13" s="260" t="n"/>
      <c r="AS13" s="260" t="n"/>
      <c r="AT13" s="260" t="n"/>
      <c r="AU13" s="260" t="n"/>
      <c r="AV13" s="260" t="n"/>
      <c r="AW13" s="260" t="n"/>
      <c r="AX13" s="260" t="n"/>
      <c r="AY13" s="260" t="n"/>
      <c r="AZ13" s="260" t="n"/>
      <c r="BA13" s="260" t="n"/>
      <c r="BB13" s="260" t="n"/>
      <c r="BC13" s="260" t="n"/>
      <c r="BD13" s="260" t="n"/>
      <c r="BE13" s="260" t="n"/>
      <c r="BF13" s="260" t="n"/>
      <c r="BG13" s="260" t="n"/>
      <c r="BH13" s="260" t="n"/>
      <c r="BI13" s="260" t="n"/>
      <c r="BJ13" s="260" t="n"/>
      <c r="BK13" s="260" t="n"/>
      <c r="BL13" s="260" t="n"/>
      <c r="BM13" s="260" t="n"/>
      <c r="BN13" s="260" t="n"/>
      <c r="BO13" s="260" t="n"/>
      <c r="BP13" s="260" t="n"/>
      <c r="BQ13" s="260" t="n"/>
      <c r="BR13" s="260" t="n"/>
      <c r="BS13" s="260" t="n"/>
      <c r="BT13" s="260" t="n"/>
      <c r="BU13" s="260" t="n"/>
      <c r="BV13" s="260" t="n"/>
      <c r="BW13" s="260" t="n"/>
      <c r="BX13" s="260" t="n"/>
      <c r="BY13" s="260" t="n"/>
      <c r="BZ13" s="260" t="n"/>
      <c r="CA13" s="260" t="n"/>
      <c r="CB13" s="260" t="n"/>
      <c r="CC13" s="260" t="n"/>
      <c r="CD13" s="260" t="n"/>
      <c r="CE13" s="260" t="n"/>
      <c r="CF13" s="260" t="n"/>
      <c r="CG13" s="260" t="n"/>
      <c r="CH13" s="260" t="n"/>
      <c r="CI13" s="260" t="n"/>
      <c r="CJ13" s="260" t="n"/>
      <c r="CK13" s="260" t="n"/>
      <c r="CL13" s="260" t="n"/>
      <c r="CM13" s="260" t="n"/>
      <c r="CN13" s="260" t="n"/>
      <c r="CO13" s="260" t="n"/>
      <c r="CP13" s="260" t="n"/>
      <c r="CQ13" s="260" t="n"/>
      <c r="CR13" s="260" t="n"/>
      <c r="CS13" s="260" t="n"/>
      <c r="CT13" s="260" t="n"/>
      <c r="CU13" s="260" t="n"/>
      <c r="CV13" s="260" t="n"/>
      <c r="CW13" s="260" t="n"/>
      <c r="CX13" s="260" t="n"/>
      <c r="CY13" s="260" t="n"/>
      <c r="CZ13" s="260" t="n"/>
      <c r="DA13" s="260" t="n"/>
      <c r="DB13" s="260" t="n"/>
      <c r="DC13" s="260" t="n"/>
      <c r="DD13" s="260" t="n"/>
      <c r="DE13" s="260" t="n"/>
      <c r="DF13" s="260" t="n"/>
      <c r="DG13" s="260" t="n"/>
      <c r="DH13" s="260" t="n"/>
      <c r="DI13" s="260" t="n"/>
      <c r="DJ13" s="260" t="n"/>
      <c r="DK13" s="260" t="n"/>
      <c r="DL13" s="260" t="n"/>
      <c r="DM13" s="260" t="n"/>
      <c r="DN13" s="260" t="n"/>
      <c r="DO13" s="260" t="n"/>
      <c r="DP13" s="260" t="n"/>
      <c r="DQ13" s="260" t="n"/>
      <c r="DR13" s="260" t="n"/>
      <c r="DS13" s="260" t="n"/>
      <c r="DT13" s="260" t="n"/>
      <c r="DU13" s="260" t="n"/>
      <c r="DV13" s="260" t="n"/>
      <c r="DW13" s="260" t="n"/>
      <c r="DX13" s="260" t="n"/>
      <c r="DY13" s="260" t="n"/>
      <c r="DZ13" s="260" t="n"/>
      <c r="EA13" s="260" t="n"/>
      <c r="EB13" s="260" t="n"/>
      <c r="EC13" s="260" t="n"/>
      <c r="ED13" s="260" t="n"/>
      <c r="EE13" s="260" t="n"/>
      <c r="EF13" s="260" t="n"/>
      <c r="EG13" s="260" t="n"/>
      <c r="EH13" s="260" t="n"/>
      <c r="EI13" s="260" t="n"/>
      <c r="EJ13" s="260" t="n"/>
      <c r="EK13" s="260" t="n"/>
      <c r="EL13" s="260" t="n"/>
      <c r="EM13" s="260" t="n"/>
      <c r="EN13" s="260" t="n"/>
      <c r="EO13" s="260" t="n"/>
      <c r="EP13" s="260" t="n"/>
      <c r="EQ13" s="260" t="n"/>
      <c r="ER13" s="260" t="n"/>
      <c r="ES13" s="260" t="n"/>
      <c r="ET13" s="260" t="n"/>
      <c r="EU13" s="260" t="n"/>
      <c r="EV13" s="260" t="n"/>
      <c r="EW13" s="260" t="n"/>
      <c r="EX13" s="260" t="n"/>
      <c r="EY13" s="260" t="n"/>
      <c r="EZ13" s="260" t="n"/>
      <c r="FA13" s="260" t="n"/>
      <c r="FB13" s="260" t="n"/>
      <c r="FC13" s="260" t="n"/>
      <c r="FD13" s="260" t="n"/>
      <c r="FE13" s="260" t="n"/>
      <c r="FF13" s="260" t="n"/>
      <c r="FG13" s="260" t="n"/>
      <c r="FH13" s="260" t="n"/>
      <c r="FI13" s="260" t="n"/>
      <c r="FJ13" s="260" t="n"/>
      <c r="FK13" s="260" t="n"/>
      <c r="FL13" s="260" t="n"/>
      <c r="FM13" s="260" t="n"/>
      <c r="FN13" s="260" t="n"/>
      <c r="FO13" s="260" t="n"/>
      <c r="FP13" s="260" t="n"/>
      <c r="FQ13" s="260" t="n"/>
      <c r="FR13" s="260" t="n"/>
      <c r="FS13" s="260" t="n"/>
      <c r="FT13" s="260" t="n"/>
      <c r="FU13" s="260" t="n"/>
      <c r="FV13" s="260" t="n"/>
      <c r="FW13" s="260" t="n"/>
      <c r="FX13" s="260" t="n"/>
      <c r="FY13" s="260" t="n"/>
      <c r="FZ13" s="260" t="n"/>
      <c r="GA13" s="260" t="n"/>
      <c r="GB13" s="260" t="n"/>
      <c r="GC13" s="260" t="n"/>
      <c r="GD13" s="260" t="n"/>
      <c r="GE13" s="260" t="n"/>
      <c r="GF13" s="260" t="n"/>
      <c r="GG13" s="260" t="n"/>
      <c r="GH13" s="260" t="n"/>
      <c r="GI13" s="260" t="n"/>
      <c r="GJ13" s="260" t="n"/>
      <c r="GK13" s="260" t="n"/>
      <c r="GL13" s="260" t="n"/>
      <c r="GM13" s="260" t="n"/>
      <c r="GN13" s="260" t="n"/>
      <c r="GO13" s="260" t="n"/>
      <c r="GP13" s="260" t="n"/>
      <c r="GQ13" s="260" t="n"/>
      <c r="GR13" s="260" t="n"/>
      <c r="GS13" s="260" t="n"/>
      <c r="GT13" s="260" t="n"/>
      <c r="GU13" s="260" t="n"/>
      <c r="GV13" s="260" t="n"/>
      <c r="GW13" s="260" t="n"/>
      <c r="GX13" s="260" t="n"/>
      <c r="GY13" s="260" t="n"/>
      <c r="GZ13" s="260" t="n"/>
      <c r="HA13" s="260" t="n"/>
      <c r="HB13" s="260" t="n"/>
      <c r="HC13" s="260" t="n"/>
      <c r="HD13" s="260" t="n"/>
      <c r="HE13" s="260" t="n"/>
      <c r="HF13" s="260" t="n"/>
      <c r="HG13" s="260" t="n"/>
      <c r="HH13" s="260" t="n"/>
      <c r="HI13" s="260" t="n"/>
      <c r="HJ13" s="260" t="n"/>
      <c r="HK13" s="260" t="n"/>
      <c r="HL13" s="260" t="n"/>
      <c r="HM13" s="260" t="n"/>
      <c r="HN13" s="260" t="n"/>
      <c r="HO13" s="260" t="n"/>
      <c r="HP13" s="260" t="n"/>
      <c r="HQ13" s="260" t="n"/>
      <c r="HR13" s="260" t="n"/>
      <c r="HS13" s="260" t="n"/>
      <c r="HT13" s="260" t="n"/>
      <c r="HU13" s="260" t="n"/>
      <c r="HV13" s="260" t="n"/>
      <c r="HW13" s="260" t="n"/>
      <c r="HX13" s="260" t="n"/>
      <c r="HY13" s="260" t="n"/>
      <c r="HZ13" s="260" t="n"/>
      <c r="IA13" s="260" t="n"/>
      <c r="IB13" s="260" t="n"/>
      <c r="IC13" s="260" t="n"/>
      <c r="ID13" s="260" t="n"/>
      <c r="IE13" s="260" t="n"/>
    </row>
    <row r="14" ht="23.4" customFormat="1" customHeight="1" s="288">
      <c r="A14" s="524" t="inlineStr">
        <is>
          <t>น้ำมัน Diesel B10  ที่ใช้ในรถยนต์ขององค์กร</t>
        </is>
      </c>
      <c r="B14" s="525" t="n"/>
      <c r="C14" s="819" t="inlineStr">
        <is>
          <t>B10</t>
        </is>
      </c>
      <c r="D14" s="526" t="inlineStr">
        <is>
          <t>ใบกำกับภาษี /Fleet Card Report</t>
        </is>
      </c>
      <c r="E14" s="527" t="inlineStr">
        <is>
          <t>L</t>
        </is>
      </c>
      <c r="F14" s="1653">
        <f>F16+F18+F20+F22+F24+F26+F28+F30+F32+F34+F36+F38+F40+F42</f>
        <v/>
      </c>
      <c r="G14" s="1654" t="n"/>
      <c r="H14" s="1654" t="n"/>
      <c r="I14" s="1654" t="n"/>
      <c r="J14" s="1654" t="n"/>
      <c r="K14" s="1654" t="n"/>
      <c r="L14" s="1654" t="n"/>
      <c r="M14" s="1654" t="n"/>
      <c r="N14" s="1654" t="n"/>
      <c r="O14" s="1654" t="n"/>
      <c r="P14" s="1654" t="n"/>
      <c r="Q14" s="1655" t="n"/>
      <c r="R14" s="1654" t="n"/>
      <c r="S14" s="260" t="n"/>
      <c r="T14" s="260" t="n"/>
      <c r="U14" s="260" t="n"/>
      <c r="V14" s="260" t="n"/>
      <c r="W14" s="260" t="n"/>
      <c r="X14" s="260" t="n"/>
      <c r="Y14" s="260" t="n"/>
      <c r="Z14" s="260" t="n"/>
      <c r="AA14" s="260" t="n"/>
      <c r="AB14" s="260" t="n"/>
      <c r="AC14" s="260" t="n"/>
      <c r="AD14" s="260" t="n"/>
      <c r="AE14" s="260" t="n"/>
      <c r="AF14" s="260" t="n"/>
      <c r="AG14" s="260" t="n"/>
      <c r="AH14" s="260" t="n"/>
      <c r="AI14" s="260" t="n"/>
      <c r="AJ14" s="260" t="n"/>
      <c r="AK14" s="260" t="n"/>
      <c r="AL14" s="260" t="n"/>
      <c r="AM14" s="260" t="n"/>
      <c r="AN14" s="260" t="n"/>
      <c r="AO14" s="260" t="n"/>
      <c r="AP14" s="260" t="n"/>
      <c r="AQ14" s="260" t="n"/>
      <c r="AR14" s="260" t="n"/>
      <c r="AS14" s="260" t="n"/>
      <c r="AT14" s="260" t="n"/>
      <c r="AU14" s="260" t="n"/>
      <c r="AV14" s="260" t="n"/>
      <c r="AW14" s="260" t="n"/>
      <c r="AX14" s="260" t="n"/>
      <c r="AY14" s="260" t="n"/>
      <c r="AZ14" s="260" t="n"/>
      <c r="BA14" s="260" t="n"/>
      <c r="BB14" s="260" t="n"/>
      <c r="BC14" s="260" t="n"/>
      <c r="BD14" s="260" t="n"/>
      <c r="BE14" s="260" t="n"/>
      <c r="BF14" s="260" t="n"/>
      <c r="BG14" s="260" t="n"/>
      <c r="BH14" s="260" t="n"/>
      <c r="BI14" s="260" t="n"/>
      <c r="BJ14" s="260" t="n"/>
      <c r="BK14" s="260" t="n"/>
      <c r="BL14" s="260" t="n"/>
      <c r="BM14" s="260" t="n"/>
      <c r="BN14" s="260" t="n"/>
      <c r="BO14" s="260" t="n"/>
      <c r="BP14" s="260" t="n"/>
      <c r="BQ14" s="260" t="n"/>
      <c r="BR14" s="260" t="n"/>
      <c r="BS14" s="260" t="n"/>
      <c r="BT14" s="260" t="n"/>
      <c r="BU14" s="260" t="n"/>
      <c r="BV14" s="260" t="n"/>
      <c r="BW14" s="260" t="n"/>
      <c r="BX14" s="260" t="n"/>
      <c r="BY14" s="260" t="n"/>
      <c r="BZ14" s="260" t="n"/>
      <c r="CA14" s="260" t="n"/>
      <c r="CB14" s="260" t="n"/>
      <c r="CC14" s="260" t="n"/>
      <c r="CD14" s="260" t="n"/>
      <c r="CE14" s="260" t="n"/>
      <c r="CF14" s="260" t="n"/>
      <c r="CG14" s="260" t="n"/>
      <c r="CH14" s="260" t="n"/>
      <c r="CI14" s="260" t="n"/>
      <c r="CJ14" s="260" t="n"/>
      <c r="CK14" s="260" t="n"/>
      <c r="CL14" s="260" t="n"/>
      <c r="CM14" s="260" t="n"/>
      <c r="CN14" s="260" t="n"/>
      <c r="CO14" s="260" t="n"/>
      <c r="CP14" s="260" t="n"/>
      <c r="CQ14" s="260" t="n"/>
      <c r="CR14" s="260" t="n"/>
      <c r="CS14" s="260" t="n"/>
      <c r="CT14" s="260" t="n"/>
      <c r="CU14" s="260" t="n"/>
      <c r="CV14" s="260" t="n"/>
      <c r="CW14" s="260" t="n"/>
      <c r="CX14" s="260" t="n"/>
      <c r="CY14" s="260" t="n"/>
      <c r="CZ14" s="260" t="n"/>
      <c r="DA14" s="260" t="n"/>
      <c r="DB14" s="260" t="n"/>
      <c r="DC14" s="260" t="n"/>
      <c r="DD14" s="260" t="n"/>
      <c r="DE14" s="260" t="n"/>
      <c r="DF14" s="260" t="n"/>
      <c r="DG14" s="260" t="n"/>
      <c r="DH14" s="260" t="n"/>
      <c r="DI14" s="260" t="n"/>
      <c r="DJ14" s="260" t="n"/>
      <c r="DK14" s="260" t="n"/>
      <c r="DL14" s="260" t="n"/>
      <c r="DM14" s="260" t="n"/>
      <c r="DN14" s="260" t="n"/>
      <c r="DO14" s="260" t="n"/>
      <c r="DP14" s="260" t="n"/>
      <c r="DQ14" s="260" t="n"/>
      <c r="DR14" s="260" t="n"/>
      <c r="DS14" s="260" t="n"/>
      <c r="DT14" s="260" t="n"/>
      <c r="DU14" s="260" t="n"/>
      <c r="DV14" s="260" t="n"/>
      <c r="DW14" s="260" t="n"/>
      <c r="DX14" s="260" t="n"/>
      <c r="DY14" s="260" t="n"/>
      <c r="DZ14" s="260" t="n"/>
      <c r="EA14" s="260" t="n"/>
      <c r="EB14" s="260" t="n"/>
      <c r="EC14" s="260" t="n"/>
      <c r="ED14" s="260" t="n"/>
      <c r="EE14" s="260" t="n"/>
      <c r="EF14" s="260" t="n"/>
      <c r="EG14" s="260" t="n"/>
      <c r="EH14" s="260" t="n"/>
      <c r="EI14" s="260" t="n"/>
      <c r="EJ14" s="260" t="n"/>
      <c r="EK14" s="260" t="n"/>
      <c r="EL14" s="260" t="n"/>
      <c r="EM14" s="260" t="n"/>
      <c r="EN14" s="260" t="n"/>
      <c r="EO14" s="260" t="n"/>
      <c r="EP14" s="260" t="n"/>
      <c r="EQ14" s="260" t="n"/>
      <c r="ER14" s="260" t="n"/>
      <c r="ES14" s="260" t="n"/>
      <c r="ET14" s="260" t="n"/>
      <c r="EU14" s="260" t="n"/>
      <c r="EV14" s="260" t="n"/>
      <c r="EW14" s="260" t="n"/>
      <c r="EX14" s="260" t="n"/>
      <c r="EY14" s="260" t="n"/>
      <c r="EZ14" s="260" t="n"/>
      <c r="FA14" s="260" t="n"/>
      <c r="FB14" s="260" t="n"/>
      <c r="FC14" s="260" t="n"/>
      <c r="FD14" s="260" t="n"/>
      <c r="FE14" s="260" t="n"/>
      <c r="FF14" s="260" t="n"/>
      <c r="FG14" s="260" t="n"/>
      <c r="FH14" s="260" t="n"/>
      <c r="FI14" s="260" t="n"/>
      <c r="FJ14" s="260" t="n"/>
      <c r="FK14" s="260" t="n"/>
      <c r="FL14" s="260" t="n"/>
      <c r="FM14" s="260" t="n"/>
      <c r="FN14" s="260" t="n"/>
      <c r="FO14" s="260" t="n"/>
      <c r="FP14" s="260" t="n"/>
      <c r="FQ14" s="260" t="n"/>
      <c r="FR14" s="260" t="n"/>
      <c r="FS14" s="260" t="n"/>
      <c r="FT14" s="260" t="n"/>
      <c r="FU14" s="260" t="n"/>
      <c r="FV14" s="260" t="n"/>
      <c r="FW14" s="260" t="n"/>
      <c r="FX14" s="260" t="n"/>
      <c r="FY14" s="260" t="n"/>
      <c r="FZ14" s="260" t="n"/>
      <c r="GA14" s="260" t="n"/>
      <c r="GB14" s="260" t="n"/>
      <c r="GC14" s="260" t="n"/>
      <c r="GD14" s="260" t="n"/>
      <c r="GE14" s="260" t="n"/>
      <c r="GF14" s="260" t="n"/>
      <c r="GG14" s="260" t="n"/>
      <c r="GH14" s="260" t="n"/>
      <c r="GI14" s="260" t="n"/>
      <c r="GJ14" s="260" t="n"/>
      <c r="GK14" s="260" t="n"/>
      <c r="GL14" s="260" t="n"/>
      <c r="GM14" s="260" t="n"/>
      <c r="GN14" s="260" t="n"/>
      <c r="GO14" s="260" t="n"/>
      <c r="GP14" s="260" t="n"/>
      <c r="GQ14" s="260" t="n"/>
      <c r="GR14" s="260" t="n"/>
      <c r="GS14" s="260" t="n"/>
      <c r="GT14" s="260" t="n"/>
      <c r="GU14" s="260" t="n"/>
      <c r="GV14" s="260" t="n"/>
      <c r="GW14" s="260" t="n"/>
      <c r="GX14" s="260" t="n"/>
      <c r="GY14" s="260" t="n"/>
      <c r="GZ14" s="260" t="n"/>
      <c r="HA14" s="260" t="n"/>
      <c r="HB14" s="260" t="n"/>
      <c r="HC14" s="260" t="n"/>
      <c r="HD14" s="260" t="n"/>
      <c r="HE14" s="260" t="n"/>
      <c r="HF14" s="260" t="n"/>
      <c r="HG14" s="260" t="n"/>
      <c r="HH14" s="260" t="n"/>
      <c r="HI14" s="260" t="n"/>
      <c r="HJ14" s="260" t="n"/>
      <c r="HK14" s="260" t="n"/>
      <c r="HL14" s="260" t="n"/>
      <c r="HM14" s="260" t="n"/>
      <c r="HN14" s="260" t="n"/>
      <c r="HO14" s="260" t="n"/>
      <c r="HP14" s="260" t="n"/>
      <c r="HQ14" s="260" t="n"/>
      <c r="HR14" s="260" t="n"/>
      <c r="HS14" s="260" t="n"/>
      <c r="HT14" s="260" t="n"/>
      <c r="HU14" s="260" t="n"/>
      <c r="HV14" s="260" t="n"/>
      <c r="HW14" s="260" t="n"/>
      <c r="HX14" s="260" t="n"/>
      <c r="HY14" s="260" t="n"/>
      <c r="HZ14" s="260" t="n"/>
      <c r="IA14" s="260" t="n"/>
      <c r="IB14" s="260" t="n"/>
      <c r="IC14" s="260" t="n"/>
      <c r="ID14" s="260" t="n"/>
      <c r="IE14" s="260" t="n"/>
    </row>
    <row r="15" ht="17.4" customFormat="1" customHeight="1" s="288">
      <c r="A15" s="289" t="inlineStr">
        <is>
          <t xml:space="preserve">1. จก 8296 ชบ                       </t>
        </is>
      </c>
      <c r="B15" s="290" t="inlineStr">
        <is>
          <t>LCB</t>
        </is>
      </c>
      <c r="C15" s="290" t="inlineStr">
        <is>
          <t>B7</t>
        </is>
      </c>
      <c r="D15" s="1397" t="inlineStr">
        <is>
          <t>ใบแจ้งหนี้ / Fleet Card Report</t>
        </is>
      </c>
      <c r="E15" s="1397" t="inlineStr">
        <is>
          <t xml:space="preserve"> L</t>
        </is>
      </c>
      <c r="F15" s="1656">
        <f>SUM(G15:R15)</f>
        <v/>
      </c>
      <c r="G15" s="1635" t="n">
        <v>111.74</v>
      </c>
      <c r="H15" s="1635" t="n">
        <v>176.84</v>
      </c>
      <c r="I15" s="1635" t="n">
        <v>221.05</v>
      </c>
      <c r="J15" s="1635" t="n">
        <v>157.78</v>
      </c>
      <c r="K15" s="1635" t="n">
        <v>172.73</v>
      </c>
      <c r="L15" s="1635" t="n">
        <v>144.18</v>
      </c>
      <c r="M15" s="1635" t="n">
        <v>203.04</v>
      </c>
      <c r="N15" s="1635" t="n">
        <v>246.02</v>
      </c>
      <c r="O15" s="1635" t="n">
        <v>168.46</v>
      </c>
      <c r="P15" s="1635" t="n">
        <v>224.84</v>
      </c>
      <c r="Q15" s="1657" t="n">
        <v>164.94</v>
      </c>
      <c r="R15" s="1635" t="n">
        <v>180.14</v>
      </c>
      <c r="S15" s="260" t="n"/>
      <c r="T15" s="260" t="n"/>
      <c r="U15" s="260" t="n"/>
      <c r="V15" s="260" t="n"/>
      <c r="W15" s="260" t="n"/>
      <c r="X15" s="260" t="n"/>
      <c r="Y15" s="260" t="n"/>
      <c r="Z15" s="260" t="n"/>
      <c r="AA15" s="260" t="n"/>
      <c r="AB15" s="260" t="n"/>
      <c r="AC15" s="260" t="n"/>
      <c r="AD15" s="260" t="n"/>
      <c r="AE15" s="260" t="n"/>
      <c r="AF15" s="260" t="n"/>
      <c r="AG15" s="260" t="n"/>
      <c r="AH15" s="260" t="n"/>
      <c r="AI15" s="260" t="n"/>
      <c r="AJ15" s="260" t="n"/>
      <c r="AK15" s="260" t="n"/>
      <c r="AL15" s="260" t="n"/>
      <c r="AM15" s="260" t="n"/>
      <c r="AN15" s="260" t="n"/>
      <c r="AO15" s="260" t="n"/>
      <c r="AP15" s="260" t="n"/>
      <c r="AQ15" s="260" t="n"/>
      <c r="AR15" s="260" t="n"/>
      <c r="AS15" s="260" t="n"/>
      <c r="AT15" s="260" t="n"/>
      <c r="AU15" s="260" t="n"/>
      <c r="AV15" s="260" t="n"/>
      <c r="AW15" s="260" t="n"/>
      <c r="AX15" s="260" t="n"/>
      <c r="AY15" s="260" t="n"/>
      <c r="AZ15" s="260" t="n"/>
      <c r="BA15" s="260" t="n"/>
      <c r="BB15" s="260" t="n"/>
      <c r="BC15" s="260" t="n"/>
      <c r="BD15" s="260" t="n"/>
      <c r="BE15" s="260" t="n"/>
      <c r="BF15" s="260" t="n"/>
      <c r="BG15" s="260" t="n"/>
      <c r="BH15" s="260" t="n"/>
      <c r="BI15" s="260" t="n"/>
      <c r="BJ15" s="260" t="n"/>
      <c r="BK15" s="260" t="n"/>
      <c r="BL15" s="260" t="n"/>
      <c r="BM15" s="260" t="n"/>
      <c r="BN15" s="260" t="n"/>
      <c r="BO15" s="260" t="n"/>
      <c r="BP15" s="260" t="n"/>
      <c r="BQ15" s="260" t="n"/>
      <c r="BR15" s="260" t="n"/>
      <c r="BS15" s="260" t="n"/>
      <c r="BT15" s="260" t="n"/>
      <c r="BU15" s="260" t="n"/>
      <c r="BV15" s="260" t="n"/>
      <c r="BW15" s="260" t="n"/>
      <c r="BX15" s="260" t="n"/>
      <c r="BY15" s="260" t="n"/>
      <c r="BZ15" s="260" t="n"/>
      <c r="CA15" s="260" t="n"/>
      <c r="CB15" s="260" t="n"/>
      <c r="CC15" s="260" t="n"/>
      <c r="CD15" s="260" t="n"/>
      <c r="CE15" s="260" t="n"/>
      <c r="CF15" s="260" t="n"/>
      <c r="CG15" s="260" t="n"/>
      <c r="CH15" s="260" t="n"/>
      <c r="CI15" s="260" t="n"/>
      <c r="CJ15" s="260" t="n"/>
      <c r="CK15" s="260" t="n"/>
      <c r="CL15" s="260" t="n"/>
      <c r="CM15" s="260" t="n"/>
      <c r="CN15" s="260" t="n"/>
      <c r="CO15" s="260" t="n"/>
      <c r="CP15" s="260" t="n"/>
      <c r="CQ15" s="260" t="n"/>
      <c r="CR15" s="260" t="n"/>
      <c r="CS15" s="260" t="n"/>
      <c r="CT15" s="260" t="n"/>
      <c r="CU15" s="260" t="n"/>
      <c r="CV15" s="260" t="n"/>
      <c r="CW15" s="260" t="n"/>
      <c r="CX15" s="260" t="n"/>
      <c r="CY15" s="260" t="n"/>
      <c r="CZ15" s="260" t="n"/>
      <c r="DA15" s="260" t="n"/>
      <c r="DB15" s="260" t="n"/>
      <c r="DC15" s="260" t="n"/>
      <c r="DD15" s="260" t="n"/>
      <c r="DE15" s="260" t="n"/>
      <c r="DF15" s="260" t="n"/>
      <c r="DG15" s="260" t="n"/>
      <c r="DH15" s="260" t="n"/>
      <c r="DI15" s="260" t="n"/>
      <c r="DJ15" s="260" t="n"/>
      <c r="DK15" s="260" t="n"/>
      <c r="DL15" s="260" t="n"/>
      <c r="DM15" s="260" t="n"/>
      <c r="DN15" s="260" t="n"/>
      <c r="DO15" s="260" t="n"/>
      <c r="DP15" s="260" t="n"/>
      <c r="DQ15" s="260" t="n"/>
      <c r="DR15" s="260" t="n"/>
      <c r="DS15" s="260" t="n"/>
      <c r="DT15" s="260" t="n"/>
      <c r="DU15" s="260" t="n"/>
      <c r="DV15" s="260" t="n"/>
      <c r="DW15" s="260" t="n"/>
      <c r="DX15" s="260" t="n"/>
      <c r="DY15" s="260" t="n"/>
      <c r="DZ15" s="260" t="n"/>
      <c r="EA15" s="260" t="n"/>
      <c r="EB15" s="260" t="n"/>
      <c r="EC15" s="260" t="n"/>
      <c r="ED15" s="260" t="n"/>
      <c r="EE15" s="260" t="n"/>
      <c r="EF15" s="260" t="n"/>
      <c r="EG15" s="260" t="n"/>
      <c r="EH15" s="260" t="n"/>
      <c r="EI15" s="260" t="n"/>
      <c r="EJ15" s="260" t="n"/>
      <c r="EK15" s="260" t="n"/>
      <c r="EL15" s="260" t="n"/>
      <c r="EM15" s="260" t="n"/>
      <c r="EN15" s="260" t="n"/>
      <c r="EO15" s="260" t="n"/>
      <c r="EP15" s="260" t="n"/>
      <c r="EQ15" s="260" t="n"/>
      <c r="ER15" s="260" t="n"/>
      <c r="ES15" s="260" t="n"/>
      <c r="ET15" s="260" t="n"/>
      <c r="EU15" s="260" t="n"/>
      <c r="EV15" s="260" t="n"/>
      <c r="EW15" s="260" t="n"/>
      <c r="EX15" s="260" t="n"/>
      <c r="EY15" s="260" t="n"/>
      <c r="EZ15" s="260" t="n"/>
      <c r="FA15" s="260" t="n"/>
      <c r="FB15" s="260" t="n"/>
      <c r="FC15" s="260" t="n"/>
      <c r="FD15" s="260" t="n"/>
      <c r="FE15" s="260" t="n"/>
      <c r="FF15" s="260" t="n"/>
      <c r="FG15" s="260" t="n"/>
      <c r="FH15" s="260" t="n"/>
      <c r="FI15" s="260" t="n"/>
      <c r="FJ15" s="260" t="n"/>
      <c r="FK15" s="260" t="n"/>
      <c r="FL15" s="260" t="n"/>
      <c r="FM15" s="260" t="n"/>
      <c r="FN15" s="260" t="n"/>
      <c r="FO15" s="260" t="n"/>
      <c r="FP15" s="260" t="n"/>
      <c r="FQ15" s="260" t="n"/>
      <c r="FR15" s="260" t="n"/>
      <c r="FS15" s="260" t="n"/>
      <c r="FT15" s="260" t="n"/>
      <c r="FU15" s="260" t="n"/>
      <c r="FV15" s="260" t="n"/>
      <c r="FW15" s="260" t="n"/>
      <c r="FX15" s="260" t="n"/>
      <c r="FY15" s="260" t="n"/>
      <c r="FZ15" s="260" t="n"/>
      <c r="GA15" s="260" t="n"/>
      <c r="GB15" s="260" t="n"/>
      <c r="GC15" s="260" t="n"/>
      <c r="GD15" s="260" t="n"/>
      <c r="GE15" s="260" t="n"/>
      <c r="GF15" s="260" t="n"/>
      <c r="GG15" s="260" t="n"/>
      <c r="GH15" s="260" t="n"/>
      <c r="GI15" s="260" t="n"/>
      <c r="GJ15" s="260" t="n"/>
      <c r="GK15" s="260" t="n"/>
      <c r="GL15" s="260" t="n"/>
      <c r="GM15" s="260" t="n"/>
      <c r="GN15" s="260" t="n"/>
      <c r="GO15" s="260" t="n"/>
      <c r="GP15" s="260" t="n"/>
      <c r="GQ15" s="260" t="n"/>
      <c r="GR15" s="260" t="n"/>
      <c r="GS15" s="260" t="n"/>
      <c r="GT15" s="260" t="n"/>
      <c r="GU15" s="260" t="n"/>
      <c r="GV15" s="260" t="n"/>
      <c r="GW15" s="260" t="n"/>
      <c r="GX15" s="260" t="n"/>
      <c r="GY15" s="260" t="n"/>
      <c r="GZ15" s="260" t="n"/>
      <c r="HA15" s="260" t="n"/>
      <c r="HB15" s="260" t="n"/>
      <c r="HC15" s="260" t="n"/>
      <c r="HD15" s="260" t="n"/>
      <c r="HE15" s="260" t="n"/>
      <c r="HF15" s="260" t="n"/>
      <c r="HG15" s="260" t="n"/>
      <c r="HH15" s="260" t="n"/>
      <c r="HI15" s="260" t="n"/>
      <c r="HJ15" s="260" t="n"/>
      <c r="HK15" s="260" t="n"/>
      <c r="HL15" s="260" t="n"/>
      <c r="HM15" s="260" t="n"/>
      <c r="HN15" s="260" t="n"/>
      <c r="HO15" s="260" t="n"/>
      <c r="HP15" s="260" t="n"/>
      <c r="HQ15" s="260" t="n"/>
      <c r="HR15" s="260" t="n"/>
      <c r="HS15" s="260" t="n"/>
      <c r="HT15" s="260" t="n"/>
      <c r="HU15" s="260" t="n"/>
      <c r="HV15" s="260" t="n"/>
      <c r="HW15" s="260" t="n"/>
      <c r="HX15" s="260" t="n"/>
      <c r="HY15" s="260" t="n"/>
      <c r="HZ15" s="260" t="n"/>
      <c r="IA15" s="260" t="n"/>
      <c r="IB15" s="260" t="n"/>
      <c r="IC15" s="260" t="n"/>
      <c r="ID15" s="260" t="n"/>
      <c r="IE15" s="260" t="n"/>
    </row>
    <row r="16" ht="17.4" customFormat="1" customHeight="1" s="288">
      <c r="A16" s="289" t="n"/>
      <c r="B16" s="290" t="n"/>
      <c r="C16" s="290" t="inlineStr">
        <is>
          <t>B10</t>
        </is>
      </c>
      <c r="D16" s="1397" t="n"/>
      <c r="E16" s="1397" t="n"/>
      <c r="F16" s="1656">
        <f>SUM(G16:R16)</f>
        <v/>
      </c>
      <c r="G16" s="1635" t="n">
        <v>0</v>
      </c>
      <c r="H16" s="1635" t="n">
        <v>0</v>
      </c>
      <c r="I16" s="1635" t="n">
        <v>0</v>
      </c>
      <c r="J16" s="1635" t="n">
        <v>0</v>
      </c>
      <c r="K16" s="1635" t="n">
        <v>0</v>
      </c>
      <c r="L16" s="1635" t="n">
        <v>0</v>
      </c>
      <c r="M16" s="1635" t="n">
        <v>0</v>
      </c>
      <c r="N16" s="1635" t="n">
        <v>0</v>
      </c>
      <c r="O16" s="1635" t="n">
        <v>0</v>
      </c>
      <c r="P16" s="1635" t="n">
        <v>0</v>
      </c>
      <c r="Q16" s="1657" t="n">
        <v>0</v>
      </c>
      <c r="R16" s="1635" t="n">
        <v>0</v>
      </c>
      <c r="S16" s="260" t="n"/>
      <c r="T16" s="260" t="n"/>
      <c r="U16" s="260" t="n"/>
      <c r="V16" s="260" t="n"/>
      <c r="W16" s="260" t="n"/>
      <c r="X16" s="260" t="n"/>
      <c r="Y16" s="260" t="n"/>
      <c r="Z16" s="260" t="n"/>
      <c r="AA16" s="260" t="n"/>
      <c r="AB16" s="260" t="n"/>
      <c r="AC16" s="260" t="n"/>
      <c r="AD16" s="260" t="n"/>
      <c r="AE16" s="260" t="n"/>
      <c r="AF16" s="260" t="n"/>
      <c r="AG16" s="260" t="n"/>
      <c r="AH16" s="260" t="n"/>
      <c r="AI16" s="260" t="n"/>
      <c r="AJ16" s="260" t="n"/>
      <c r="AK16" s="260" t="n"/>
      <c r="AL16" s="260" t="n"/>
      <c r="AM16" s="260" t="n"/>
      <c r="AN16" s="260" t="n"/>
      <c r="AO16" s="260" t="n"/>
      <c r="AP16" s="260" t="n"/>
      <c r="AQ16" s="260" t="n"/>
      <c r="AR16" s="260" t="n"/>
      <c r="AS16" s="260" t="n"/>
      <c r="AT16" s="260" t="n"/>
      <c r="AU16" s="260" t="n"/>
      <c r="AV16" s="260" t="n"/>
      <c r="AW16" s="260" t="n"/>
      <c r="AX16" s="260" t="n"/>
      <c r="AY16" s="260" t="n"/>
      <c r="AZ16" s="260" t="n"/>
      <c r="BA16" s="260" t="n"/>
      <c r="BB16" s="260" t="n"/>
      <c r="BC16" s="260" t="n"/>
      <c r="BD16" s="260" t="n"/>
      <c r="BE16" s="260" t="n"/>
      <c r="BF16" s="260" t="n"/>
      <c r="BG16" s="260" t="n"/>
      <c r="BH16" s="260" t="n"/>
      <c r="BI16" s="260" t="n"/>
      <c r="BJ16" s="260" t="n"/>
      <c r="BK16" s="260" t="n"/>
      <c r="BL16" s="260" t="n"/>
      <c r="BM16" s="260" t="n"/>
      <c r="BN16" s="260" t="n"/>
      <c r="BO16" s="260" t="n"/>
      <c r="BP16" s="260" t="n"/>
      <c r="BQ16" s="260" t="n"/>
      <c r="BR16" s="260" t="n"/>
      <c r="BS16" s="260" t="n"/>
      <c r="BT16" s="260" t="n"/>
      <c r="BU16" s="260" t="n"/>
      <c r="BV16" s="260" t="n"/>
      <c r="BW16" s="260" t="n"/>
      <c r="BX16" s="260" t="n"/>
      <c r="BY16" s="260" t="n"/>
      <c r="BZ16" s="260" t="n"/>
      <c r="CA16" s="260" t="n"/>
      <c r="CB16" s="260" t="n"/>
      <c r="CC16" s="260" t="n"/>
      <c r="CD16" s="260" t="n"/>
      <c r="CE16" s="260" t="n"/>
      <c r="CF16" s="260" t="n"/>
      <c r="CG16" s="260" t="n"/>
      <c r="CH16" s="260" t="n"/>
      <c r="CI16" s="260" t="n"/>
      <c r="CJ16" s="260" t="n"/>
      <c r="CK16" s="260" t="n"/>
      <c r="CL16" s="260" t="n"/>
      <c r="CM16" s="260" t="n"/>
      <c r="CN16" s="260" t="n"/>
      <c r="CO16" s="260" t="n"/>
      <c r="CP16" s="260" t="n"/>
      <c r="CQ16" s="260" t="n"/>
      <c r="CR16" s="260" t="n"/>
      <c r="CS16" s="260" t="n"/>
      <c r="CT16" s="260" t="n"/>
      <c r="CU16" s="260" t="n"/>
      <c r="CV16" s="260" t="n"/>
      <c r="CW16" s="260" t="n"/>
      <c r="CX16" s="260" t="n"/>
      <c r="CY16" s="260" t="n"/>
      <c r="CZ16" s="260" t="n"/>
      <c r="DA16" s="260" t="n"/>
      <c r="DB16" s="260" t="n"/>
      <c r="DC16" s="260" t="n"/>
      <c r="DD16" s="260" t="n"/>
      <c r="DE16" s="260" t="n"/>
      <c r="DF16" s="260" t="n"/>
      <c r="DG16" s="260" t="n"/>
      <c r="DH16" s="260" t="n"/>
      <c r="DI16" s="260" t="n"/>
      <c r="DJ16" s="260" t="n"/>
      <c r="DK16" s="260" t="n"/>
      <c r="DL16" s="260" t="n"/>
      <c r="DM16" s="260" t="n"/>
      <c r="DN16" s="260" t="n"/>
      <c r="DO16" s="260" t="n"/>
      <c r="DP16" s="260" t="n"/>
      <c r="DQ16" s="260" t="n"/>
      <c r="DR16" s="260" t="n"/>
      <c r="DS16" s="260" t="n"/>
      <c r="DT16" s="260" t="n"/>
      <c r="DU16" s="260" t="n"/>
      <c r="DV16" s="260" t="n"/>
      <c r="DW16" s="260" t="n"/>
      <c r="DX16" s="260" t="n"/>
      <c r="DY16" s="260" t="n"/>
      <c r="DZ16" s="260" t="n"/>
      <c r="EA16" s="260" t="n"/>
      <c r="EB16" s="260" t="n"/>
      <c r="EC16" s="260" t="n"/>
      <c r="ED16" s="260" t="n"/>
      <c r="EE16" s="260" t="n"/>
      <c r="EF16" s="260" t="n"/>
      <c r="EG16" s="260" t="n"/>
      <c r="EH16" s="260" t="n"/>
      <c r="EI16" s="260" t="n"/>
      <c r="EJ16" s="260" t="n"/>
      <c r="EK16" s="260" t="n"/>
      <c r="EL16" s="260" t="n"/>
      <c r="EM16" s="260" t="n"/>
      <c r="EN16" s="260" t="n"/>
      <c r="EO16" s="260" t="n"/>
      <c r="EP16" s="260" t="n"/>
      <c r="EQ16" s="260" t="n"/>
      <c r="ER16" s="260" t="n"/>
      <c r="ES16" s="260" t="n"/>
      <c r="ET16" s="260" t="n"/>
      <c r="EU16" s="260" t="n"/>
      <c r="EV16" s="260" t="n"/>
      <c r="EW16" s="260" t="n"/>
      <c r="EX16" s="260" t="n"/>
      <c r="EY16" s="260" t="n"/>
      <c r="EZ16" s="260" t="n"/>
      <c r="FA16" s="260" t="n"/>
      <c r="FB16" s="260" t="n"/>
      <c r="FC16" s="260" t="n"/>
      <c r="FD16" s="260" t="n"/>
      <c r="FE16" s="260" t="n"/>
      <c r="FF16" s="260" t="n"/>
      <c r="FG16" s="260" t="n"/>
      <c r="FH16" s="260" t="n"/>
      <c r="FI16" s="260" t="n"/>
      <c r="FJ16" s="260" t="n"/>
      <c r="FK16" s="260" t="n"/>
      <c r="FL16" s="260" t="n"/>
      <c r="FM16" s="260" t="n"/>
      <c r="FN16" s="260" t="n"/>
      <c r="FO16" s="260" t="n"/>
      <c r="FP16" s="260" t="n"/>
      <c r="FQ16" s="260" t="n"/>
      <c r="FR16" s="260" t="n"/>
      <c r="FS16" s="260" t="n"/>
      <c r="FT16" s="260" t="n"/>
      <c r="FU16" s="260" t="n"/>
      <c r="FV16" s="260" t="n"/>
      <c r="FW16" s="260" t="n"/>
      <c r="FX16" s="260" t="n"/>
      <c r="FY16" s="260" t="n"/>
      <c r="FZ16" s="260" t="n"/>
      <c r="GA16" s="260" t="n"/>
      <c r="GB16" s="260" t="n"/>
      <c r="GC16" s="260" t="n"/>
      <c r="GD16" s="260" t="n"/>
      <c r="GE16" s="260" t="n"/>
      <c r="GF16" s="260" t="n"/>
      <c r="GG16" s="260" t="n"/>
      <c r="GH16" s="260" t="n"/>
      <c r="GI16" s="260" t="n"/>
      <c r="GJ16" s="260" t="n"/>
      <c r="GK16" s="260" t="n"/>
      <c r="GL16" s="260" t="n"/>
      <c r="GM16" s="260" t="n"/>
      <c r="GN16" s="260" t="n"/>
      <c r="GO16" s="260" t="n"/>
      <c r="GP16" s="260" t="n"/>
      <c r="GQ16" s="260" t="n"/>
      <c r="GR16" s="260" t="n"/>
      <c r="GS16" s="260" t="n"/>
      <c r="GT16" s="260" t="n"/>
      <c r="GU16" s="260" t="n"/>
      <c r="GV16" s="260" t="n"/>
      <c r="GW16" s="260" t="n"/>
      <c r="GX16" s="260" t="n"/>
      <c r="GY16" s="260" t="n"/>
      <c r="GZ16" s="260" t="n"/>
      <c r="HA16" s="260" t="n"/>
      <c r="HB16" s="260" t="n"/>
      <c r="HC16" s="260" t="n"/>
      <c r="HD16" s="260" t="n"/>
      <c r="HE16" s="260" t="n"/>
      <c r="HF16" s="260" t="n"/>
      <c r="HG16" s="260" t="n"/>
      <c r="HH16" s="260" t="n"/>
      <c r="HI16" s="260" t="n"/>
      <c r="HJ16" s="260" t="n"/>
      <c r="HK16" s="260" t="n"/>
      <c r="HL16" s="260" t="n"/>
      <c r="HM16" s="260" t="n"/>
      <c r="HN16" s="260" t="n"/>
      <c r="HO16" s="260" t="n"/>
      <c r="HP16" s="260" t="n"/>
      <c r="HQ16" s="260" t="n"/>
      <c r="HR16" s="260" t="n"/>
      <c r="HS16" s="260" t="n"/>
      <c r="HT16" s="260" t="n"/>
      <c r="HU16" s="260" t="n"/>
      <c r="HV16" s="260" t="n"/>
      <c r="HW16" s="260" t="n"/>
      <c r="HX16" s="260" t="n"/>
      <c r="HY16" s="260" t="n"/>
      <c r="HZ16" s="260" t="n"/>
      <c r="IA16" s="260" t="n"/>
      <c r="IB16" s="260" t="n"/>
      <c r="IC16" s="260" t="n"/>
      <c r="ID16" s="260" t="n"/>
      <c r="IE16" s="260" t="n"/>
    </row>
    <row r="17" ht="17.4" customFormat="1" customHeight="1" s="288">
      <c r="A17" s="289" t="inlineStr">
        <is>
          <t xml:space="preserve">2. จก 8297 ชบ                   </t>
        </is>
      </c>
      <c r="B17" s="290" t="inlineStr">
        <is>
          <t>LCB</t>
        </is>
      </c>
      <c r="C17" s="290" t="inlineStr">
        <is>
          <t>B7</t>
        </is>
      </c>
      <c r="D17" s="1397" t="inlineStr">
        <is>
          <t>ใบแจ้งหนี้ / Fleet Card Report</t>
        </is>
      </c>
      <c r="E17" s="1397" t="inlineStr">
        <is>
          <t xml:space="preserve"> L</t>
        </is>
      </c>
      <c r="F17" s="1656">
        <f>SUM(G17:R17)</f>
        <v/>
      </c>
      <c r="G17" s="1635" t="n">
        <v>109.83</v>
      </c>
      <c r="H17" s="1635" t="n">
        <v>177.24</v>
      </c>
      <c r="I17" s="1635" t="n">
        <v>88.93000000000001</v>
      </c>
      <c r="J17" s="1635" t="n">
        <v>149.6</v>
      </c>
      <c r="K17" s="1635" t="n">
        <v>212.11</v>
      </c>
      <c r="L17" s="1635" t="n">
        <v>0</v>
      </c>
      <c r="M17" s="1635" t="n">
        <v>172.84</v>
      </c>
      <c r="N17" s="1635" t="n">
        <v>175.95</v>
      </c>
      <c r="O17" s="1635" t="n">
        <v>118.34</v>
      </c>
      <c r="P17" s="1635" t="n">
        <v>170.37</v>
      </c>
      <c r="Q17" s="1657" t="n">
        <v>161.41</v>
      </c>
      <c r="R17" s="1635" t="n">
        <v>179.68</v>
      </c>
      <c r="S17" s="260" t="n"/>
      <c r="T17" s="260" t="n"/>
      <c r="U17" s="260" t="n"/>
      <c r="V17" s="260" t="n"/>
      <c r="W17" s="260" t="n"/>
      <c r="X17" s="260" t="n"/>
      <c r="Y17" s="260" t="n"/>
      <c r="Z17" s="260" t="n"/>
      <c r="AA17" s="260" t="n"/>
      <c r="AB17" s="260" t="n"/>
      <c r="AC17" s="260" t="n"/>
      <c r="AD17" s="260" t="n"/>
      <c r="AE17" s="260" t="n"/>
      <c r="AF17" s="260" t="n"/>
      <c r="AG17" s="260" t="n"/>
      <c r="AH17" s="260" t="n"/>
      <c r="AI17" s="260" t="n"/>
      <c r="AJ17" s="260" t="n"/>
      <c r="AK17" s="260" t="n"/>
      <c r="AL17" s="260" t="n"/>
      <c r="AM17" s="260" t="n"/>
      <c r="AN17" s="260" t="n"/>
      <c r="AO17" s="260" t="n"/>
      <c r="AP17" s="260" t="n"/>
      <c r="AQ17" s="260" t="n"/>
      <c r="AR17" s="260" t="n"/>
      <c r="AS17" s="260" t="n"/>
      <c r="AT17" s="260" t="n"/>
      <c r="AU17" s="260" t="n"/>
      <c r="AV17" s="260" t="n"/>
      <c r="AW17" s="260" t="n"/>
      <c r="AX17" s="260" t="n"/>
      <c r="AY17" s="260" t="n"/>
      <c r="AZ17" s="260" t="n"/>
      <c r="BA17" s="260" t="n"/>
      <c r="BB17" s="260" t="n"/>
      <c r="BC17" s="260" t="n"/>
      <c r="BD17" s="260" t="n"/>
      <c r="BE17" s="260" t="n"/>
      <c r="BF17" s="260" t="n"/>
      <c r="BG17" s="260" t="n"/>
      <c r="BH17" s="260" t="n"/>
      <c r="BI17" s="260" t="n"/>
      <c r="BJ17" s="260" t="n"/>
      <c r="BK17" s="260" t="n"/>
      <c r="BL17" s="260" t="n"/>
      <c r="BM17" s="260" t="n"/>
      <c r="BN17" s="260" t="n"/>
      <c r="BO17" s="260" t="n"/>
      <c r="BP17" s="260" t="n"/>
      <c r="BQ17" s="260" t="n"/>
      <c r="BR17" s="260" t="n"/>
      <c r="BS17" s="260" t="n"/>
      <c r="BT17" s="260" t="n"/>
      <c r="BU17" s="260" t="n"/>
      <c r="BV17" s="260" t="n"/>
      <c r="BW17" s="260" t="n"/>
      <c r="BX17" s="260" t="n"/>
      <c r="BY17" s="260" t="n"/>
      <c r="BZ17" s="260" t="n"/>
      <c r="CA17" s="260" t="n"/>
      <c r="CB17" s="260" t="n"/>
      <c r="CC17" s="260" t="n"/>
      <c r="CD17" s="260" t="n"/>
      <c r="CE17" s="260" t="n"/>
      <c r="CF17" s="260" t="n"/>
      <c r="CG17" s="260" t="n"/>
      <c r="CH17" s="260" t="n"/>
      <c r="CI17" s="260" t="n"/>
      <c r="CJ17" s="260" t="n"/>
      <c r="CK17" s="260" t="n"/>
      <c r="CL17" s="260" t="n"/>
      <c r="CM17" s="260" t="n"/>
      <c r="CN17" s="260" t="n"/>
      <c r="CO17" s="260" t="n"/>
      <c r="CP17" s="260" t="n"/>
      <c r="CQ17" s="260" t="n"/>
      <c r="CR17" s="260" t="n"/>
      <c r="CS17" s="260" t="n"/>
      <c r="CT17" s="260" t="n"/>
      <c r="CU17" s="260" t="n"/>
      <c r="CV17" s="260" t="n"/>
      <c r="CW17" s="260" t="n"/>
      <c r="CX17" s="260" t="n"/>
      <c r="CY17" s="260" t="n"/>
      <c r="CZ17" s="260" t="n"/>
      <c r="DA17" s="260" t="n"/>
      <c r="DB17" s="260" t="n"/>
      <c r="DC17" s="260" t="n"/>
      <c r="DD17" s="260" t="n"/>
      <c r="DE17" s="260" t="n"/>
      <c r="DF17" s="260" t="n"/>
      <c r="DG17" s="260" t="n"/>
      <c r="DH17" s="260" t="n"/>
      <c r="DI17" s="260" t="n"/>
      <c r="DJ17" s="260" t="n"/>
      <c r="DK17" s="260" t="n"/>
      <c r="DL17" s="260" t="n"/>
      <c r="DM17" s="260" t="n"/>
      <c r="DN17" s="260" t="n"/>
      <c r="DO17" s="260" t="n"/>
      <c r="DP17" s="260" t="n"/>
      <c r="DQ17" s="260" t="n"/>
      <c r="DR17" s="260" t="n"/>
      <c r="DS17" s="260" t="n"/>
      <c r="DT17" s="260" t="n"/>
      <c r="DU17" s="260" t="n"/>
      <c r="DV17" s="260" t="n"/>
      <c r="DW17" s="260" t="n"/>
      <c r="DX17" s="260" t="n"/>
      <c r="DY17" s="260" t="n"/>
      <c r="DZ17" s="260" t="n"/>
      <c r="EA17" s="260" t="n"/>
      <c r="EB17" s="260" t="n"/>
      <c r="EC17" s="260" t="n"/>
      <c r="ED17" s="260" t="n"/>
      <c r="EE17" s="260" t="n"/>
      <c r="EF17" s="260" t="n"/>
      <c r="EG17" s="260" t="n"/>
      <c r="EH17" s="260" t="n"/>
      <c r="EI17" s="260" t="n"/>
      <c r="EJ17" s="260" t="n"/>
      <c r="EK17" s="260" t="n"/>
      <c r="EL17" s="260" t="n"/>
      <c r="EM17" s="260" t="n"/>
      <c r="EN17" s="260" t="n"/>
      <c r="EO17" s="260" t="n"/>
      <c r="EP17" s="260" t="n"/>
      <c r="EQ17" s="260" t="n"/>
      <c r="ER17" s="260" t="n"/>
      <c r="ES17" s="260" t="n"/>
      <c r="ET17" s="260" t="n"/>
      <c r="EU17" s="260" t="n"/>
      <c r="EV17" s="260" t="n"/>
      <c r="EW17" s="260" t="n"/>
      <c r="EX17" s="260" t="n"/>
      <c r="EY17" s="260" t="n"/>
      <c r="EZ17" s="260" t="n"/>
      <c r="FA17" s="260" t="n"/>
      <c r="FB17" s="260" t="n"/>
      <c r="FC17" s="260" t="n"/>
      <c r="FD17" s="260" t="n"/>
      <c r="FE17" s="260" t="n"/>
      <c r="FF17" s="260" t="n"/>
      <c r="FG17" s="260" t="n"/>
      <c r="FH17" s="260" t="n"/>
      <c r="FI17" s="260" t="n"/>
      <c r="FJ17" s="260" t="n"/>
      <c r="FK17" s="260" t="n"/>
      <c r="FL17" s="260" t="n"/>
      <c r="FM17" s="260" t="n"/>
      <c r="FN17" s="260" t="n"/>
      <c r="FO17" s="260" t="n"/>
      <c r="FP17" s="260" t="n"/>
      <c r="FQ17" s="260" t="n"/>
      <c r="FR17" s="260" t="n"/>
      <c r="FS17" s="260" t="n"/>
      <c r="FT17" s="260" t="n"/>
      <c r="FU17" s="260" t="n"/>
      <c r="FV17" s="260" t="n"/>
      <c r="FW17" s="260" t="n"/>
      <c r="FX17" s="260" t="n"/>
      <c r="FY17" s="260" t="n"/>
      <c r="FZ17" s="260" t="n"/>
      <c r="GA17" s="260" t="n"/>
      <c r="GB17" s="260" t="n"/>
      <c r="GC17" s="260" t="n"/>
      <c r="GD17" s="260" t="n"/>
      <c r="GE17" s="260" t="n"/>
      <c r="GF17" s="260" t="n"/>
      <c r="GG17" s="260" t="n"/>
      <c r="GH17" s="260" t="n"/>
      <c r="GI17" s="260" t="n"/>
      <c r="GJ17" s="260" t="n"/>
      <c r="GK17" s="260" t="n"/>
      <c r="GL17" s="260" t="n"/>
      <c r="GM17" s="260" t="n"/>
      <c r="GN17" s="260" t="n"/>
      <c r="GO17" s="260" t="n"/>
      <c r="GP17" s="260" t="n"/>
      <c r="GQ17" s="260" t="n"/>
      <c r="GR17" s="260" t="n"/>
      <c r="GS17" s="260" t="n"/>
      <c r="GT17" s="260" t="n"/>
      <c r="GU17" s="260" t="n"/>
      <c r="GV17" s="260" t="n"/>
      <c r="GW17" s="260" t="n"/>
      <c r="GX17" s="260" t="n"/>
      <c r="GY17" s="260" t="n"/>
      <c r="GZ17" s="260" t="n"/>
      <c r="HA17" s="260" t="n"/>
      <c r="HB17" s="260" t="n"/>
      <c r="HC17" s="260" t="n"/>
      <c r="HD17" s="260" t="n"/>
      <c r="HE17" s="260" t="n"/>
      <c r="HF17" s="260" t="n"/>
      <c r="HG17" s="260" t="n"/>
      <c r="HH17" s="260" t="n"/>
      <c r="HI17" s="260" t="n"/>
      <c r="HJ17" s="260" t="n"/>
      <c r="HK17" s="260" t="n"/>
      <c r="HL17" s="260" t="n"/>
      <c r="HM17" s="260" t="n"/>
      <c r="HN17" s="260" t="n"/>
      <c r="HO17" s="260" t="n"/>
      <c r="HP17" s="260" t="n"/>
      <c r="HQ17" s="260" t="n"/>
      <c r="HR17" s="260" t="n"/>
      <c r="HS17" s="260" t="n"/>
      <c r="HT17" s="260" t="n"/>
      <c r="HU17" s="260" t="n"/>
      <c r="HV17" s="260" t="n"/>
      <c r="HW17" s="260" t="n"/>
      <c r="HX17" s="260" t="n"/>
      <c r="HY17" s="260" t="n"/>
      <c r="HZ17" s="260" t="n"/>
      <c r="IA17" s="260" t="n"/>
      <c r="IB17" s="260" t="n"/>
      <c r="IC17" s="260" t="n"/>
      <c r="ID17" s="260" t="n"/>
      <c r="IE17" s="260" t="n"/>
    </row>
    <row r="18" ht="17.4" customFormat="1" customHeight="1" s="288">
      <c r="A18" s="289" t="n"/>
      <c r="B18" s="290" t="n"/>
      <c r="C18" s="290" t="inlineStr">
        <is>
          <t>B10</t>
        </is>
      </c>
      <c r="D18" s="1397" t="n"/>
      <c r="E18" s="1397" t="n"/>
      <c r="F18" s="1656">
        <f>SUM(G18:R18)</f>
        <v/>
      </c>
      <c r="G18" s="1635" t="n">
        <v>0</v>
      </c>
      <c r="H18" s="1635" t="n">
        <v>0</v>
      </c>
      <c r="I18" s="1635" t="n">
        <v>0</v>
      </c>
      <c r="J18" s="1635" t="n">
        <v>0</v>
      </c>
      <c r="K18" s="1635" t="n">
        <v>0</v>
      </c>
      <c r="L18" s="1635" t="n">
        <v>0</v>
      </c>
      <c r="M18" s="1635" t="n">
        <v>0</v>
      </c>
      <c r="N18" s="1635" t="n">
        <v>0</v>
      </c>
      <c r="O18" s="1635" t="n">
        <v>0</v>
      </c>
      <c r="P18" s="1635" t="n">
        <v>0</v>
      </c>
      <c r="Q18" s="1657" t="n">
        <v>0</v>
      </c>
      <c r="R18" s="1635" t="n">
        <v>0</v>
      </c>
      <c r="S18" s="260" t="n"/>
      <c r="T18" s="260" t="n"/>
      <c r="U18" s="260" t="n"/>
      <c r="V18" s="260" t="n"/>
      <c r="W18" s="260" t="n"/>
      <c r="X18" s="260" t="n"/>
      <c r="Y18" s="260" t="n"/>
      <c r="Z18" s="260" t="n"/>
      <c r="AA18" s="260" t="n"/>
      <c r="AB18" s="260" t="n"/>
      <c r="AC18" s="260" t="n"/>
      <c r="AD18" s="260" t="n"/>
      <c r="AE18" s="260" t="n"/>
      <c r="AF18" s="260" t="n"/>
      <c r="AG18" s="260" t="n"/>
      <c r="AH18" s="260" t="n"/>
      <c r="AI18" s="260" t="n"/>
      <c r="AJ18" s="260" t="n"/>
      <c r="AK18" s="260" t="n"/>
      <c r="AL18" s="260" t="n"/>
      <c r="AM18" s="260" t="n"/>
      <c r="AN18" s="260" t="n"/>
      <c r="AO18" s="260" t="n"/>
      <c r="AP18" s="260" t="n"/>
      <c r="AQ18" s="260" t="n"/>
      <c r="AR18" s="260" t="n"/>
      <c r="AS18" s="260" t="n"/>
      <c r="AT18" s="260" t="n"/>
      <c r="AU18" s="260" t="n"/>
      <c r="AV18" s="260" t="n"/>
      <c r="AW18" s="260" t="n"/>
      <c r="AX18" s="260" t="n"/>
      <c r="AY18" s="260" t="n"/>
      <c r="AZ18" s="260" t="n"/>
      <c r="BA18" s="260" t="n"/>
      <c r="BB18" s="260" t="n"/>
      <c r="BC18" s="260" t="n"/>
      <c r="BD18" s="260" t="n"/>
      <c r="BE18" s="260" t="n"/>
      <c r="BF18" s="260" t="n"/>
      <c r="BG18" s="260" t="n"/>
      <c r="BH18" s="260" t="n"/>
      <c r="BI18" s="260" t="n"/>
      <c r="BJ18" s="260" t="n"/>
      <c r="BK18" s="260" t="n"/>
      <c r="BL18" s="260" t="n"/>
      <c r="BM18" s="260" t="n"/>
      <c r="BN18" s="260" t="n"/>
      <c r="BO18" s="260" t="n"/>
      <c r="BP18" s="260" t="n"/>
      <c r="BQ18" s="260" t="n"/>
      <c r="BR18" s="260" t="n"/>
      <c r="BS18" s="260" t="n"/>
      <c r="BT18" s="260" t="n"/>
      <c r="BU18" s="260" t="n"/>
      <c r="BV18" s="260" t="n"/>
      <c r="BW18" s="260" t="n"/>
      <c r="BX18" s="260" t="n"/>
      <c r="BY18" s="260" t="n"/>
      <c r="BZ18" s="260" t="n"/>
      <c r="CA18" s="260" t="n"/>
      <c r="CB18" s="260" t="n"/>
      <c r="CC18" s="260" t="n"/>
      <c r="CD18" s="260" t="n"/>
      <c r="CE18" s="260" t="n"/>
      <c r="CF18" s="260" t="n"/>
      <c r="CG18" s="260" t="n"/>
      <c r="CH18" s="260" t="n"/>
      <c r="CI18" s="260" t="n"/>
      <c r="CJ18" s="260" t="n"/>
      <c r="CK18" s="260" t="n"/>
      <c r="CL18" s="260" t="n"/>
      <c r="CM18" s="260" t="n"/>
      <c r="CN18" s="260" t="n"/>
      <c r="CO18" s="260" t="n"/>
      <c r="CP18" s="260" t="n"/>
      <c r="CQ18" s="260" t="n"/>
      <c r="CR18" s="260" t="n"/>
      <c r="CS18" s="260" t="n"/>
      <c r="CT18" s="260" t="n"/>
      <c r="CU18" s="260" t="n"/>
      <c r="CV18" s="260" t="n"/>
      <c r="CW18" s="260" t="n"/>
      <c r="CX18" s="260" t="n"/>
      <c r="CY18" s="260" t="n"/>
      <c r="CZ18" s="260" t="n"/>
      <c r="DA18" s="260" t="n"/>
      <c r="DB18" s="260" t="n"/>
      <c r="DC18" s="260" t="n"/>
      <c r="DD18" s="260" t="n"/>
      <c r="DE18" s="260" t="n"/>
      <c r="DF18" s="260" t="n"/>
      <c r="DG18" s="260" t="n"/>
      <c r="DH18" s="260" t="n"/>
      <c r="DI18" s="260" t="n"/>
      <c r="DJ18" s="260" t="n"/>
      <c r="DK18" s="260" t="n"/>
      <c r="DL18" s="260" t="n"/>
      <c r="DM18" s="260" t="n"/>
      <c r="DN18" s="260" t="n"/>
      <c r="DO18" s="260" t="n"/>
      <c r="DP18" s="260" t="n"/>
      <c r="DQ18" s="260" t="n"/>
      <c r="DR18" s="260" t="n"/>
      <c r="DS18" s="260" t="n"/>
      <c r="DT18" s="260" t="n"/>
      <c r="DU18" s="260" t="n"/>
      <c r="DV18" s="260" t="n"/>
      <c r="DW18" s="260" t="n"/>
      <c r="DX18" s="260" t="n"/>
      <c r="DY18" s="260" t="n"/>
      <c r="DZ18" s="260" t="n"/>
      <c r="EA18" s="260" t="n"/>
      <c r="EB18" s="260" t="n"/>
      <c r="EC18" s="260" t="n"/>
      <c r="ED18" s="260" t="n"/>
      <c r="EE18" s="260" t="n"/>
      <c r="EF18" s="260" t="n"/>
      <c r="EG18" s="260" t="n"/>
      <c r="EH18" s="260" t="n"/>
      <c r="EI18" s="260" t="n"/>
      <c r="EJ18" s="260" t="n"/>
      <c r="EK18" s="260" t="n"/>
      <c r="EL18" s="260" t="n"/>
      <c r="EM18" s="260" t="n"/>
      <c r="EN18" s="260" t="n"/>
      <c r="EO18" s="260" t="n"/>
      <c r="EP18" s="260" t="n"/>
      <c r="EQ18" s="260" t="n"/>
      <c r="ER18" s="260" t="n"/>
      <c r="ES18" s="260" t="n"/>
      <c r="ET18" s="260" t="n"/>
      <c r="EU18" s="260" t="n"/>
      <c r="EV18" s="260" t="n"/>
      <c r="EW18" s="260" t="n"/>
      <c r="EX18" s="260" t="n"/>
      <c r="EY18" s="260" t="n"/>
      <c r="EZ18" s="260" t="n"/>
      <c r="FA18" s="260" t="n"/>
      <c r="FB18" s="260" t="n"/>
      <c r="FC18" s="260" t="n"/>
      <c r="FD18" s="260" t="n"/>
      <c r="FE18" s="260" t="n"/>
      <c r="FF18" s="260" t="n"/>
      <c r="FG18" s="260" t="n"/>
      <c r="FH18" s="260" t="n"/>
      <c r="FI18" s="260" t="n"/>
      <c r="FJ18" s="260" t="n"/>
      <c r="FK18" s="260" t="n"/>
      <c r="FL18" s="260" t="n"/>
      <c r="FM18" s="260" t="n"/>
      <c r="FN18" s="260" t="n"/>
      <c r="FO18" s="260" t="n"/>
      <c r="FP18" s="260" t="n"/>
      <c r="FQ18" s="260" t="n"/>
      <c r="FR18" s="260" t="n"/>
      <c r="FS18" s="260" t="n"/>
      <c r="FT18" s="260" t="n"/>
      <c r="FU18" s="260" t="n"/>
      <c r="FV18" s="260" t="n"/>
      <c r="FW18" s="260" t="n"/>
      <c r="FX18" s="260" t="n"/>
      <c r="FY18" s="260" t="n"/>
      <c r="FZ18" s="260" t="n"/>
      <c r="GA18" s="260" t="n"/>
      <c r="GB18" s="260" t="n"/>
      <c r="GC18" s="260" t="n"/>
      <c r="GD18" s="260" t="n"/>
      <c r="GE18" s="260" t="n"/>
      <c r="GF18" s="260" t="n"/>
      <c r="GG18" s="260" t="n"/>
      <c r="GH18" s="260" t="n"/>
      <c r="GI18" s="260" t="n"/>
      <c r="GJ18" s="260" t="n"/>
      <c r="GK18" s="260" t="n"/>
      <c r="GL18" s="260" t="n"/>
      <c r="GM18" s="260" t="n"/>
      <c r="GN18" s="260" t="n"/>
      <c r="GO18" s="260" t="n"/>
      <c r="GP18" s="260" t="n"/>
      <c r="GQ18" s="260" t="n"/>
      <c r="GR18" s="260" t="n"/>
      <c r="GS18" s="260" t="n"/>
      <c r="GT18" s="260" t="n"/>
      <c r="GU18" s="260" t="n"/>
      <c r="GV18" s="260" t="n"/>
      <c r="GW18" s="260" t="n"/>
      <c r="GX18" s="260" t="n"/>
      <c r="GY18" s="260" t="n"/>
      <c r="GZ18" s="260" t="n"/>
      <c r="HA18" s="260" t="n"/>
      <c r="HB18" s="260" t="n"/>
      <c r="HC18" s="260" t="n"/>
      <c r="HD18" s="260" t="n"/>
      <c r="HE18" s="260" t="n"/>
      <c r="HF18" s="260" t="n"/>
      <c r="HG18" s="260" t="n"/>
      <c r="HH18" s="260" t="n"/>
      <c r="HI18" s="260" t="n"/>
      <c r="HJ18" s="260" t="n"/>
      <c r="HK18" s="260" t="n"/>
      <c r="HL18" s="260" t="n"/>
      <c r="HM18" s="260" t="n"/>
      <c r="HN18" s="260" t="n"/>
      <c r="HO18" s="260" t="n"/>
      <c r="HP18" s="260" t="n"/>
      <c r="HQ18" s="260" t="n"/>
      <c r="HR18" s="260" t="n"/>
      <c r="HS18" s="260" t="n"/>
      <c r="HT18" s="260" t="n"/>
      <c r="HU18" s="260" t="n"/>
      <c r="HV18" s="260" t="n"/>
      <c r="HW18" s="260" t="n"/>
      <c r="HX18" s="260" t="n"/>
      <c r="HY18" s="260" t="n"/>
      <c r="HZ18" s="260" t="n"/>
      <c r="IA18" s="260" t="n"/>
      <c r="IB18" s="260" t="n"/>
      <c r="IC18" s="260" t="n"/>
      <c r="ID18" s="260" t="n"/>
      <c r="IE18" s="260" t="n"/>
    </row>
    <row r="19" ht="17.4" customFormat="1" customHeight="1" s="288">
      <c r="A19" s="289" t="inlineStr">
        <is>
          <t xml:space="preserve">3. นง 1084 ชบ. </t>
        </is>
      </c>
      <c r="B19" s="290" t="inlineStr">
        <is>
          <t>LCB</t>
        </is>
      </c>
      <c r="C19" s="290" t="inlineStr">
        <is>
          <t>B7</t>
        </is>
      </c>
      <c r="D19" s="1397" t="inlineStr">
        <is>
          <t>ใบแจ้งหนี้ / Fleet Card Report</t>
        </is>
      </c>
      <c r="E19" s="1397" t="inlineStr">
        <is>
          <t xml:space="preserve"> L</t>
        </is>
      </c>
      <c r="F19" s="1656">
        <f>SUM(G19:R19)</f>
        <v/>
      </c>
      <c r="G19" s="1635" t="n">
        <v>164.74</v>
      </c>
      <c r="H19" s="1635" t="n">
        <v>162.56</v>
      </c>
      <c r="I19" s="1635" t="n">
        <v>102.89</v>
      </c>
      <c r="J19" s="1635" t="n">
        <v>98.3</v>
      </c>
      <c r="K19" s="1635" t="n">
        <v>152.31</v>
      </c>
      <c r="L19" s="1635" t="n">
        <v>130.16</v>
      </c>
      <c r="M19" s="1635" t="n">
        <v>189.03</v>
      </c>
      <c r="N19" s="1635" t="n">
        <v>54.5</v>
      </c>
      <c r="O19" s="1635" t="n">
        <v>109</v>
      </c>
      <c r="P19" s="1635" t="n">
        <v>102.85</v>
      </c>
      <c r="Q19" s="1657" t="n">
        <v>100.41</v>
      </c>
      <c r="R19" s="1635" t="n">
        <v>53.14</v>
      </c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0" t="n"/>
      <c r="AJ19" s="260" t="n"/>
      <c r="AK19" s="260" t="n"/>
      <c r="AL19" s="260" t="n"/>
      <c r="AM19" s="260" t="n"/>
      <c r="AN19" s="260" t="n"/>
      <c r="AO19" s="260" t="n"/>
      <c r="AP19" s="260" t="n"/>
      <c r="AQ19" s="260" t="n"/>
      <c r="AR19" s="260" t="n"/>
      <c r="AS19" s="260" t="n"/>
      <c r="AT19" s="260" t="n"/>
      <c r="AU19" s="260" t="n"/>
      <c r="AV19" s="260" t="n"/>
      <c r="AW19" s="260" t="n"/>
      <c r="AX19" s="260" t="n"/>
      <c r="AY19" s="260" t="n"/>
      <c r="AZ19" s="260" t="n"/>
      <c r="BA19" s="260" t="n"/>
      <c r="BB19" s="260" t="n"/>
      <c r="BC19" s="260" t="n"/>
      <c r="BD19" s="260" t="n"/>
      <c r="BE19" s="260" t="n"/>
      <c r="BF19" s="260" t="n"/>
      <c r="BG19" s="260" t="n"/>
      <c r="BH19" s="260" t="n"/>
      <c r="BI19" s="260" t="n"/>
      <c r="BJ19" s="260" t="n"/>
      <c r="BK19" s="260" t="n"/>
      <c r="BL19" s="260" t="n"/>
      <c r="BM19" s="260" t="n"/>
      <c r="BN19" s="260" t="n"/>
      <c r="BO19" s="260" t="n"/>
      <c r="BP19" s="260" t="n"/>
      <c r="BQ19" s="260" t="n"/>
      <c r="BR19" s="260" t="n"/>
      <c r="BS19" s="260" t="n"/>
      <c r="BT19" s="260" t="n"/>
      <c r="BU19" s="260" t="n"/>
      <c r="BV19" s="260" t="n"/>
      <c r="BW19" s="260" t="n"/>
      <c r="BX19" s="260" t="n"/>
      <c r="BY19" s="260" t="n"/>
      <c r="BZ19" s="260" t="n"/>
      <c r="CA19" s="260" t="n"/>
      <c r="CB19" s="260" t="n"/>
      <c r="CC19" s="260" t="n"/>
      <c r="CD19" s="260" t="n"/>
      <c r="CE19" s="260" t="n"/>
      <c r="CF19" s="260" t="n"/>
      <c r="CG19" s="260" t="n"/>
      <c r="CH19" s="260" t="n"/>
      <c r="CI19" s="260" t="n"/>
      <c r="CJ19" s="260" t="n"/>
      <c r="CK19" s="260" t="n"/>
      <c r="CL19" s="260" t="n"/>
      <c r="CM19" s="260" t="n"/>
      <c r="CN19" s="260" t="n"/>
      <c r="CO19" s="260" t="n"/>
      <c r="CP19" s="260" t="n"/>
      <c r="CQ19" s="260" t="n"/>
      <c r="CR19" s="260" t="n"/>
      <c r="CS19" s="260" t="n"/>
      <c r="CT19" s="260" t="n"/>
      <c r="CU19" s="260" t="n"/>
      <c r="CV19" s="260" t="n"/>
      <c r="CW19" s="260" t="n"/>
      <c r="CX19" s="260" t="n"/>
      <c r="CY19" s="260" t="n"/>
      <c r="CZ19" s="260" t="n"/>
      <c r="DA19" s="260" t="n"/>
      <c r="DB19" s="260" t="n"/>
      <c r="DC19" s="260" t="n"/>
      <c r="DD19" s="260" t="n"/>
      <c r="DE19" s="260" t="n"/>
      <c r="DF19" s="260" t="n"/>
      <c r="DG19" s="260" t="n"/>
      <c r="DH19" s="260" t="n"/>
      <c r="DI19" s="260" t="n"/>
      <c r="DJ19" s="260" t="n"/>
      <c r="DK19" s="260" t="n"/>
      <c r="DL19" s="260" t="n"/>
      <c r="DM19" s="260" t="n"/>
      <c r="DN19" s="260" t="n"/>
      <c r="DO19" s="260" t="n"/>
      <c r="DP19" s="260" t="n"/>
      <c r="DQ19" s="260" t="n"/>
      <c r="DR19" s="260" t="n"/>
      <c r="DS19" s="260" t="n"/>
      <c r="DT19" s="260" t="n"/>
      <c r="DU19" s="260" t="n"/>
      <c r="DV19" s="260" t="n"/>
      <c r="DW19" s="260" t="n"/>
      <c r="DX19" s="260" t="n"/>
      <c r="DY19" s="260" t="n"/>
      <c r="DZ19" s="260" t="n"/>
      <c r="EA19" s="260" t="n"/>
      <c r="EB19" s="260" t="n"/>
      <c r="EC19" s="260" t="n"/>
      <c r="ED19" s="260" t="n"/>
      <c r="EE19" s="260" t="n"/>
      <c r="EF19" s="260" t="n"/>
      <c r="EG19" s="260" t="n"/>
      <c r="EH19" s="260" t="n"/>
      <c r="EI19" s="260" t="n"/>
      <c r="EJ19" s="260" t="n"/>
      <c r="EK19" s="260" t="n"/>
      <c r="EL19" s="260" t="n"/>
      <c r="EM19" s="260" t="n"/>
      <c r="EN19" s="260" t="n"/>
      <c r="EO19" s="260" t="n"/>
      <c r="EP19" s="260" t="n"/>
      <c r="EQ19" s="260" t="n"/>
      <c r="ER19" s="260" t="n"/>
      <c r="ES19" s="260" t="n"/>
      <c r="ET19" s="260" t="n"/>
      <c r="EU19" s="260" t="n"/>
      <c r="EV19" s="260" t="n"/>
      <c r="EW19" s="260" t="n"/>
      <c r="EX19" s="260" t="n"/>
      <c r="EY19" s="260" t="n"/>
      <c r="EZ19" s="260" t="n"/>
      <c r="FA19" s="260" t="n"/>
      <c r="FB19" s="260" t="n"/>
      <c r="FC19" s="260" t="n"/>
      <c r="FD19" s="260" t="n"/>
      <c r="FE19" s="260" t="n"/>
      <c r="FF19" s="260" t="n"/>
      <c r="FG19" s="260" t="n"/>
      <c r="FH19" s="260" t="n"/>
      <c r="FI19" s="260" t="n"/>
      <c r="FJ19" s="260" t="n"/>
      <c r="FK19" s="260" t="n"/>
      <c r="FL19" s="260" t="n"/>
      <c r="FM19" s="260" t="n"/>
      <c r="FN19" s="260" t="n"/>
      <c r="FO19" s="260" t="n"/>
      <c r="FP19" s="260" t="n"/>
      <c r="FQ19" s="260" t="n"/>
      <c r="FR19" s="260" t="n"/>
      <c r="FS19" s="260" t="n"/>
      <c r="FT19" s="260" t="n"/>
      <c r="FU19" s="260" t="n"/>
      <c r="FV19" s="260" t="n"/>
      <c r="FW19" s="260" t="n"/>
      <c r="FX19" s="260" t="n"/>
      <c r="FY19" s="260" t="n"/>
      <c r="FZ19" s="260" t="n"/>
      <c r="GA19" s="260" t="n"/>
      <c r="GB19" s="260" t="n"/>
      <c r="GC19" s="260" t="n"/>
      <c r="GD19" s="260" t="n"/>
      <c r="GE19" s="260" t="n"/>
      <c r="GF19" s="260" t="n"/>
      <c r="GG19" s="260" t="n"/>
      <c r="GH19" s="260" t="n"/>
      <c r="GI19" s="260" t="n"/>
      <c r="GJ19" s="260" t="n"/>
      <c r="GK19" s="260" t="n"/>
      <c r="GL19" s="260" t="n"/>
      <c r="GM19" s="260" t="n"/>
      <c r="GN19" s="260" t="n"/>
      <c r="GO19" s="260" t="n"/>
      <c r="GP19" s="260" t="n"/>
      <c r="GQ19" s="260" t="n"/>
      <c r="GR19" s="260" t="n"/>
      <c r="GS19" s="260" t="n"/>
      <c r="GT19" s="260" t="n"/>
      <c r="GU19" s="260" t="n"/>
      <c r="GV19" s="260" t="n"/>
      <c r="GW19" s="260" t="n"/>
      <c r="GX19" s="260" t="n"/>
      <c r="GY19" s="260" t="n"/>
      <c r="GZ19" s="260" t="n"/>
      <c r="HA19" s="260" t="n"/>
      <c r="HB19" s="260" t="n"/>
      <c r="HC19" s="260" t="n"/>
      <c r="HD19" s="260" t="n"/>
      <c r="HE19" s="260" t="n"/>
      <c r="HF19" s="260" t="n"/>
      <c r="HG19" s="260" t="n"/>
      <c r="HH19" s="260" t="n"/>
      <c r="HI19" s="260" t="n"/>
      <c r="HJ19" s="260" t="n"/>
      <c r="HK19" s="260" t="n"/>
      <c r="HL19" s="260" t="n"/>
      <c r="HM19" s="260" t="n"/>
      <c r="HN19" s="260" t="n"/>
      <c r="HO19" s="260" t="n"/>
      <c r="HP19" s="260" t="n"/>
      <c r="HQ19" s="260" t="n"/>
      <c r="HR19" s="260" t="n"/>
      <c r="HS19" s="260" t="n"/>
      <c r="HT19" s="260" t="n"/>
      <c r="HU19" s="260" t="n"/>
      <c r="HV19" s="260" t="n"/>
      <c r="HW19" s="260" t="n"/>
      <c r="HX19" s="260" t="n"/>
      <c r="HY19" s="260" t="n"/>
      <c r="HZ19" s="260" t="n"/>
      <c r="IA19" s="260" t="n"/>
      <c r="IB19" s="260" t="n"/>
      <c r="IC19" s="260" t="n"/>
      <c r="ID19" s="260" t="n"/>
      <c r="IE19" s="260" t="n"/>
    </row>
    <row r="20" ht="17.4" customFormat="1" customHeight="1" s="288">
      <c r="A20" s="289" t="n"/>
      <c r="B20" s="290" t="n"/>
      <c r="C20" s="290" t="inlineStr">
        <is>
          <t>B10</t>
        </is>
      </c>
      <c r="D20" s="1397" t="n"/>
      <c r="E20" s="1397" t="n"/>
      <c r="F20" s="1656">
        <f>SUM(G20:R20)</f>
        <v/>
      </c>
      <c r="G20" s="1635" t="n">
        <v>53.51</v>
      </c>
      <c r="H20" s="1635" t="n">
        <v>0</v>
      </c>
      <c r="I20" s="1635" t="n">
        <v>0</v>
      </c>
      <c r="J20" s="1635" t="n">
        <v>0</v>
      </c>
      <c r="K20" s="1635" t="n">
        <v>0</v>
      </c>
      <c r="L20" s="1635" t="n">
        <v>0</v>
      </c>
      <c r="M20" s="1635" t="n">
        <v>0</v>
      </c>
      <c r="N20" s="1635" t="n">
        <v>0</v>
      </c>
      <c r="O20" s="1635" t="n">
        <v>0</v>
      </c>
      <c r="P20" s="1635" t="n">
        <v>0</v>
      </c>
      <c r="Q20" s="1657" t="n">
        <v>0</v>
      </c>
      <c r="R20" s="1635" t="n">
        <v>0</v>
      </c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0" t="n"/>
      <c r="AJ20" s="260" t="n"/>
      <c r="AK20" s="260" t="n"/>
      <c r="AL20" s="260" t="n"/>
      <c r="AM20" s="260" t="n"/>
      <c r="AN20" s="260" t="n"/>
      <c r="AO20" s="260" t="n"/>
      <c r="AP20" s="260" t="n"/>
      <c r="AQ20" s="260" t="n"/>
      <c r="AR20" s="260" t="n"/>
      <c r="AS20" s="260" t="n"/>
      <c r="AT20" s="260" t="n"/>
      <c r="AU20" s="260" t="n"/>
      <c r="AV20" s="260" t="n"/>
      <c r="AW20" s="260" t="n"/>
      <c r="AX20" s="260" t="n"/>
      <c r="AY20" s="260" t="n"/>
      <c r="AZ20" s="260" t="n"/>
      <c r="BA20" s="260" t="n"/>
      <c r="BB20" s="260" t="n"/>
      <c r="BC20" s="260" t="n"/>
      <c r="BD20" s="260" t="n"/>
      <c r="BE20" s="260" t="n"/>
      <c r="BF20" s="260" t="n"/>
      <c r="BG20" s="260" t="n"/>
      <c r="BH20" s="260" t="n"/>
      <c r="BI20" s="260" t="n"/>
      <c r="BJ20" s="260" t="n"/>
      <c r="BK20" s="260" t="n"/>
      <c r="BL20" s="260" t="n"/>
      <c r="BM20" s="260" t="n"/>
      <c r="BN20" s="260" t="n"/>
      <c r="BO20" s="260" t="n"/>
      <c r="BP20" s="260" t="n"/>
      <c r="BQ20" s="260" t="n"/>
      <c r="BR20" s="260" t="n"/>
      <c r="BS20" s="260" t="n"/>
      <c r="BT20" s="260" t="n"/>
      <c r="BU20" s="260" t="n"/>
      <c r="BV20" s="260" t="n"/>
      <c r="BW20" s="260" t="n"/>
      <c r="BX20" s="260" t="n"/>
      <c r="BY20" s="260" t="n"/>
      <c r="BZ20" s="260" t="n"/>
      <c r="CA20" s="260" t="n"/>
      <c r="CB20" s="260" t="n"/>
      <c r="CC20" s="260" t="n"/>
      <c r="CD20" s="260" t="n"/>
      <c r="CE20" s="260" t="n"/>
      <c r="CF20" s="260" t="n"/>
      <c r="CG20" s="260" t="n"/>
      <c r="CH20" s="260" t="n"/>
      <c r="CI20" s="260" t="n"/>
      <c r="CJ20" s="260" t="n"/>
      <c r="CK20" s="260" t="n"/>
      <c r="CL20" s="260" t="n"/>
      <c r="CM20" s="260" t="n"/>
      <c r="CN20" s="260" t="n"/>
      <c r="CO20" s="260" t="n"/>
      <c r="CP20" s="260" t="n"/>
      <c r="CQ20" s="260" t="n"/>
      <c r="CR20" s="260" t="n"/>
      <c r="CS20" s="260" t="n"/>
      <c r="CT20" s="260" t="n"/>
      <c r="CU20" s="260" t="n"/>
      <c r="CV20" s="260" t="n"/>
      <c r="CW20" s="260" t="n"/>
      <c r="CX20" s="260" t="n"/>
      <c r="CY20" s="260" t="n"/>
      <c r="CZ20" s="260" t="n"/>
      <c r="DA20" s="260" t="n"/>
      <c r="DB20" s="260" t="n"/>
      <c r="DC20" s="260" t="n"/>
      <c r="DD20" s="260" t="n"/>
      <c r="DE20" s="260" t="n"/>
      <c r="DF20" s="260" t="n"/>
      <c r="DG20" s="260" t="n"/>
      <c r="DH20" s="260" t="n"/>
      <c r="DI20" s="260" t="n"/>
      <c r="DJ20" s="260" t="n"/>
      <c r="DK20" s="260" t="n"/>
      <c r="DL20" s="260" t="n"/>
      <c r="DM20" s="260" t="n"/>
      <c r="DN20" s="260" t="n"/>
      <c r="DO20" s="260" t="n"/>
      <c r="DP20" s="260" t="n"/>
      <c r="DQ20" s="260" t="n"/>
      <c r="DR20" s="260" t="n"/>
      <c r="DS20" s="260" t="n"/>
      <c r="DT20" s="260" t="n"/>
      <c r="DU20" s="260" t="n"/>
      <c r="DV20" s="260" t="n"/>
      <c r="DW20" s="260" t="n"/>
      <c r="DX20" s="260" t="n"/>
      <c r="DY20" s="260" t="n"/>
      <c r="DZ20" s="260" t="n"/>
      <c r="EA20" s="260" t="n"/>
      <c r="EB20" s="260" t="n"/>
      <c r="EC20" s="260" t="n"/>
      <c r="ED20" s="260" t="n"/>
      <c r="EE20" s="260" t="n"/>
      <c r="EF20" s="260" t="n"/>
      <c r="EG20" s="260" t="n"/>
      <c r="EH20" s="260" t="n"/>
      <c r="EI20" s="260" t="n"/>
      <c r="EJ20" s="260" t="n"/>
      <c r="EK20" s="260" t="n"/>
      <c r="EL20" s="260" t="n"/>
      <c r="EM20" s="260" t="n"/>
      <c r="EN20" s="260" t="n"/>
      <c r="EO20" s="260" t="n"/>
      <c r="EP20" s="260" t="n"/>
      <c r="EQ20" s="260" t="n"/>
      <c r="ER20" s="260" t="n"/>
      <c r="ES20" s="260" t="n"/>
      <c r="ET20" s="260" t="n"/>
      <c r="EU20" s="260" t="n"/>
      <c r="EV20" s="260" t="n"/>
      <c r="EW20" s="260" t="n"/>
      <c r="EX20" s="260" t="n"/>
      <c r="EY20" s="260" t="n"/>
      <c r="EZ20" s="260" t="n"/>
      <c r="FA20" s="260" t="n"/>
      <c r="FB20" s="260" t="n"/>
      <c r="FC20" s="260" t="n"/>
      <c r="FD20" s="260" t="n"/>
      <c r="FE20" s="260" t="n"/>
      <c r="FF20" s="260" t="n"/>
      <c r="FG20" s="260" t="n"/>
      <c r="FH20" s="260" t="n"/>
      <c r="FI20" s="260" t="n"/>
      <c r="FJ20" s="260" t="n"/>
      <c r="FK20" s="260" t="n"/>
      <c r="FL20" s="260" t="n"/>
      <c r="FM20" s="260" t="n"/>
      <c r="FN20" s="260" t="n"/>
      <c r="FO20" s="260" t="n"/>
      <c r="FP20" s="260" t="n"/>
      <c r="FQ20" s="260" t="n"/>
      <c r="FR20" s="260" t="n"/>
      <c r="FS20" s="260" t="n"/>
      <c r="FT20" s="260" t="n"/>
      <c r="FU20" s="260" t="n"/>
      <c r="FV20" s="260" t="n"/>
      <c r="FW20" s="260" t="n"/>
      <c r="FX20" s="260" t="n"/>
      <c r="FY20" s="260" t="n"/>
      <c r="FZ20" s="260" t="n"/>
      <c r="GA20" s="260" t="n"/>
      <c r="GB20" s="260" t="n"/>
      <c r="GC20" s="260" t="n"/>
      <c r="GD20" s="260" t="n"/>
      <c r="GE20" s="260" t="n"/>
      <c r="GF20" s="260" t="n"/>
      <c r="GG20" s="260" t="n"/>
      <c r="GH20" s="260" t="n"/>
      <c r="GI20" s="260" t="n"/>
      <c r="GJ20" s="260" t="n"/>
      <c r="GK20" s="260" t="n"/>
      <c r="GL20" s="260" t="n"/>
      <c r="GM20" s="260" t="n"/>
      <c r="GN20" s="260" t="n"/>
      <c r="GO20" s="260" t="n"/>
      <c r="GP20" s="260" t="n"/>
      <c r="GQ20" s="260" t="n"/>
      <c r="GR20" s="260" t="n"/>
      <c r="GS20" s="260" t="n"/>
      <c r="GT20" s="260" t="n"/>
      <c r="GU20" s="260" t="n"/>
      <c r="GV20" s="260" t="n"/>
      <c r="GW20" s="260" t="n"/>
      <c r="GX20" s="260" t="n"/>
      <c r="GY20" s="260" t="n"/>
      <c r="GZ20" s="260" t="n"/>
      <c r="HA20" s="260" t="n"/>
      <c r="HB20" s="260" t="n"/>
      <c r="HC20" s="260" t="n"/>
      <c r="HD20" s="260" t="n"/>
      <c r="HE20" s="260" t="n"/>
      <c r="HF20" s="260" t="n"/>
      <c r="HG20" s="260" t="n"/>
      <c r="HH20" s="260" t="n"/>
      <c r="HI20" s="260" t="n"/>
      <c r="HJ20" s="260" t="n"/>
      <c r="HK20" s="260" t="n"/>
      <c r="HL20" s="260" t="n"/>
      <c r="HM20" s="260" t="n"/>
      <c r="HN20" s="260" t="n"/>
      <c r="HO20" s="260" t="n"/>
      <c r="HP20" s="260" t="n"/>
      <c r="HQ20" s="260" t="n"/>
      <c r="HR20" s="260" t="n"/>
      <c r="HS20" s="260" t="n"/>
      <c r="HT20" s="260" t="n"/>
      <c r="HU20" s="260" t="n"/>
      <c r="HV20" s="260" t="n"/>
      <c r="HW20" s="260" t="n"/>
      <c r="HX20" s="260" t="n"/>
      <c r="HY20" s="260" t="n"/>
      <c r="HZ20" s="260" t="n"/>
      <c r="IA20" s="260" t="n"/>
      <c r="IB20" s="260" t="n"/>
      <c r="IC20" s="260" t="n"/>
      <c r="ID20" s="260" t="n"/>
      <c r="IE20" s="260" t="n"/>
    </row>
    <row r="21" ht="17.4" customFormat="1" customHeight="1" s="288">
      <c r="A21" s="289" t="inlineStr">
        <is>
          <t xml:space="preserve">4. ผล 4837 ชบ.       </t>
        </is>
      </c>
      <c r="B21" s="290" t="inlineStr">
        <is>
          <t>LCB</t>
        </is>
      </c>
      <c r="C21" s="290" t="inlineStr">
        <is>
          <t>B7</t>
        </is>
      </c>
      <c r="D21" s="1397" t="inlineStr">
        <is>
          <t>ใบแจ้งหนี้ / Fleet Card Report</t>
        </is>
      </c>
      <c r="E21" s="1397" t="inlineStr">
        <is>
          <t xml:space="preserve"> L</t>
        </is>
      </c>
      <c r="F21" s="1656">
        <f>SUM(G21:R21)</f>
        <v/>
      </c>
      <c r="G21" s="1635" t="n">
        <v>209.65</v>
      </c>
      <c r="H21" s="1635" t="n">
        <v>147.35</v>
      </c>
      <c r="I21" s="1635" t="n">
        <v>113.63</v>
      </c>
      <c r="J21" s="1635" t="n">
        <v>116.43</v>
      </c>
      <c r="K21" s="1635" t="n">
        <v>162.62</v>
      </c>
      <c r="L21" s="1635" t="n">
        <v>179.29</v>
      </c>
      <c r="M21" s="1635" t="n">
        <v>98.03</v>
      </c>
      <c r="N21" s="1635" t="n">
        <v>62.28</v>
      </c>
      <c r="O21" s="1635" t="n">
        <v>152.82</v>
      </c>
      <c r="P21" s="1635" t="n">
        <v>119.89</v>
      </c>
      <c r="Q21" s="1657" t="n">
        <v>154.68</v>
      </c>
      <c r="R21" s="1635" t="n">
        <v>119.23</v>
      </c>
      <c r="S21" s="260" t="n"/>
      <c r="T21" s="260" t="n"/>
      <c r="U21" s="260" t="n"/>
      <c r="V21" s="260" t="n"/>
      <c r="W21" s="260" t="n"/>
      <c r="X21" s="260" t="n"/>
      <c r="Y21" s="260" t="n"/>
      <c r="Z21" s="260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0" t="n"/>
      <c r="AJ21" s="260" t="n"/>
      <c r="AK21" s="260" t="n"/>
      <c r="AL21" s="260" t="n"/>
      <c r="AM21" s="260" t="n"/>
      <c r="AN21" s="260" t="n"/>
      <c r="AO21" s="260" t="n"/>
      <c r="AP21" s="260" t="n"/>
      <c r="AQ21" s="260" t="n"/>
      <c r="AR21" s="260" t="n"/>
      <c r="AS21" s="260" t="n"/>
      <c r="AT21" s="260" t="n"/>
      <c r="AU21" s="260" t="n"/>
      <c r="AV21" s="260" t="n"/>
      <c r="AW21" s="260" t="n"/>
      <c r="AX21" s="260" t="n"/>
      <c r="AY21" s="260" t="n"/>
      <c r="AZ21" s="260" t="n"/>
      <c r="BA21" s="260" t="n"/>
      <c r="BB21" s="260" t="n"/>
      <c r="BC21" s="260" t="n"/>
      <c r="BD21" s="260" t="n"/>
      <c r="BE21" s="260" t="n"/>
      <c r="BF21" s="260" t="n"/>
      <c r="BG21" s="260" t="n"/>
      <c r="BH21" s="260" t="n"/>
      <c r="BI21" s="260" t="n"/>
      <c r="BJ21" s="260" t="n"/>
      <c r="BK21" s="260" t="n"/>
      <c r="BL21" s="260" t="n"/>
      <c r="BM21" s="260" t="n"/>
      <c r="BN21" s="260" t="n"/>
      <c r="BO21" s="260" t="n"/>
      <c r="BP21" s="260" t="n"/>
      <c r="BQ21" s="260" t="n"/>
      <c r="BR21" s="260" t="n"/>
      <c r="BS21" s="260" t="n"/>
      <c r="BT21" s="260" t="n"/>
      <c r="BU21" s="260" t="n"/>
      <c r="BV21" s="260" t="n"/>
      <c r="BW21" s="260" t="n"/>
      <c r="BX21" s="260" t="n"/>
      <c r="BY21" s="260" t="n"/>
      <c r="BZ21" s="260" t="n"/>
      <c r="CA21" s="260" t="n"/>
      <c r="CB21" s="260" t="n"/>
      <c r="CC21" s="260" t="n"/>
      <c r="CD21" s="260" t="n"/>
      <c r="CE21" s="260" t="n"/>
      <c r="CF21" s="260" t="n"/>
      <c r="CG21" s="260" t="n"/>
      <c r="CH21" s="260" t="n"/>
      <c r="CI21" s="260" t="n"/>
      <c r="CJ21" s="260" t="n"/>
      <c r="CK21" s="260" t="n"/>
      <c r="CL21" s="260" t="n"/>
      <c r="CM21" s="260" t="n"/>
      <c r="CN21" s="260" t="n"/>
      <c r="CO21" s="260" t="n"/>
      <c r="CP21" s="260" t="n"/>
      <c r="CQ21" s="260" t="n"/>
      <c r="CR21" s="260" t="n"/>
      <c r="CS21" s="260" t="n"/>
      <c r="CT21" s="260" t="n"/>
      <c r="CU21" s="260" t="n"/>
      <c r="CV21" s="260" t="n"/>
      <c r="CW21" s="260" t="n"/>
      <c r="CX21" s="260" t="n"/>
      <c r="CY21" s="260" t="n"/>
      <c r="CZ21" s="260" t="n"/>
      <c r="DA21" s="260" t="n"/>
      <c r="DB21" s="260" t="n"/>
      <c r="DC21" s="260" t="n"/>
      <c r="DD21" s="260" t="n"/>
      <c r="DE21" s="260" t="n"/>
      <c r="DF21" s="260" t="n"/>
      <c r="DG21" s="260" t="n"/>
      <c r="DH21" s="260" t="n"/>
      <c r="DI21" s="260" t="n"/>
      <c r="DJ21" s="260" t="n"/>
      <c r="DK21" s="260" t="n"/>
      <c r="DL21" s="260" t="n"/>
      <c r="DM21" s="260" t="n"/>
      <c r="DN21" s="260" t="n"/>
      <c r="DO21" s="260" t="n"/>
      <c r="DP21" s="260" t="n"/>
      <c r="DQ21" s="260" t="n"/>
      <c r="DR21" s="260" t="n"/>
      <c r="DS21" s="260" t="n"/>
      <c r="DT21" s="260" t="n"/>
      <c r="DU21" s="260" t="n"/>
      <c r="DV21" s="260" t="n"/>
      <c r="DW21" s="260" t="n"/>
      <c r="DX21" s="260" t="n"/>
      <c r="DY21" s="260" t="n"/>
      <c r="DZ21" s="260" t="n"/>
      <c r="EA21" s="260" t="n"/>
      <c r="EB21" s="260" t="n"/>
      <c r="EC21" s="260" t="n"/>
      <c r="ED21" s="260" t="n"/>
      <c r="EE21" s="260" t="n"/>
      <c r="EF21" s="260" t="n"/>
      <c r="EG21" s="260" t="n"/>
      <c r="EH21" s="260" t="n"/>
      <c r="EI21" s="260" t="n"/>
      <c r="EJ21" s="260" t="n"/>
      <c r="EK21" s="260" t="n"/>
      <c r="EL21" s="260" t="n"/>
      <c r="EM21" s="260" t="n"/>
      <c r="EN21" s="260" t="n"/>
      <c r="EO21" s="260" t="n"/>
      <c r="EP21" s="260" t="n"/>
      <c r="EQ21" s="260" t="n"/>
      <c r="ER21" s="260" t="n"/>
      <c r="ES21" s="260" t="n"/>
      <c r="ET21" s="260" t="n"/>
      <c r="EU21" s="260" t="n"/>
      <c r="EV21" s="260" t="n"/>
      <c r="EW21" s="260" t="n"/>
      <c r="EX21" s="260" t="n"/>
      <c r="EY21" s="260" t="n"/>
      <c r="EZ21" s="260" t="n"/>
      <c r="FA21" s="260" t="n"/>
      <c r="FB21" s="260" t="n"/>
      <c r="FC21" s="260" t="n"/>
      <c r="FD21" s="260" t="n"/>
      <c r="FE21" s="260" t="n"/>
      <c r="FF21" s="260" t="n"/>
      <c r="FG21" s="260" t="n"/>
      <c r="FH21" s="260" t="n"/>
      <c r="FI21" s="260" t="n"/>
      <c r="FJ21" s="260" t="n"/>
      <c r="FK21" s="260" t="n"/>
      <c r="FL21" s="260" t="n"/>
      <c r="FM21" s="260" t="n"/>
      <c r="FN21" s="260" t="n"/>
      <c r="FO21" s="260" t="n"/>
      <c r="FP21" s="260" t="n"/>
      <c r="FQ21" s="260" t="n"/>
      <c r="FR21" s="260" t="n"/>
      <c r="FS21" s="260" t="n"/>
      <c r="FT21" s="260" t="n"/>
      <c r="FU21" s="260" t="n"/>
      <c r="FV21" s="260" t="n"/>
      <c r="FW21" s="260" t="n"/>
      <c r="FX21" s="260" t="n"/>
      <c r="FY21" s="260" t="n"/>
      <c r="FZ21" s="260" t="n"/>
      <c r="GA21" s="260" t="n"/>
      <c r="GB21" s="260" t="n"/>
      <c r="GC21" s="260" t="n"/>
      <c r="GD21" s="260" t="n"/>
      <c r="GE21" s="260" t="n"/>
      <c r="GF21" s="260" t="n"/>
      <c r="GG21" s="260" t="n"/>
      <c r="GH21" s="260" t="n"/>
      <c r="GI21" s="260" t="n"/>
      <c r="GJ21" s="260" t="n"/>
      <c r="GK21" s="260" t="n"/>
      <c r="GL21" s="260" t="n"/>
      <c r="GM21" s="260" t="n"/>
      <c r="GN21" s="260" t="n"/>
      <c r="GO21" s="260" t="n"/>
      <c r="GP21" s="260" t="n"/>
      <c r="GQ21" s="260" t="n"/>
      <c r="GR21" s="260" t="n"/>
      <c r="GS21" s="260" t="n"/>
      <c r="GT21" s="260" t="n"/>
      <c r="GU21" s="260" t="n"/>
      <c r="GV21" s="260" t="n"/>
      <c r="GW21" s="260" t="n"/>
      <c r="GX21" s="260" t="n"/>
      <c r="GY21" s="260" t="n"/>
      <c r="GZ21" s="260" t="n"/>
      <c r="HA21" s="260" t="n"/>
      <c r="HB21" s="260" t="n"/>
      <c r="HC21" s="260" t="n"/>
      <c r="HD21" s="260" t="n"/>
      <c r="HE21" s="260" t="n"/>
      <c r="HF21" s="260" t="n"/>
      <c r="HG21" s="260" t="n"/>
      <c r="HH21" s="260" t="n"/>
      <c r="HI21" s="260" t="n"/>
      <c r="HJ21" s="260" t="n"/>
      <c r="HK21" s="260" t="n"/>
      <c r="HL21" s="260" t="n"/>
      <c r="HM21" s="260" t="n"/>
      <c r="HN21" s="260" t="n"/>
      <c r="HO21" s="260" t="n"/>
      <c r="HP21" s="260" t="n"/>
      <c r="HQ21" s="260" t="n"/>
      <c r="HR21" s="260" t="n"/>
      <c r="HS21" s="260" t="n"/>
      <c r="HT21" s="260" t="n"/>
      <c r="HU21" s="260" t="n"/>
      <c r="HV21" s="260" t="n"/>
      <c r="HW21" s="260" t="n"/>
      <c r="HX21" s="260" t="n"/>
      <c r="HY21" s="260" t="n"/>
      <c r="HZ21" s="260" t="n"/>
      <c r="IA21" s="260" t="n"/>
      <c r="IB21" s="260" t="n"/>
      <c r="IC21" s="260" t="n"/>
      <c r="ID21" s="260" t="n"/>
      <c r="IE21" s="260" t="n"/>
    </row>
    <row r="22" ht="17.4" customFormat="1" customHeight="1" s="288">
      <c r="A22" s="289" t="n"/>
      <c r="B22" s="290" t="n"/>
      <c r="C22" s="290" t="inlineStr">
        <is>
          <t>B10</t>
        </is>
      </c>
      <c r="D22" s="1397" t="n"/>
      <c r="E22" s="1397" t="n"/>
      <c r="F22" s="1656">
        <f>SUM(G22:R22)</f>
        <v/>
      </c>
      <c r="G22" s="1635" t="n">
        <v>0</v>
      </c>
      <c r="H22" s="1635" t="n">
        <v>0</v>
      </c>
      <c r="I22" s="1635" t="n">
        <v>0</v>
      </c>
      <c r="J22" s="1635" t="n">
        <v>0</v>
      </c>
      <c r="K22" s="1635" t="n">
        <v>0</v>
      </c>
      <c r="L22" s="1635" t="n">
        <v>0</v>
      </c>
      <c r="M22" s="1635" t="n">
        <v>0</v>
      </c>
      <c r="N22" s="1635" t="n">
        <v>0</v>
      </c>
      <c r="O22" s="1635" t="n">
        <v>0</v>
      </c>
      <c r="P22" s="1635" t="n">
        <v>0</v>
      </c>
      <c r="Q22" s="1657" t="n">
        <v>0</v>
      </c>
      <c r="R22" s="1635" t="n">
        <v>0</v>
      </c>
      <c r="S22" s="260" t="n"/>
      <c r="T22" s="260" t="n"/>
      <c r="U22" s="260" t="n"/>
      <c r="V22" s="260" t="n"/>
      <c r="W22" s="260" t="n"/>
      <c r="X22" s="260" t="n"/>
      <c r="Y22" s="260" t="n"/>
      <c r="Z22" s="260" t="n"/>
      <c r="AA22" s="260" t="n"/>
      <c r="AB22" s="260" t="n"/>
      <c r="AC22" s="260" t="n"/>
      <c r="AD22" s="260" t="n"/>
      <c r="AE22" s="260" t="n"/>
      <c r="AF22" s="260" t="n"/>
      <c r="AG22" s="260" t="n"/>
      <c r="AH22" s="260" t="n"/>
      <c r="AI22" s="260" t="n"/>
      <c r="AJ22" s="260" t="n"/>
      <c r="AK22" s="260" t="n"/>
      <c r="AL22" s="260" t="n"/>
      <c r="AM22" s="260" t="n"/>
      <c r="AN22" s="260" t="n"/>
      <c r="AO22" s="260" t="n"/>
      <c r="AP22" s="260" t="n"/>
      <c r="AQ22" s="260" t="n"/>
      <c r="AR22" s="260" t="n"/>
      <c r="AS22" s="260" t="n"/>
      <c r="AT22" s="260" t="n"/>
      <c r="AU22" s="260" t="n"/>
      <c r="AV22" s="260" t="n"/>
      <c r="AW22" s="260" t="n"/>
      <c r="AX22" s="260" t="n"/>
      <c r="AY22" s="260" t="n"/>
      <c r="AZ22" s="260" t="n"/>
      <c r="BA22" s="260" t="n"/>
      <c r="BB22" s="260" t="n"/>
      <c r="BC22" s="260" t="n"/>
      <c r="BD22" s="260" t="n"/>
      <c r="BE22" s="260" t="n"/>
      <c r="BF22" s="260" t="n"/>
      <c r="BG22" s="260" t="n"/>
      <c r="BH22" s="260" t="n"/>
      <c r="BI22" s="260" t="n"/>
      <c r="BJ22" s="260" t="n"/>
      <c r="BK22" s="260" t="n"/>
      <c r="BL22" s="260" t="n"/>
      <c r="BM22" s="260" t="n"/>
      <c r="BN22" s="260" t="n"/>
      <c r="BO22" s="260" t="n"/>
      <c r="BP22" s="260" t="n"/>
      <c r="BQ22" s="260" t="n"/>
      <c r="BR22" s="260" t="n"/>
      <c r="BS22" s="260" t="n"/>
      <c r="BT22" s="260" t="n"/>
      <c r="BU22" s="260" t="n"/>
      <c r="BV22" s="260" t="n"/>
      <c r="BW22" s="260" t="n"/>
      <c r="BX22" s="260" t="n"/>
      <c r="BY22" s="260" t="n"/>
      <c r="BZ22" s="260" t="n"/>
      <c r="CA22" s="260" t="n"/>
      <c r="CB22" s="260" t="n"/>
      <c r="CC22" s="260" t="n"/>
      <c r="CD22" s="260" t="n"/>
      <c r="CE22" s="260" t="n"/>
      <c r="CF22" s="260" t="n"/>
      <c r="CG22" s="260" t="n"/>
      <c r="CH22" s="260" t="n"/>
      <c r="CI22" s="260" t="n"/>
      <c r="CJ22" s="260" t="n"/>
      <c r="CK22" s="260" t="n"/>
      <c r="CL22" s="260" t="n"/>
      <c r="CM22" s="260" t="n"/>
      <c r="CN22" s="260" t="n"/>
      <c r="CO22" s="260" t="n"/>
      <c r="CP22" s="260" t="n"/>
      <c r="CQ22" s="260" t="n"/>
      <c r="CR22" s="260" t="n"/>
      <c r="CS22" s="260" t="n"/>
      <c r="CT22" s="260" t="n"/>
      <c r="CU22" s="260" t="n"/>
      <c r="CV22" s="260" t="n"/>
      <c r="CW22" s="260" t="n"/>
      <c r="CX22" s="260" t="n"/>
      <c r="CY22" s="260" t="n"/>
      <c r="CZ22" s="260" t="n"/>
      <c r="DA22" s="260" t="n"/>
      <c r="DB22" s="260" t="n"/>
      <c r="DC22" s="260" t="n"/>
      <c r="DD22" s="260" t="n"/>
      <c r="DE22" s="260" t="n"/>
      <c r="DF22" s="260" t="n"/>
      <c r="DG22" s="260" t="n"/>
      <c r="DH22" s="260" t="n"/>
      <c r="DI22" s="260" t="n"/>
      <c r="DJ22" s="260" t="n"/>
      <c r="DK22" s="260" t="n"/>
      <c r="DL22" s="260" t="n"/>
      <c r="DM22" s="260" t="n"/>
      <c r="DN22" s="260" t="n"/>
      <c r="DO22" s="260" t="n"/>
      <c r="DP22" s="260" t="n"/>
      <c r="DQ22" s="260" t="n"/>
      <c r="DR22" s="260" t="n"/>
      <c r="DS22" s="260" t="n"/>
      <c r="DT22" s="260" t="n"/>
      <c r="DU22" s="260" t="n"/>
      <c r="DV22" s="260" t="n"/>
      <c r="DW22" s="260" t="n"/>
      <c r="DX22" s="260" t="n"/>
      <c r="DY22" s="260" t="n"/>
      <c r="DZ22" s="260" t="n"/>
      <c r="EA22" s="260" t="n"/>
      <c r="EB22" s="260" t="n"/>
      <c r="EC22" s="260" t="n"/>
      <c r="ED22" s="260" t="n"/>
      <c r="EE22" s="260" t="n"/>
      <c r="EF22" s="260" t="n"/>
      <c r="EG22" s="260" t="n"/>
      <c r="EH22" s="260" t="n"/>
      <c r="EI22" s="260" t="n"/>
      <c r="EJ22" s="260" t="n"/>
      <c r="EK22" s="260" t="n"/>
      <c r="EL22" s="260" t="n"/>
      <c r="EM22" s="260" t="n"/>
      <c r="EN22" s="260" t="n"/>
      <c r="EO22" s="260" t="n"/>
      <c r="EP22" s="260" t="n"/>
      <c r="EQ22" s="260" t="n"/>
      <c r="ER22" s="260" t="n"/>
      <c r="ES22" s="260" t="n"/>
      <c r="ET22" s="260" t="n"/>
      <c r="EU22" s="260" t="n"/>
      <c r="EV22" s="260" t="n"/>
      <c r="EW22" s="260" t="n"/>
      <c r="EX22" s="260" t="n"/>
      <c r="EY22" s="260" t="n"/>
      <c r="EZ22" s="260" t="n"/>
      <c r="FA22" s="260" t="n"/>
      <c r="FB22" s="260" t="n"/>
      <c r="FC22" s="260" t="n"/>
      <c r="FD22" s="260" t="n"/>
      <c r="FE22" s="260" t="n"/>
      <c r="FF22" s="260" t="n"/>
      <c r="FG22" s="260" t="n"/>
      <c r="FH22" s="260" t="n"/>
      <c r="FI22" s="260" t="n"/>
      <c r="FJ22" s="260" t="n"/>
      <c r="FK22" s="260" t="n"/>
      <c r="FL22" s="260" t="n"/>
      <c r="FM22" s="260" t="n"/>
      <c r="FN22" s="260" t="n"/>
      <c r="FO22" s="260" t="n"/>
      <c r="FP22" s="260" t="n"/>
      <c r="FQ22" s="260" t="n"/>
      <c r="FR22" s="260" t="n"/>
      <c r="FS22" s="260" t="n"/>
      <c r="FT22" s="260" t="n"/>
      <c r="FU22" s="260" t="n"/>
      <c r="FV22" s="260" t="n"/>
      <c r="FW22" s="260" t="n"/>
      <c r="FX22" s="260" t="n"/>
      <c r="FY22" s="260" t="n"/>
      <c r="FZ22" s="260" t="n"/>
      <c r="GA22" s="260" t="n"/>
      <c r="GB22" s="260" t="n"/>
      <c r="GC22" s="260" t="n"/>
      <c r="GD22" s="260" t="n"/>
      <c r="GE22" s="260" t="n"/>
      <c r="GF22" s="260" t="n"/>
      <c r="GG22" s="260" t="n"/>
      <c r="GH22" s="260" t="n"/>
      <c r="GI22" s="260" t="n"/>
      <c r="GJ22" s="260" t="n"/>
      <c r="GK22" s="260" t="n"/>
      <c r="GL22" s="260" t="n"/>
      <c r="GM22" s="260" t="n"/>
      <c r="GN22" s="260" t="n"/>
      <c r="GO22" s="260" t="n"/>
      <c r="GP22" s="260" t="n"/>
      <c r="GQ22" s="260" t="n"/>
      <c r="GR22" s="260" t="n"/>
      <c r="GS22" s="260" t="n"/>
      <c r="GT22" s="260" t="n"/>
      <c r="GU22" s="260" t="n"/>
      <c r="GV22" s="260" t="n"/>
      <c r="GW22" s="260" t="n"/>
      <c r="GX22" s="260" t="n"/>
      <c r="GY22" s="260" t="n"/>
      <c r="GZ22" s="260" t="n"/>
      <c r="HA22" s="260" t="n"/>
      <c r="HB22" s="260" t="n"/>
      <c r="HC22" s="260" t="n"/>
      <c r="HD22" s="260" t="n"/>
      <c r="HE22" s="260" t="n"/>
      <c r="HF22" s="260" t="n"/>
      <c r="HG22" s="260" t="n"/>
      <c r="HH22" s="260" t="n"/>
      <c r="HI22" s="260" t="n"/>
      <c r="HJ22" s="260" t="n"/>
      <c r="HK22" s="260" t="n"/>
      <c r="HL22" s="260" t="n"/>
      <c r="HM22" s="260" t="n"/>
      <c r="HN22" s="260" t="n"/>
      <c r="HO22" s="260" t="n"/>
      <c r="HP22" s="260" t="n"/>
      <c r="HQ22" s="260" t="n"/>
      <c r="HR22" s="260" t="n"/>
      <c r="HS22" s="260" t="n"/>
      <c r="HT22" s="260" t="n"/>
      <c r="HU22" s="260" t="n"/>
      <c r="HV22" s="260" t="n"/>
      <c r="HW22" s="260" t="n"/>
      <c r="HX22" s="260" t="n"/>
      <c r="HY22" s="260" t="n"/>
      <c r="HZ22" s="260" t="n"/>
      <c r="IA22" s="260" t="n"/>
      <c r="IB22" s="260" t="n"/>
      <c r="IC22" s="260" t="n"/>
      <c r="ID22" s="260" t="n"/>
      <c r="IE22" s="260" t="n"/>
    </row>
    <row r="23" ht="17.4" customFormat="1" customHeight="1" s="288">
      <c r="A23" s="289" t="inlineStr">
        <is>
          <t xml:space="preserve">5. ฒอ 2780 กทม.   </t>
        </is>
      </c>
      <c r="B23" s="290" t="inlineStr">
        <is>
          <t>LCB</t>
        </is>
      </c>
      <c r="C23" s="290" t="inlineStr">
        <is>
          <t>B7</t>
        </is>
      </c>
      <c r="D23" s="1397" t="inlineStr">
        <is>
          <t>ใบแจ้งหนี้ / Fleet Card Report</t>
        </is>
      </c>
      <c r="E23" s="1397" t="inlineStr">
        <is>
          <t xml:space="preserve"> L</t>
        </is>
      </c>
      <c r="F23" s="1656">
        <f>SUM(G23:R23)</f>
        <v/>
      </c>
      <c r="G23" s="1635" t="n">
        <v>74.87</v>
      </c>
      <c r="H23" s="1635" t="n">
        <v>105.05</v>
      </c>
      <c r="I23" s="1635" t="n">
        <v>0</v>
      </c>
      <c r="J23" s="1635" t="n">
        <v>0</v>
      </c>
      <c r="K23" s="1635" t="n">
        <v>56.38</v>
      </c>
      <c r="L23" s="1635" t="n">
        <v>0</v>
      </c>
      <c r="M23" s="1635" t="n">
        <v>117.09</v>
      </c>
      <c r="N23" s="1635" t="n">
        <v>0</v>
      </c>
      <c r="O23" s="1635" t="n">
        <v>70.06999999999999</v>
      </c>
      <c r="P23" s="1635" t="n">
        <v>60.11</v>
      </c>
      <c r="Q23" s="1657" t="n">
        <v>0</v>
      </c>
      <c r="R23" s="1635" t="n">
        <v>0</v>
      </c>
      <c r="S23" s="260" t="n"/>
      <c r="T23" s="260" t="n"/>
      <c r="U23" s="260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0" t="n"/>
      <c r="AK23" s="260" t="n"/>
      <c r="AL23" s="260" t="n"/>
      <c r="AM23" s="260" t="n"/>
      <c r="AN23" s="260" t="n"/>
      <c r="AO23" s="260" t="n"/>
      <c r="AP23" s="260" t="n"/>
      <c r="AQ23" s="260" t="n"/>
      <c r="AR23" s="260" t="n"/>
      <c r="AS23" s="260" t="n"/>
      <c r="AT23" s="260" t="n"/>
      <c r="AU23" s="260" t="n"/>
      <c r="AV23" s="260" t="n"/>
      <c r="AW23" s="260" t="n"/>
      <c r="AX23" s="260" t="n"/>
      <c r="AY23" s="260" t="n"/>
      <c r="AZ23" s="260" t="n"/>
      <c r="BA23" s="260" t="n"/>
      <c r="BB23" s="260" t="n"/>
      <c r="BC23" s="260" t="n"/>
      <c r="BD23" s="260" t="n"/>
      <c r="BE23" s="260" t="n"/>
      <c r="BF23" s="260" t="n"/>
      <c r="BG23" s="260" t="n"/>
      <c r="BH23" s="260" t="n"/>
      <c r="BI23" s="260" t="n"/>
      <c r="BJ23" s="260" t="n"/>
      <c r="BK23" s="260" t="n"/>
      <c r="BL23" s="260" t="n"/>
      <c r="BM23" s="260" t="n"/>
      <c r="BN23" s="260" t="n"/>
      <c r="BO23" s="260" t="n"/>
      <c r="BP23" s="260" t="n"/>
      <c r="BQ23" s="260" t="n"/>
      <c r="BR23" s="260" t="n"/>
      <c r="BS23" s="260" t="n"/>
      <c r="BT23" s="260" t="n"/>
      <c r="BU23" s="260" t="n"/>
      <c r="BV23" s="260" t="n"/>
      <c r="BW23" s="260" t="n"/>
      <c r="BX23" s="260" t="n"/>
      <c r="BY23" s="260" t="n"/>
      <c r="BZ23" s="260" t="n"/>
      <c r="CA23" s="260" t="n"/>
      <c r="CB23" s="260" t="n"/>
      <c r="CC23" s="260" t="n"/>
      <c r="CD23" s="260" t="n"/>
      <c r="CE23" s="260" t="n"/>
      <c r="CF23" s="260" t="n"/>
      <c r="CG23" s="260" t="n"/>
      <c r="CH23" s="260" t="n"/>
      <c r="CI23" s="260" t="n"/>
      <c r="CJ23" s="260" t="n"/>
      <c r="CK23" s="260" t="n"/>
      <c r="CL23" s="260" t="n"/>
      <c r="CM23" s="260" t="n"/>
      <c r="CN23" s="260" t="n"/>
      <c r="CO23" s="260" t="n"/>
      <c r="CP23" s="260" t="n"/>
      <c r="CQ23" s="260" t="n"/>
      <c r="CR23" s="260" t="n"/>
      <c r="CS23" s="260" t="n"/>
      <c r="CT23" s="260" t="n"/>
      <c r="CU23" s="260" t="n"/>
      <c r="CV23" s="260" t="n"/>
      <c r="CW23" s="260" t="n"/>
      <c r="CX23" s="260" t="n"/>
      <c r="CY23" s="260" t="n"/>
      <c r="CZ23" s="260" t="n"/>
      <c r="DA23" s="260" t="n"/>
      <c r="DB23" s="260" t="n"/>
      <c r="DC23" s="260" t="n"/>
      <c r="DD23" s="260" t="n"/>
      <c r="DE23" s="260" t="n"/>
      <c r="DF23" s="260" t="n"/>
      <c r="DG23" s="260" t="n"/>
      <c r="DH23" s="260" t="n"/>
      <c r="DI23" s="260" t="n"/>
      <c r="DJ23" s="260" t="n"/>
      <c r="DK23" s="260" t="n"/>
      <c r="DL23" s="260" t="n"/>
      <c r="DM23" s="260" t="n"/>
      <c r="DN23" s="260" t="n"/>
      <c r="DO23" s="260" t="n"/>
      <c r="DP23" s="260" t="n"/>
      <c r="DQ23" s="260" t="n"/>
      <c r="DR23" s="260" t="n"/>
      <c r="DS23" s="260" t="n"/>
      <c r="DT23" s="260" t="n"/>
      <c r="DU23" s="260" t="n"/>
      <c r="DV23" s="260" t="n"/>
      <c r="DW23" s="260" t="n"/>
      <c r="DX23" s="260" t="n"/>
      <c r="DY23" s="260" t="n"/>
      <c r="DZ23" s="260" t="n"/>
      <c r="EA23" s="260" t="n"/>
      <c r="EB23" s="260" t="n"/>
      <c r="EC23" s="260" t="n"/>
      <c r="ED23" s="260" t="n"/>
      <c r="EE23" s="260" t="n"/>
      <c r="EF23" s="260" t="n"/>
      <c r="EG23" s="260" t="n"/>
      <c r="EH23" s="260" t="n"/>
      <c r="EI23" s="260" t="n"/>
      <c r="EJ23" s="260" t="n"/>
      <c r="EK23" s="260" t="n"/>
      <c r="EL23" s="260" t="n"/>
      <c r="EM23" s="260" t="n"/>
      <c r="EN23" s="260" t="n"/>
      <c r="EO23" s="260" t="n"/>
      <c r="EP23" s="260" t="n"/>
      <c r="EQ23" s="260" t="n"/>
      <c r="ER23" s="260" t="n"/>
      <c r="ES23" s="260" t="n"/>
      <c r="ET23" s="260" t="n"/>
      <c r="EU23" s="260" t="n"/>
      <c r="EV23" s="260" t="n"/>
      <c r="EW23" s="260" t="n"/>
      <c r="EX23" s="260" t="n"/>
      <c r="EY23" s="260" t="n"/>
      <c r="EZ23" s="260" t="n"/>
      <c r="FA23" s="260" t="n"/>
      <c r="FB23" s="260" t="n"/>
      <c r="FC23" s="260" t="n"/>
      <c r="FD23" s="260" t="n"/>
      <c r="FE23" s="260" t="n"/>
      <c r="FF23" s="260" t="n"/>
      <c r="FG23" s="260" t="n"/>
      <c r="FH23" s="260" t="n"/>
      <c r="FI23" s="260" t="n"/>
      <c r="FJ23" s="260" t="n"/>
      <c r="FK23" s="260" t="n"/>
      <c r="FL23" s="260" t="n"/>
      <c r="FM23" s="260" t="n"/>
      <c r="FN23" s="260" t="n"/>
      <c r="FO23" s="260" t="n"/>
      <c r="FP23" s="260" t="n"/>
      <c r="FQ23" s="260" t="n"/>
      <c r="FR23" s="260" t="n"/>
      <c r="FS23" s="260" t="n"/>
      <c r="FT23" s="260" t="n"/>
      <c r="FU23" s="260" t="n"/>
      <c r="FV23" s="260" t="n"/>
      <c r="FW23" s="260" t="n"/>
      <c r="FX23" s="260" t="n"/>
      <c r="FY23" s="260" t="n"/>
      <c r="FZ23" s="260" t="n"/>
      <c r="GA23" s="260" t="n"/>
      <c r="GB23" s="260" t="n"/>
      <c r="GC23" s="260" t="n"/>
      <c r="GD23" s="260" t="n"/>
      <c r="GE23" s="260" t="n"/>
      <c r="GF23" s="260" t="n"/>
      <c r="GG23" s="260" t="n"/>
      <c r="GH23" s="260" t="n"/>
      <c r="GI23" s="260" t="n"/>
      <c r="GJ23" s="260" t="n"/>
      <c r="GK23" s="260" t="n"/>
      <c r="GL23" s="260" t="n"/>
      <c r="GM23" s="260" t="n"/>
      <c r="GN23" s="260" t="n"/>
      <c r="GO23" s="260" t="n"/>
      <c r="GP23" s="260" t="n"/>
      <c r="GQ23" s="260" t="n"/>
      <c r="GR23" s="260" t="n"/>
      <c r="GS23" s="260" t="n"/>
      <c r="GT23" s="260" t="n"/>
      <c r="GU23" s="260" t="n"/>
      <c r="GV23" s="260" t="n"/>
      <c r="GW23" s="260" t="n"/>
      <c r="GX23" s="260" t="n"/>
      <c r="GY23" s="260" t="n"/>
      <c r="GZ23" s="260" t="n"/>
      <c r="HA23" s="260" t="n"/>
      <c r="HB23" s="260" t="n"/>
      <c r="HC23" s="260" t="n"/>
      <c r="HD23" s="260" t="n"/>
      <c r="HE23" s="260" t="n"/>
      <c r="HF23" s="260" t="n"/>
      <c r="HG23" s="260" t="n"/>
      <c r="HH23" s="260" t="n"/>
      <c r="HI23" s="260" t="n"/>
      <c r="HJ23" s="260" t="n"/>
      <c r="HK23" s="260" t="n"/>
      <c r="HL23" s="260" t="n"/>
      <c r="HM23" s="260" t="n"/>
      <c r="HN23" s="260" t="n"/>
      <c r="HO23" s="260" t="n"/>
      <c r="HP23" s="260" t="n"/>
      <c r="HQ23" s="260" t="n"/>
      <c r="HR23" s="260" t="n"/>
      <c r="HS23" s="260" t="n"/>
      <c r="HT23" s="260" t="n"/>
      <c r="HU23" s="260" t="n"/>
      <c r="HV23" s="260" t="n"/>
      <c r="HW23" s="260" t="n"/>
      <c r="HX23" s="260" t="n"/>
      <c r="HY23" s="260" t="n"/>
      <c r="HZ23" s="260" t="n"/>
      <c r="IA23" s="260" t="n"/>
      <c r="IB23" s="260" t="n"/>
      <c r="IC23" s="260" t="n"/>
      <c r="ID23" s="260" t="n"/>
      <c r="IE23" s="260" t="n"/>
    </row>
    <row r="24" ht="17.4" customFormat="1" customHeight="1" s="288">
      <c r="A24" s="289" t="n"/>
      <c r="B24" s="290" t="n"/>
      <c r="C24" s="290" t="inlineStr">
        <is>
          <t>B10</t>
        </is>
      </c>
      <c r="D24" s="1397" t="n"/>
      <c r="E24" s="1397" t="n"/>
      <c r="F24" s="1656">
        <f>SUM(G24:R24)</f>
        <v/>
      </c>
      <c r="G24" s="1635" t="n">
        <v>0</v>
      </c>
      <c r="H24" s="1635" t="n">
        <v>0</v>
      </c>
      <c r="I24" s="1635" t="n">
        <v>0</v>
      </c>
      <c r="J24" s="1635" t="n"/>
      <c r="K24" s="1635" t="n">
        <v>0</v>
      </c>
      <c r="L24" s="1635" t="n"/>
      <c r="M24" s="1635" t="n">
        <v>0</v>
      </c>
      <c r="N24" s="1635" t="n">
        <v>0</v>
      </c>
      <c r="O24" s="1635" t="n">
        <v>0</v>
      </c>
      <c r="P24" s="1635" t="n"/>
      <c r="Q24" s="1657" t="n"/>
      <c r="R24" s="1635" t="n"/>
      <c r="S24" s="260" t="n"/>
      <c r="T24" s="260" t="n"/>
      <c r="U24" s="260" t="n"/>
      <c r="V24" s="260" t="n"/>
      <c r="W24" s="260" t="n"/>
      <c r="X24" s="260" t="n"/>
      <c r="Y24" s="260" t="n"/>
      <c r="Z24" s="260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0" t="n"/>
      <c r="AJ24" s="260" t="n"/>
      <c r="AK24" s="260" t="n"/>
      <c r="AL24" s="260" t="n"/>
      <c r="AM24" s="260" t="n"/>
      <c r="AN24" s="260" t="n"/>
      <c r="AO24" s="260" t="n"/>
      <c r="AP24" s="260" t="n"/>
      <c r="AQ24" s="260" t="n"/>
      <c r="AR24" s="260" t="n"/>
      <c r="AS24" s="260" t="n"/>
      <c r="AT24" s="260" t="n"/>
      <c r="AU24" s="260" t="n"/>
      <c r="AV24" s="260" t="n"/>
      <c r="AW24" s="260" t="n"/>
      <c r="AX24" s="260" t="n"/>
      <c r="AY24" s="260" t="n"/>
      <c r="AZ24" s="260" t="n"/>
      <c r="BA24" s="260" t="n"/>
      <c r="BB24" s="260" t="n"/>
      <c r="BC24" s="260" t="n"/>
      <c r="BD24" s="260" t="n"/>
      <c r="BE24" s="260" t="n"/>
      <c r="BF24" s="260" t="n"/>
      <c r="BG24" s="260" t="n"/>
      <c r="BH24" s="260" t="n"/>
      <c r="BI24" s="260" t="n"/>
      <c r="BJ24" s="260" t="n"/>
      <c r="BK24" s="260" t="n"/>
      <c r="BL24" s="260" t="n"/>
      <c r="BM24" s="260" t="n"/>
      <c r="BN24" s="260" t="n"/>
      <c r="BO24" s="260" t="n"/>
      <c r="BP24" s="260" t="n"/>
      <c r="BQ24" s="260" t="n"/>
      <c r="BR24" s="260" t="n"/>
      <c r="BS24" s="260" t="n"/>
      <c r="BT24" s="260" t="n"/>
      <c r="BU24" s="260" t="n"/>
      <c r="BV24" s="260" t="n"/>
      <c r="BW24" s="260" t="n"/>
      <c r="BX24" s="260" t="n"/>
      <c r="BY24" s="260" t="n"/>
      <c r="BZ24" s="260" t="n"/>
      <c r="CA24" s="260" t="n"/>
      <c r="CB24" s="260" t="n"/>
      <c r="CC24" s="260" t="n"/>
      <c r="CD24" s="260" t="n"/>
      <c r="CE24" s="260" t="n"/>
      <c r="CF24" s="260" t="n"/>
      <c r="CG24" s="260" t="n"/>
      <c r="CH24" s="260" t="n"/>
      <c r="CI24" s="260" t="n"/>
      <c r="CJ24" s="260" t="n"/>
      <c r="CK24" s="260" t="n"/>
      <c r="CL24" s="260" t="n"/>
      <c r="CM24" s="260" t="n"/>
      <c r="CN24" s="260" t="n"/>
      <c r="CO24" s="260" t="n"/>
      <c r="CP24" s="260" t="n"/>
      <c r="CQ24" s="260" t="n"/>
      <c r="CR24" s="260" t="n"/>
      <c r="CS24" s="260" t="n"/>
      <c r="CT24" s="260" t="n"/>
      <c r="CU24" s="260" t="n"/>
      <c r="CV24" s="260" t="n"/>
      <c r="CW24" s="260" t="n"/>
      <c r="CX24" s="260" t="n"/>
      <c r="CY24" s="260" t="n"/>
      <c r="CZ24" s="260" t="n"/>
      <c r="DA24" s="260" t="n"/>
      <c r="DB24" s="260" t="n"/>
      <c r="DC24" s="260" t="n"/>
      <c r="DD24" s="260" t="n"/>
      <c r="DE24" s="260" t="n"/>
      <c r="DF24" s="260" t="n"/>
      <c r="DG24" s="260" t="n"/>
      <c r="DH24" s="260" t="n"/>
      <c r="DI24" s="260" t="n"/>
      <c r="DJ24" s="260" t="n"/>
      <c r="DK24" s="260" t="n"/>
      <c r="DL24" s="260" t="n"/>
      <c r="DM24" s="260" t="n"/>
      <c r="DN24" s="260" t="n"/>
      <c r="DO24" s="260" t="n"/>
      <c r="DP24" s="260" t="n"/>
      <c r="DQ24" s="260" t="n"/>
      <c r="DR24" s="260" t="n"/>
      <c r="DS24" s="260" t="n"/>
      <c r="DT24" s="260" t="n"/>
      <c r="DU24" s="260" t="n"/>
      <c r="DV24" s="260" t="n"/>
      <c r="DW24" s="260" t="n"/>
      <c r="DX24" s="260" t="n"/>
      <c r="DY24" s="260" t="n"/>
      <c r="DZ24" s="260" t="n"/>
      <c r="EA24" s="260" t="n"/>
      <c r="EB24" s="260" t="n"/>
      <c r="EC24" s="260" t="n"/>
      <c r="ED24" s="260" t="n"/>
      <c r="EE24" s="260" t="n"/>
      <c r="EF24" s="260" t="n"/>
      <c r="EG24" s="260" t="n"/>
      <c r="EH24" s="260" t="n"/>
      <c r="EI24" s="260" t="n"/>
      <c r="EJ24" s="260" t="n"/>
      <c r="EK24" s="260" t="n"/>
      <c r="EL24" s="260" t="n"/>
      <c r="EM24" s="260" t="n"/>
      <c r="EN24" s="260" t="n"/>
      <c r="EO24" s="260" t="n"/>
      <c r="EP24" s="260" t="n"/>
      <c r="EQ24" s="260" t="n"/>
      <c r="ER24" s="260" t="n"/>
      <c r="ES24" s="260" t="n"/>
      <c r="ET24" s="260" t="n"/>
      <c r="EU24" s="260" t="n"/>
      <c r="EV24" s="260" t="n"/>
      <c r="EW24" s="260" t="n"/>
      <c r="EX24" s="260" t="n"/>
      <c r="EY24" s="260" t="n"/>
      <c r="EZ24" s="260" t="n"/>
      <c r="FA24" s="260" t="n"/>
      <c r="FB24" s="260" t="n"/>
      <c r="FC24" s="260" t="n"/>
      <c r="FD24" s="260" t="n"/>
      <c r="FE24" s="260" t="n"/>
      <c r="FF24" s="260" t="n"/>
      <c r="FG24" s="260" t="n"/>
      <c r="FH24" s="260" t="n"/>
      <c r="FI24" s="260" t="n"/>
      <c r="FJ24" s="260" t="n"/>
      <c r="FK24" s="260" t="n"/>
      <c r="FL24" s="260" t="n"/>
      <c r="FM24" s="260" t="n"/>
      <c r="FN24" s="260" t="n"/>
      <c r="FO24" s="260" t="n"/>
      <c r="FP24" s="260" t="n"/>
      <c r="FQ24" s="260" t="n"/>
      <c r="FR24" s="260" t="n"/>
      <c r="FS24" s="260" t="n"/>
      <c r="FT24" s="260" t="n"/>
      <c r="FU24" s="260" t="n"/>
      <c r="FV24" s="260" t="n"/>
      <c r="FW24" s="260" t="n"/>
      <c r="FX24" s="260" t="n"/>
      <c r="FY24" s="260" t="n"/>
      <c r="FZ24" s="260" t="n"/>
      <c r="GA24" s="260" t="n"/>
      <c r="GB24" s="260" t="n"/>
      <c r="GC24" s="260" t="n"/>
      <c r="GD24" s="260" t="n"/>
      <c r="GE24" s="260" t="n"/>
      <c r="GF24" s="260" t="n"/>
      <c r="GG24" s="260" t="n"/>
      <c r="GH24" s="260" t="n"/>
      <c r="GI24" s="260" t="n"/>
      <c r="GJ24" s="260" t="n"/>
      <c r="GK24" s="260" t="n"/>
      <c r="GL24" s="260" t="n"/>
      <c r="GM24" s="260" t="n"/>
      <c r="GN24" s="260" t="n"/>
      <c r="GO24" s="260" t="n"/>
      <c r="GP24" s="260" t="n"/>
      <c r="GQ24" s="260" t="n"/>
      <c r="GR24" s="260" t="n"/>
      <c r="GS24" s="260" t="n"/>
      <c r="GT24" s="260" t="n"/>
      <c r="GU24" s="260" t="n"/>
      <c r="GV24" s="260" t="n"/>
      <c r="GW24" s="260" t="n"/>
      <c r="GX24" s="260" t="n"/>
      <c r="GY24" s="260" t="n"/>
      <c r="GZ24" s="260" t="n"/>
      <c r="HA24" s="260" t="n"/>
      <c r="HB24" s="260" t="n"/>
      <c r="HC24" s="260" t="n"/>
      <c r="HD24" s="260" t="n"/>
      <c r="HE24" s="260" t="n"/>
      <c r="HF24" s="260" t="n"/>
      <c r="HG24" s="260" t="n"/>
      <c r="HH24" s="260" t="n"/>
      <c r="HI24" s="260" t="n"/>
      <c r="HJ24" s="260" t="n"/>
      <c r="HK24" s="260" t="n"/>
      <c r="HL24" s="260" t="n"/>
      <c r="HM24" s="260" t="n"/>
      <c r="HN24" s="260" t="n"/>
      <c r="HO24" s="260" t="n"/>
      <c r="HP24" s="260" t="n"/>
      <c r="HQ24" s="260" t="n"/>
      <c r="HR24" s="260" t="n"/>
      <c r="HS24" s="260" t="n"/>
      <c r="HT24" s="260" t="n"/>
      <c r="HU24" s="260" t="n"/>
      <c r="HV24" s="260" t="n"/>
      <c r="HW24" s="260" t="n"/>
      <c r="HX24" s="260" t="n"/>
      <c r="HY24" s="260" t="n"/>
      <c r="HZ24" s="260" t="n"/>
      <c r="IA24" s="260" t="n"/>
      <c r="IB24" s="260" t="n"/>
      <c r="IC24" s="260" t="n"/>
      <c r="ID24" s="260" t="n"/>
      <c r="IE24" s="260" t="n"/>
    </row>
    <row r="25" ht="17.4" customFormat="1" customHeight="1" s="288">
      <c r="A25" s="289" t="inlineStr">
        <is>
          <t xml:space="preserve">6. 6กข-9968 กทม      </t>
        </is>
      </c>
      <c r="B25" s="290" t="inlineStr">
        <is>
          <t>BKK</t>
        </is>
      </c>
      <c r="C25" s="290" t="inlineStr">
        <is>
          <t>B7</t>
        </is>
      </c>
      <c r="D25" s="1397" t="inlineStr">
        <is>
          <t>ใบแจ้งหนี้ / Fleet Card Report</t>
        </is>
      </c>
      <c r="E25" s="1397" t="inlineStr">
        <is>
          <t xml:space="preserve"> L</t>
        </is>
      </c>
      <c r="F25" s="1656">
        <f>SUM(G25:R25)</f>
        <v/>
      </c>
      <c r="G25" s="1635" t="n">
        <v>213.49</v>
      </c>
      <c r="H25" s="1635" t="n">
        <v>171.42</v>
      </c>
      <c r="I25" s="1635" t="n">
        <v>171.51</v>
      </c>
      <c r="J25" s="1635" t="n">
        <v>50.79</v>
      </c>
      <c r="K25" s="1635" t="n">
        <v>0</v>
      </c>
      <c r="L25" s="1635" t="n">
        <v>0</v>
      </c>
      <c r="M25" s="1635" t="n">
        <v>0</v>
      </c>
      <c r="N25" s="1635" t="n">
        <v>0</v>
      </c>
      <c r="O25" s="1635" t="n">
        <v>0</v>
      </c>
      <c r="P25" s="1635" t="n">
        <v>0</v>
      </c>
      <c r="Q25" s="1657" t="n">
        <v>0</v>
      </c>
      <c r="R25" s="1635" t="n">
        <v>0</v>
      </c>
      <c r="S25" s="260" t="n"/>
      <c r="T25" s="260" t="n"/>
      <c r="U25" s="260" t="n"/>
      <c r="V25" s="260" t="n"/>
      <c r="W25" s="260" t="n"/>
      <c r="X25" s="260" t="n"/>
      <c r="Y25" s="260" t="n"/>
      <c r="Z25" s="260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0" t="n"/>
      <c r="AJ25" s="260" t="n"/>
      <c r="AK25" s="260" t="n"/>
      <c r="AL25" s="260" t="n"/>
      <c r="AM25" s="260" t="n"/>
      <c r="AN25" s="260" t="n"/>
      <c r="AO25" s="260" t="n"/>
      <c r="AP25" s="260" t="n"/>
      <c r="AQ25" s="260" t="n"/>
      <c r="AR25" s="260" t="n"/>
      <c r="AS25" s="260" t="n"/>
      <c r="AT25" s="260" t="n"/>
      <c r="AU25" s="260" t="n"/>
      <c r="AV25" s="260" t="n"/>
      <c r="AW25" s="260" t="n"/>
      <c r="AX25" s="260" t="n"/>
      <c r="AY25" s="260" t="n"/>
      <c r="AZ25" s="260" t="n"/>
      <c r="BA25" s="260" t="n"/>
      <c r="BB25" s="260" t="n"/>
      <c r="BC25" s="260" t="n"/>
      <c r="BD25" s="260" t="n"/>
      <c r="BE25" s="260" t="n"/>
      <c r="BF25" s="260" t="n"/>
      <c r="BG25" s="260" t="n"/>
      <c r="BH25" s="260" t="n"/>
      <c r="BI25" s="260" t="n"/>
      <c r="BJ25" s="260" t="n"/>
      <c r="BK25" s="260" t="n"/>
      <c r="BL25" s="260" t="n"/>
      <c r="BM25" s="260" t="n"/>
      <c r="BN25" s="260" t="n"/>
      <c r="BO25" s="260" t="n"/>
      <c r="BP25" s="260" t="n"/>
      <c r="BQ25" s="260" t="n"/>
      <c r="BR25" s="260" t="n"/>
      <c r="BS25" s="260" t="n"/>
      <c r="BT25" s="260" t="n"/>
      <c r="BU25" s="260" t="n"/>
      <c r="BV25" s="260" t="n"/>
      <c r="BW25" s="260" t="n"/>
      <c r="BX25" s="260" t="n"/>
      <c r="BY25" s="260" t="n"/>
      <c r="BZ25" s="260" t="n"/>
      <c r="CA25" s="260" t="n"/>
      <c r="CB25" s="260" t="n"/>
      <c r="CC25" s="260" t="n"/>
      <c r="CD25" s="260" t="n"/>
      <c r="CE25" s="260" t="n"/>
      <c r="CF25" s="260" t="n"/>
      <c r="CG25" s="260" t="n"/>
      <c r="CH25" s="260" t="n"/>
      <c r="CI25" s="260" t="n"/>
      <c r="CJ25" s="260" t="n"/>
      <c r="CK25" s="260" t="n"/>
      <c r="CL25" s="260" t="n"/>
      <c r="CM25" s="260" t="n"/>
      <c r="CN25" s="260" t="n"/>
      <c r="CO25" s="260" t="n"/>
      <c r="CP25" s="260" t="n"/>
      <c r="CQ25" s="260" t="n"/>
      <c r="CR25" s="260" t="n"/>
      <c r="CS25" s="260" t="n"/>
      <c r="CT25" s="260" t="n"/>
      <c r="CU25" s="260" t="n"/>
      <c r="CV25" s="260" t="n"/>
      <c r="CW25" s="260" t="n"/>
      <c r="CX25" s="260" t="n"/>
      <c r="CY25" s="260" t="n"/>
      <c r="CZ25" s="260" t="n"/>
      <c r="DA25" s="260" t="n"/>
      <c r="DB25" s="260" t="n"/>
      <c r="DC25" s="260" t="n"/>
      <c r="DD25" s="260" t="n"/>
      <c r="DE25" s="260" t="n"/>
      <c r="DF25" s="260" t="n"/>
      <c r="DG25" s="260" t="n"/>
      <c r="DH25" s="260" t="n"/>
      <c r="DI25" s="260" t="n"/>
      <c r="DJ25" s="260" t="n"/>
      <c r="DK25" s="260" t="n"/>
      <c r="DL25" s="260" t="n"/>
      <c r="DM25" s="260" t="n"/>
      <c r="DN25" s="260" t="n"/>
      <c r="DO25" s="260" t="n"/>
      <c r="DP25" s="260" t="n"/>
      <c r="DQ25" s="260" t="n"/>
      <c r="DR25" s="260" t="n"/>
      <c r="DS25" s="260" t="n"/>
      <c r="DT25" s="260" t="n"/>
      <c r="DU25" s="260" t="n"/>
      <c r="DV25" s="260" t="n"/>
      <c r="DW25" s="260" t="n"/>
      <c r="DX25" s="260" t="n"/>
      <c r="DY25" s="260" t="n"/>
      <c r="DZ25" s="260" t="n"/>
      <c r="EA25" s="260" t="n"/>
      <c r="EB25" s="260" t="n"/>
      <c r="EC25" s="260" t="n"/>
      <c r="ED25" s="260" t="n"/>
      <c r="EE25" s="260" t="n"/>
      <c r="EF25" s="260" t="n"/>
      <c r="EG25" s="260" t="n"/>
      <c r="EH25" s="260" t="n"/>
      <c r="EI25" s="260" t="n"/>
      <c r="EJ25" s="260" t="n"/>
      <c r="EK25" s="260" t="n"/>
      <c r="EL25" s="260" t="n"/>
      <c r="EM25" s="260" t="n"/>
      <c r="EN25" s="260" t="n"/>
      <c r="EO25" s="260" t="n"/>
      <c r="EP25" s="260" t="n"/>
      <c r="EQ25" s="260" t="n"/>
      <c r="ER25" s="260" t="n"/>
      <c r="ES25" s="260" t="n"/>
      <c r="ET25" s="260" t="n"/>
      <c r="EU25" s="260" t="n"/>
      <c r="EV25" s="260" t="n"/>
      <c r="EW25" s="260" t="n"/>
      <c r="EX25" s="260" t="n"/>
      <c r="EY25" s="260" t="n"/>
      <c r="EZ25" s="260" t="n"/>
      <c r="FA25" s="260" t="n"/>
      <c r="FB25" s="260" t="n"/>
      <c r="FC25" s="260" t="n"/>
      <c r="FD25" s="260" t="n"/>
      <c r="FE25" s="260" t="n"/>
      <c r="FF25" s="260" t="n"/>
      <c r="FG25" s="260" t="n"/>
      <c r="FH25" s="260" t="n"/>
      <c r="FI25" s="260" t="n"/>
      <c r="FJ25" s="260" t="n"/>
      <c r="FK25" s="260" t="n"/>
      <c r="FL25" s="260" t="n"/>
      <c r="FM25" s="260" t="n"/>
      <c r="FN25" s="260" t="n"/>
      <c r="FO25" s="260" t="n"/>
      <c r="FP25" s="260" t="n"/>
      <c r="FQ25" s="260" t="n"/>
      <c r="FR25" s="260" t="n"/>
      <c r="FS25" s="260" t="n"/>
      <c r="FT25" s="260" t="n"/>
      <c r="FU25" s="260" t="n"/>
      <c r="FV25" s="260" t="n"/>
      <c r="FW25" s="260" t="n"/>
      <c r="FX25" s="260" t="n"/>
      <c r="FY25" s="260" t="n"/>
      <c r="FZ25" s="260" t="n"/>
      <c r="GA25" s="260" t="n"/>
      <c r="GB25" s="260" t="n"/>
      <c r="GC25" s="260" t="n"/>
      <c r="GD25" s="260" t="n"/>
      <c r="GE25" s="260" t="n"/>
      <c r="GF25" s="260" t="n"/>
      <c r="GG25" s="260" t="n"/>
      <c r="GH25" s="260" t="n"/>
      <c r="GI25" s="260" t="n"/>
      <c r="GJ25" s="260" t="n"/>
      <c r="GK25" s="260" t="n"/>
      <c r="GL25" s="260" t="n"/>
      <c r="GM25" s="260" t="n"/>
      <c r="GN25" s="260" t="n"/>
      <c r="GO25" s="260" t="n"/>
      <c r="GP25" s="260" t="n"/>
      <c r="GQ25" s="260" t="n"/>
      <c r="GR25" s="260" t="n"/>
      <c r="GS25" s="260" t="n"/>
      <c r="GT25" s="260" t="n"/>
      <c r="GU25" s="260" t="n"/>
      <c r="GV25" s="260" t="n"/>
      <c r="GW25" s="260" t="n"/>
      <c r="GX25" s="260" t="n"/>
      <c r="GY25" s="260" t="n"/>
      <c r="GZ25" s="260" t="n"/>
      <c r="HA25" s="260" t="n"/>
      <c r="HB25" s="260" t="n"/>
      <c r="HC25" s="260" t="n"/>
      <c r="HD25" s="260" t="n"/>
      <c r="HE25" s="260" t="n"/>
      <c r="HF25" s="260" t="n"/>
      <c r="HG25" s="260" t="n"/>
      <c r="HH25" s="260" t="n"/>
      <c r="HI25" s="260" t="n"/>
      <c r="HJ25" s="260" t="n"/>
      <c r="HK25" s="260" t="n"/>
      <c r="HL25" s="260" t="n"/>
      <c r="HM25" s="260" t="n"/>
      <c r="HN25" s="260" t="n"/>
      <c r="HO25" s="260" t="n"/>
      <c r="HP25" s="260" t="n"/>
      <c r="HQ25" s="260" t="n"/>
      <c r="HR25" s="260" t="n"/>
      <c r="HS25" s="260" t="n"/>
      <c r="HT25" s="260" t="n"/>
      <c r="HU25" s="260" t="n"/>
      <c r="HV25" s="260" t="n"/>
      <c r="HW25" s="260" t="n"/>
      <c r="HX25" s="260" t="n"/>
      <c r="HY25" s="260" t="n"/>
      <c r="HZ25" s="260" t="n"/>
      <c r="IA25" s="260" t="n"/>
      <c r="IB25" s="260" t="n"/>
      <c r="IC25" s="260" t="n"/>
      <c r="ID25" s="260" t="n"/>
      <c r="IE25" s="260" t="n"/>
    </row>
    <row r="26" ht="17.4" customFormat="1" customHeight="1" s="288">
      <c r="A26" s="289" t="n"/>
      <c r="B26" s="290" t="n"/>
      <c r="C26" s="290" t="inlineStr">
        <is>
          <t>B10</t>
        </is>
      </c>
      <c r="D26" s="1397" t="n"/>
      <c r="E26" s="1397" t="n"/>
      <c r="F26" s="1656">
        <f>SUM(G26:R26)</f>
        <v/>
      </c>
      <c r="G26" s="1635" t="n">
        <v>0</v>
      </c>
      <c r="H26" s="1635" t="n">
        <v>0</v>
      </c>
      <c r="I26" s="1635" t="n">
        <v>0</v>
      </c>
      <c r="J26" s="1635" t="n">
        <v>0</v>
      </c>
      <c r="K26" s="1635" t="n">
        <v>0</v>
      </c>
      <c r="L26" s="1635" t="n">
        <v>0</v>
      </c>
      <c r="M26" s="1635" t="n">
        <v>0</v>
      </c>
      <c r="N26" s="1635" t="n">
        <v>0</v>
      </c>
      <c r="O26" s="1635" t="n">
        <v>0</v>
      </c>
      <c r="P26" s="1635" t="n">
        <v>0</v>
      </c>
      <c r="Q26" s="1657" t="n">
        <v>0</v>
      </c>
      <c r="R26" s="1635" t="n">
        <v>0</v>
      </c>
      <c r="S26" s="260" t="n"/>
      <c r="T26" s="260" t="n"/>
      <c r="U26" s="260" t="n"/>
      <c r="V26" s="260" t="n"/>
      <c r="W26" s="260" t="n"/>
      <c r="X26" s="260" t="n"/>
      <c r="Y26" s="260" t="n"/>
      <c r="Z26" s="260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0" t="n"/>
      <c r="AJ26" s="260" t="n"/>
      <c r="AK26" s="260" t="n"/>
      <c r="AL26" s="260" t="n"/>
      <c r="AM26" s="260" t="n"/>
      <c r="AN26" s="260" t="n"/>
      <c r="AO26" s="260" t="n"/>
      <c r="AP26" s="260" t="n"/>
      <c r="AQ26" s="260" t="n"/>
      <c r="AR26" s="260" t="n"/>
      <c r="AS26" s="260" t="n"/>
      <c r="AT26" s="260" t="n"/>
      <c r="AU26" s="260" t="n"/>
      <c r="AV26" s="260" t="n"/>
      <c r="AW26" s="260" t="n"/>
      <c r="AX26" s="260" t="n"/>
      <c r="AY26" s="260" t="n"/>
      <c r="AZ26" s="260" t="n"/>
      <c r="BA26" s="260" t="n"/>
      <c r="BB26" s="260" t="n"/>
      <c r="BC26" s="260" t="n"/>
      <c r="BD26" s="260" t="n"/>
      <c r="BE26" s="260" t="n"/>
      <c r="BF26" s="260" t="n"/>
      <c r="BG26" s="260" t="n"/>
      <c r="BH26" s="260" t="n"/>
      <c r="BI26" s="260" t="n"/>
      <c r="BJ26" s="260" t="n"/>
      <c r="BK26" s="260" t="n"/>
      <c r="BL26" s="260" t="n"/>
      <c r="BM26" s="260" t="n"/>
      <c r="BN26" s="260" t="n"/>
      <c r="BO26" s="260" t="n"/>
      <c r="BP26" s="260" t="n"/>
      <c r="BQ26" s="260" t="n"/>
      <c r="BR26" s="260" t="n"/>
      <c r="BS26" s="260" t="n"/>
      <c r="BT26" s="260" t="n"/>
      <c r="BU26" s="260" t="n"/>
      <c r="BV26" s="260" t="n"/>
      <c r="BW26" s="260" t="n"/>
      <c r="BX26" s="260" t="n"/>
      <c r="BY26" s="260" t="n"/>
      <c r="BZ26" s="260" t="n"/>
      <c r="CA26" s="260" t="n"/>
      <c r="CB26" s="260" t="n"/>
      <c r="CC26" s="260" t="n"/>
      <c r="CD26" s="260" t="n"/>
      <c r="CE26" s="260" t="n"/>
      <c r="CF26" s="260" t="n"/>
      <c r="CG26" s="260" t="n"/>
      <c r="CH26" s="260" t="n"/>
      <c r="CI26" s="260" t="n"/>
      <c r="CJ26" s="260" t="n"/>
      <c r="CK26" s="260" t="n"/>
      <c r="CL26" s="260" t="n"/>
      <c r="CM26" s="260" t="n"/>
      <c r="CN26" s="260" t="n"/>
      <c r="CO26" s="260" t="n"/>
      <c r="CP26" s="260" t="n"/>
      <c r="CQ26" s="260" t="n"/>
      <c r="CR26" s="260" t="n"/>
      <c r="CS26" s="260" t="n"/>
      <c r="CT26" s="260" t="n"/>
      <c r="CU26" s="260" t="n"/>
      <c r="CV26" s="260" t="n"/>
      <c r="CW26" s="260" t="n"/>
      <c r="CX26" s="260" t="n"/>
      <c r="CY26" s="260" t="n"/>
      <c r="CZ26" s="260" t="n"/>
      <c r="DA26" s="260" t="n"/>
      <c r="DB26" s="260" t="n"/>
      <c r="DC26" s="260" t="n"/>
      <c r="DD26" s="260" t="n"/>
      <c r="DE26" s="260" t="n"/>
      <c r="DF26" s="260" t="n"/>
      <c r="DG26" s="260" t="n"/>
      <c r="DH26" s="260" t="n"/>
      <c r="DI26" s="260" t="n"/>
      <c r="DJ26" s="260" t="n"/>
      <c r="DK26" s="260" t="n"/>
      <c r="DL26" s="260" t="n"/>
      <c r="DM26" s="260" t="n"/>
      <c r="DN26" s="260" t="n"/>
      <c r="DO26" s="260" t="n"/>
      <c r="DP26" s="260" t="n"/>
      <c r="DQ26" s="260" t="n"/>
      <c r="DR26" s="260" t="n"/>
      <c r="DS26" s="260" t="n"/>
      <c r="DT26" s="260" t="n"/>
      <c r="DU26" s="260" t="n"/>
      <c r="DV26" s="260" t="n"/>
      <c r="DW26" s="260" t="n"/>
      <c r="DX26" s="260" t="n"/>
      <c r="DY26" s="260" t="n"/>
      <c r="DZ26" s="260" t="n"/>
      <c r="EA26" s="260" t="n"/>
      <c r="EB26" s="260" t="n"/>
      <c r="EC26" s="260" t="n"/>
      <c r="ED26" s="260" t="n"/>
      <c r="EE26" s="260" t="n"/>
      <c r="EF26" s="260" t="n"/>
      <c r="EG26" s="260" t="n"/>
      <c r="EH26" s="260" t="n"/>
      <c r="EI26" s="260" t="n"/>
      <c r="EJ26" s="260" t="n"/>
      <c r="EK26" s="260" t="n"/>
      <c r="EL26" s="260" t="n"/>
      <c r="EM26" s="260" t="n"/>
      <c r="EN26" s="260" t="n"/>
      <c r="EO26" s="260" t="n"/>
      <c r="EP26" s="260" t="n"/>
      <c r="EQ26" s="260" t="n"/>
      <c r="ER26" s="260" t="n"/>
      <c r="ES26" s="260" t="n"/>
      <c r="ET26" s="260" t="n"/>
      <c r="EU26" s="260" t="n"/>
      <c r="EV26" s="260" t="n"/>
      <c r="EW26" s="260" t="n"/>
      <c r="EX26" s="260" t="n"/>
      <c r="EY26" s="260" t="n"/>
      <c r="EZ26" s="260" t="n"/>
      <c r="FA26" s="260" t="n"/>
      <c r="FB26" s="260" t="n"/>
      <c r="FC26" s="260" t="n"/>
      <c r="FD26" s="260" t="n"/>
      <c r="FE26" s="260" t="n"/>
      <c r="FF26" s="260" t="n"/>
      <c r="FG26" s="260" t="n"/>
      <c r="FH26" s="260" t="n"/>
      <c r="FI26" s="260" t="n"/>
      <c r="FJ26" s="260" t="n"/>
      <c r="FK26" s="260" t="n"/>
      <c r="FL26" s="260" t="n"/>
      <c r="FM26" s="260" t="n"/>
      <c r="FN26" s="260" t="n"/>
      <c r="FO26" s="260" t="n"/>
      <c r="FP26" s="260" t="n"/>
      <c r="FQ26" s="260" t="n"/>
      <c r="FR26" s="260" t="n"/>
      <c r="FS26" s="260" t="n"/>
      <c r="FT26" s="260" t="n"/>
      <c r="FU26" s="260" t="n"/>
      <c r="FV26" s="260" t="n"/>
      <c r="FW26" s="260" t="n"/>
      <c r="FX26" s="260" t="n"/>
      <c r="FY26" s="260" t="n"/>
      <c r="FZ26" s="260" t="n"/>
      <c r="GA26" s="260" t="n"/>
      <c r="GB26" s="260" t="n"/>
      <c r="GC26" s="260" t="n"/>
      <c r="GD26" s="260" t="n"/>
      <c r="GE26" s="260" t="n"/>
      <c r="GF26" s="260" t="n"/>
      <c r="GG26" s="260" t="n"/>
      <c r="GH26" s="260" t="n"/>
      <c r="GI26" s="260" t="n"/>
      <c r="GJ26" s="260" t="n"/>
      <c r="GK26" s="260" t="n"/>
      <c r="GL26" s="260" t="n"/>
      <c r="GM26" s="260" t="n"/>
      <c r="GN26" s="260" t="n"/>
      <c r="GO26" s="260" t="n"/>
      <c r="GP26" s="260" t="n"/>
      <c r="GQ26" s="260" t="n"/>
      <c r="GR26" s="260" t="n"/>
      <c r="GS26" s="260" t="n"/>
      <c r="GT26" s="260" t="n"/>
      <c r="GU26" s="260" t="n"/>
      <c r="GV26" s="260" t="n"/>
      <c r="GW26" s="260" t="n"/>
      <c r="GX26" s="260" t="n"/>
      <c r="GY26" s="260" t="n"/>
      <c r="GZ26" s="260" t="n"/>
      <c r="HA26" s="260" t="n"/>
      <c r="HB26" s="260" t="n"/>
      <c r="HC26" s="260" t="n"/>
      <c r="HD26" s="260" t="n"/>
      <c r="HE26" s="260" t="n"/>
      <c r="HF26" s="260" t="n"/>
      <c r="HG26" s="260" t="n"/>
      <c r="HH26" s="260" t="n"/>
      <c r="HI26" s="260" t="n"/>
      <c r="HJ26" s="260" t="n"/>
      <c r="HK26" s="260" t="n"/>
      <c r="HL26" s="260" t="n"/>
      <c r="HM26" s="260" t="n"/>
      <c r="HN26" s="260" t="n"/>
      <c r="HO26" s="260" t="n"/>
      <c r="HP26" s="260" t="n"/>
      <c r="HQ26" s="260" t="n"/>
      <c r="HR26" s="260" t="n"/>
      <c r="HS26" s="260" t="n"/>
      <c r="HT26" s="260" t="n"/>
      <c r="HU26" s="260" t="n"/>
      <c r="HV26" s="260" t="n"/>
      <c r="HW26" s="260" t="n"/>
      <c r="HX26" s="260" t="n"/>
      <c r="HY26" s="260" t="n"/>
      <c r="HZ26" s="260" t="n"/>
      <c r="IA26" s="260" t="n"/>
      <c r="IB26" s="260" t="n"/>
      <c r="IC26" s="260" t="n"/>
      <c r="ID26" s="260" t="n"/>
      <c r="IE26" s="260" t="n"/>
    </row>
    <row r="27" ht="17.4" customFormat="1" customHeight="1" s="288">
      <c r="A27" s="289" t="inlineStr">
        <is>
          <t xml:space="preserve">7. ฮฐ-7884 กทม      </t>
        </is>
      </c>
      <c r="B27" s="290" t="inlineStr">
        <is>
          <t>BKK</t>
        </is>
      </c>
      <c r="C27" s="290" t="inlineStr">
        <is>
          <t>B7</t>
        </is>
      </c>
      <c r="D27" s="1397" t="inlineStr">
        <is>
          <t>ใบแจ้งหนี้ / Fleet Card Report</t>
        </is>
      </c>
      <c r="E27" s="1397" t="inlineStr">
        <is>
          <t xml:space="preserve"> L</t>
        </is>
      </c>
      <c r="F27" s="1656">
        <f>SUM(G27:R27)</f>
        <v/>
      </c>
      <c r="G27" s="1635" t="n">
        <v>184.72</v>
      </c>
      <c r="H27" s="1635" t="n">
        <v>280.02</v>
      </c>
      <c r="I27" s="1635" t="n">
        <v>273.3</v>
      </c>
      <c r="J27" s="1635" t="n">
        <v>255.84</v>
      </c>
      <c r="K27" s="1635" t="n">
        <v>326.99</v>
      </c>
      <c r="L27" s="1635" t="n">
        <v>283.78</v>
      </c>
      <c r="M27" s="1635" t="n">
        <v>278.05</v>
      </c>
      <c r="N27" s="1635" t="n">
        <v>340.84</v>
      </c>
      <c r="O27" s="1635" t="n">
        <v>341.34</v>
      </c>
      <c r="P27" s="1635" t="n">
        <v>284.67</v>
      </c>
      <c r="Q27" s="1657" t="n">
        <v>316.99</v>
      </c>
      <c r="R27" s="1635" t="n">
        <v>328.11</v>
      </c>
      <c r="S27" s="260" t="n"/>
      <c r="T27" s="260" t="n"/>
      <c r="U27" s="260" t="n"/>
      <c r="V27" s="260" t="n"/>
      <c r="W27" s="260" t="n"/>
      <c r="X27" s="260" t="n"/>
      <c r="Y27" s="260" t="n"/>
      <c r="Z27" s="260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0" t="n"/>
      <c r="AJ27" s="260" t="n"/>
      <c r="AK27" s="260" t="n"/>
      <c r="AL27" s="260" t="n"/>
      <c r="AM27" s="260" t="n"/>
      <c r="AN27" s="260" t="n"/>
      <c r="AO27" s="260" t="n"/>
      <c r="AP27" s="260" t="n"/>
      <c r="AQ27" s="260" t="n"/>
      <c r="AR27" s="260" t="n"/>
      <c r="AS27" s="260" t="n"/>
      <c r="AT27" s="260" t="n"/>
      <c r="AU27" s="260" t="n"/>
      <c r="AV27" s="260" t="n"/>
      <c r="AW27" s="260" t="n"/>
      <c r="AX27" s="260" t="n"/>
      <c r="AY27" s="260" t="n"/>
      <c r="AZ27" s="260" t="n"/>
      <c r="BA27" s="260" t="n"/>
      <c r="BB27" s="260" t="n"/>
      <c r="BC27" s="260" t="n"/>
      <c r="BD27" s="260" t="n"/>
      <c r="BE27" s="260" t="n"/>
      <c r="BF27" s="260" t="n"/>
      <c r="BG27" s="260" t="n"/>
      <c r="BH27" s="260" t="n"/>
      <c r="BI27" s="260" t="n"/>
      <c r="BJ27" s="260" t="n"/>
      <c r="BK27" s="260" t="n"/>
      <c r="BL27" s="260" t="n"/>
      <c r="BM27" s="260" t="n"/>
      <c r="BN27" s="260" t="n"/>
      <c r="BO27" s="260" t="n"/>
      <c r="BP27" s="260" t="n"/>
      <c r="BQ27" s="260" t="n"/>
      <c r="BR27" s="260" t="n"/>
      <c r="BS27" s="260" t="n"/>
      <c r="BT27" s="260" t="n"/>
      <c r="BU27" s="260" t="n"/>
      <c r="BV27" s="260" t="n"/>
      <c r="BW27" s="260" t="n"/>
      <c r="BX27" s="260" t="n"/>
      <c r="BY27" s="260" t="n"/>
      <c r="BZ27" s="260" t="n"/>
      <c r="CA27" s="260" t="n"/>
      <c r="CB27" s="260" t="n"/>
      <c r="CC27" s="260" t="n"/>
      <c r="CD27" s="260" t="n"/>
      <c r="CE27" s="260" t="n"/>
      <c r="CF27" s="260" t="n"/>
      <c r="CG27" s="260" t="n"/>
      <c r="CH27" s="260" t="n"/>
      <c r="CI27" s="260" t="n"/>
      <c r="CJ27" s="260" t="n"/>
      <c r="CK27" s="260" t="n"/>
      <c r="CL27" s="260" t="n"/>
      <c r="CM27" s="260" t="n"/>
      <c r="CN27" s="260" t="n"/>
      <c r="CO27" s="260" t="n"/>
      <c r="CP27" s="260" t="n"/>
      <c r="CQ27" s="260" t="n"/>
      <c r="CR27" s="260" t="n"/>
      <c r="CS27" s="260" t="n"/>
      <c r="CT27" s="260" t="n"/>
      <c r="CU27" s="260" t="n"/>
      <c r="CV27" s="260" t="n"/>
      <c r="CW27" s="260" t="n"/>
      <c r="CX27" s="260" t="n"/>
      <c r="CY27" s="260" t="n"/>
      <c r="CZ27" s="260" t="n"/>
      <c r="DA27" s="260" t="n"/>
      <c r="DB27" s="260" t="n"/>
      <c r="DC27" s="260" t="n"/>
      <c r="DD27" s="260" t="n"/>
      <c r="DE27" s="260" t="n"/>
      <c r="DF27" s="260" t="n"/>
      <c r="DG27" s="260" t="n"/>
      <c r="DH27" s="260" t="n"/>
      <c r="DI27" s="260" t="n"/>
      <c r="DJ27" s="260" t="n"/>
      <c r="DK27" s="260" t="n"/>
      <c r="DL27" s="260" t="n"/>
      <c r="DM27" s="260" t="n"/>
      <c r="DN27" s="260" t="n"/>
      <c r="DO27" s="260" t="n"/>
      <c r="DP27" s="260" t="n"/>
      <c r="DQ27" s="260" t="n"/>
      <c r="DR27" s="260" t="n"/>
      <c r="DS27" s="260" t="n"/>
      <c r="DT27" s="260" t="n"/>
      <c r="DU27" s="260" t="n"/>
      <c r="DV27" s="260" t="n"/>
      <c r="DW27" s="260" t="n"/>
      <c r="DX27" s="260" t="n"/>
      <c r="DY27" s="260" t="n"/>
      <c r="DZ27" s="260" t="n"/>
      <c r="EA27" s="260" t="n"/>
      <c r="EB27" s="260" t="n"/>
      <c r="EC27" s="260" t="n"/>
      <c r="ED27" s="260" t="n"/>
      <c r="EE27" s="260" t="n"/>
      <c r="EF27" s="260" t="n"/>
      <c r="EG27" s="260" t="n"/>
      <c r="EH27" s="260" t="n"/>
      <c r="EI27" s="260" t="n"/>
      <c r="EJ27" s="260" t="n"/>
      <c r="EK27" s="260" t="n"/>
      <c r="EL27" s="260" t="n"/>
      <c r="EM27" s="260" t="n"/>
      <c r="EN27" s="260" t="n"/>
      <c r="EO27" s="260" t="n"/>
      <c r="EP27" s="260" t="n"/>
      <c r="EQ27" s="260" t="n"/>
      <c r="ER27" s="260" t="n"/>
      <c r="ES27" s="260" t="n"/>
      <c r="ET27" s="260" t="n"/>
      <c r="EU27" s="260" t="n"/>
      <c r="EV27" s="260" t="n"/>
      <c r="EW27" s="260" t="n"/>
      <c r="EX27" s="260" t="n"/>
      <c r="EY27" s="260" t="n"/>
      <c r="EZ27" s="260" t="n"/>
      <c r="FA27" s="260" t="n"/>
      <c r="FB27" s="260" t="n"/>
      <c r="FC27" s="260" t="n"/>
      <c r="FD27" s="260" t="n"/>
      <c r="FE27" s="260" t="n"/>
      <c r="FF27" s="260" t="n"/>
      <c r="FG27" s="260" t="n"/>
      <c r="FH27" s="260" t="n"/>
      <c r="FI27" s="260" t="n"/>
      <c r="FJ27" s="260" t="n"/>
      <c r="FK27" s="260" t="n"/>
      <c r="FL27" s="260" t="n"/>
      <c r="FM27" s="260" t="n"/>
      <c r="FN27" s="260" t="n"/>
      <c r="FO27" s="260" t="n"/>
      <c r="FP27" s="260" t="n"/>
      <c r="FQ27" s="260" t="n"/>
      <c r="FR27" s="260" t="n"/>
      <c r="FS27" s="260" t="n"/>
      <c r="FT27" s="260" t="n"/>
      <c r="FU27" s="260" t="n"/>
      <c r="FV27" s="260" t="n"/>
      <c r="FW27" s="260" t="n"/>
      <c r="FX27" s="260" t="n"/>
      <c r="FY27" s="260" t="n"/>
      <c r="FZ27" s="260" t="n"/>
      <c r="GA27" s="260" t="n"/>
      <c r="GB27" s="260" t="n"/>
      <c r="GC27" s="260" t="n"/>
      <c r="GD27" s="260" t="n"/>
      <c r="GE27" s="260" t="n"/>
      <c r="GF27" s="260" t="n"/>
      <c r="GG27" s="260" t="n"/>
      <c r="GH27" s="260" t="n"/>
      <c r="GI27" s="260" t="n"/>
      <c r="GJ27" s="260" t="n"/>
      <c r="GK27" s="260" t="n"/>
      <c r="GL27" s="260" t="n"/>
      <c r="GM27" s="260" t="n"/>
      <c r="GN27" s="260" t="n"/>
      <c r="GO27" s="260" t="n"/>
      <c r="GP27" s="260" t="n"/>
      <c r="GQ27" s="260" t="n"/>
      <c r="GR27" s="260" t="n"/>
      <c r="GS27" s="260" t="n"/>
      <c r="GT27" s="260" t="n"/>
      <c r="GU27" s="260" t="n"/>
      <c r="GV27" s="260" t="n"/>
      <c r="GW27" s="260" t="n"/>
      <c r="GX27" s="260" t="n"/>
      <c r="GY27" s="260" t="n"/>
      <c r="GZ27" s="260" t="n"/>
      <c r="HA27" s="260" t="n"/>
      <c r="HB27" s="260" t="n"/>
      <c r="HC27" s="260" t="n"/>
      <c r="HD27" s="260" t="n"/>
      <c r="HE27" s="260" t="n"/>
      <c r="HF27" s="260" t="n"/>
      <c r="HG27" s="260" t="n"/>
      <c r="HH27" s="260" t="n"/>
      <c r="HI27" s="260" t="n"/>
      <c r="HJ27" s="260" t="n"/>
      <c r="HK27" s="260" t="n"/>
      <c r="HL27" s="260" t="n"/>
      <c r="HM27" s="260" t="n"/>
      <c r="HN27" s="260" t="n"/>
      <c r="HO27" s="260" t="n"/>
      <c r="HP27" s="260" t="n"/>
      <c r="HQ27" s="260" t="n"/>
      <c r="HR27" s="260" t="n"/>
      <c r="HS27" s="260" t="n"/>
      <c r="HT27" s="260" t="n"/>
      <c r="HU27" s="260" t="n"/>
      <c r="HV27" s="260" t="n"/>
      <c r="HW27" s="260" t="n"/>
      <c r="HX27" s="260" t="n"/>
      <c r="HY27" s="260" t="n"/>
      <c r="HZ27" s="260" t="n"/>
      <c r="IA27" s="260" t="n"/>
      <c r="IB27" s="260" t="n"/>
      <c r="IC27" s="260" t="n"/>
      <c r="ID27" s="260" t="n"/>
      <c r="IE27" s="260" t="n"/>
    </row>
    <row r="28" ht="17.4" customFormat="1" customHeight="1" s="288">
      <c r="A28" s="289" t="n"/>
      <c r="B28" s="290" t="n"/>
      <c r="C28" s="290" t="inlineStr">
        <is>
          <t>B10</t>
        </is>
      </c>
      <c r="D28" s="1397" t="n"/>
      <c r="E28" s="1397" t="n"/>
      <c r="F28" s="1656">
        <f>SUM(G28:R28)</f>
        <v/>
      </c>
      <c r="G28" s="1635" t="n">
        <v>0</v>
      </c>
      <c r="H28" s="1635" t="n">
        <v>0</v>
      </c>
      <c r="I28" s="1635" t="n">
        <v>0</v>
      </c>
      <c r="J28" s="1635" t="n">
        <v>0</v>
      </c>
      <c r="K28" s="1635" t="n">
        <v>0</v>
      </c>
      <c r="L28" s="1635" t="n">
        <v>0</v>
      </c>
      <c r="M28" s="1635" t="n">
        <v>0</v>
      </c>
      <c r="N28" s="1635" t="n">
        <v>0</v>
      </c>
      <c r="O28" s="1635" t="n">
        <v>0</v>
      </c>
      <c r="P28" s="1635" t="n">
        <v>0</v>
      </c>
      <c r="Q28" s="1657" t="n">
        <v>0</v>
      </c>
      <c r="R28" s="1635" t="n">
        <v>0</v>
      </c>
      <c r="S28" s="260" t="n"/>
      <c r="T28" s="260" t="n"/>
      <c r="U28" s="260" t="n"/>
      <c r="V28" s="260" t="n"/>
      <c r="W28" s="260" t="n"/>
      <c r="X28" s="260" t="n"/>
      <c r="Y28" s="260" t="n"/>
      <c r="Z28" s="260" t="n"/>
      <c r="AA28" s="260" t="n"/>
      <c r="AB28" s="260" t="n"/>
      <c r="AC28" s="260" t="n"/>
      <c r="AD28" s="260" t="n"/>
      <c r="AE28" s="260" t="n"/>
      <c r="AF28" s="260" t="n"/>
      <c r="AG28" s="260" t="n"/>
      <c r="AH28" s="260" t="n"/>
      <c r="AI28" s="260" t="n"/>
      <c r="AJ28" s="260" t="n"/>
      <c r="AK28" s="260" t="n"/>
      <c r="AL28" s="260" t="n"/>
      <c r="AM28" s="260" t="n"/>
      <c r="AN28" s="260" t="n"/>
      <c r="AO28" s="260" t="n"/>
      <c r="AP28" s="260" t="n"/>
      <c r="AQ28" s="260" t="n"/>
      <c r="AR28" s="260" t="n"/>
      <c r="AS28" s="260" t="n"/>
      <c r="AT28" s="260" t="n"/>
      <c r="AU28" s="260" t="n"/>
      <c r="AV28" s="260" t="n"/>
      <c r="AW28" s="260" t="n"/>
      <c r="AX28" s="260" t="n"/>
      <c r="AY28" s="260" t="n"/>
      <c r="AZ28" s="260" t="n"/>
      <c r="BA28" s="260" t="n"/>
      <c r="BB28" s="260" t="n"/>
      <c r="BC28" s="260" t="n"/>
      <c r="BD28" s="260" t="n"/>
      <c r="BE28" s="260" t="n"/>
      <c r="BF28" s="260" t="n"/>
      <c r="BG28" s="260" t="n"/>
      <c r="BH28" s="260" t="n"/>
      <c r="BI28" s="260" t="n"/>
      <c r="BJ28" s="260" t="n"/>
      <c r="BK28" s="260" t="n"/>
      <c r="BL28" s="260" t="n"/>
      <c r="BM28" s="260" t="n"/>
      <c r="BN28" s="260" t="n"/>
      <c r="BO28" s="260" t="n"/>
      <c r="BP28" s="260" t="n"/>
      <c r="BQ28" s="260" t="n"/>
      <c r="BR28" s="260" t="n"/>
      <c r="BS28" s="260" t="n"/>
      <c r="BT28" s="260" t="n"/>
      <c r="BU28" s="260" t="n"/>
      <c r="BV28" s="260" t="n"/>
      <c r="BW28" s="260" t="n"/>
      <c r="BX28" s="260" t="n"/>
      <c r="BY28" s="260" t="n"/>
      <c r="BZ28" s="260" t="n"/>
      <c r="CA28" s="260" t="n"/>
      <c r="CB28" s="260" t="n"/>
      <c r="CC28" s="260" t="n"/>
      <c r="CD28" s="260" t="n"/>
      <c r="CE28" s="260" t="n"/>
      <c r="CF28" s="260" t="n"/>
      <c r="CG28" s="260" t="n"/>
      <c r="CH28" s="260" t="n"/>
      <c r="CI28" s="260" t="n"/>
      <c r="CJ28" s="260" t="n"/>
      <c r="CK28" s="260" t="n"/>
      <c r="CL28" s="260" t="n"/>
      <c r="CM28" s="260" t="n"/>
      <c r="CN28" s="260" t="n"/>
      <c r="CO28" s="260" t="n"/>
      <c r="CP28" s="260" t="n"/>
      <c r="CQ28" s="260" t="n"/>
      <c r="CR28" s="260" t="n"/>
      <c r="CS28" s="260" t="n"/>
      <c r="CT28" s="260" t="n"/>
      <c r="CU28" s="260" t="n"/>
      <c r="CV28" s="260" t="n"/>
      <c r="CW28" s="260" t="n"/>
      <c r="CX28" s="260" t="n"/>
      <c r="CY28" s="260" t="n"/>
      <c r="CZ28" s="260" t="n"/>
      <c r="DA28" s="260" t="n"/>
      <c r="DB28" s="260" t="n"/>
      <c r="DC28" s="260" t="n"/>
      <c r="DD28" s="260" t="n"/>
      <c r="DE28" s="260" t="n"/>
      <c r="DF28" s="260" t="n"/>
      <c r="DG28" s="260" t="n"/>
      <c r="DH28" s="260" t="n"/>
      <c r="DI28" s="260" t="n"/>
      <c r="DJ28" s="260" t="n"/>
      <c r="DK28" s="260" t="n"/>
      <c r="DL28" s="260" t="n"/>
      <c r="DM28" s="260" t="n"/>
      <c r="DN28" s="260" t="n"/>
      <c r="DO28" s="260" t="n"/>
      <c r="DP28" s="260" t="n"/>
      <c r="DQ28" s="260" t="n"/>
      <c r="DR28" s="260" t="n"/>
      <c r="DS28" s="260" t="n"/>
      <c r="DT28" s="260" t="n"/>
      <c r="DU28" s="260" t="n"/>
      <c r="DV28" s="260" t="n"/>
      <c r="DW28" s="260" t="n"/>
      <c r="DX28" s="260" t="n"/>
      <c r="DY28" s="260" t="n"/>
      <c r="DZ28" s="260" t="n"/>
      <c r="EA28" s="260" t="n"/>
      <c r="EB28" s="260" t="n"/>
      <c r="EC28" s="260" t="n"/>
      <c r="ED28" s="260" t="n"/>
      <c r="EE28" s="260" t="n"/>
      <c r="EF28" s="260" t="n"/>
      <c r="EG28" s="260" t="n"/>
      <c r="EH28" s="260" t="n"/>
      <c r="EI28" s="260" t="n"/>
      <c r="EJ28" s="260" t="n"/>
      <c r="EK28" s="260" t="n"/>
      <c r="EL28" s="260" t="n"/>
      <c r="EM28" s="260" t="n"/>
      <c r="EN28" s="260" t="n"/>
      <c r="EO28" s="260" t="n"/>
      <c r="EP28" s="260" t="n"/>
      <c r="EQ28" s="260" t="n"/>
      <c r="ER28" s="260" t="n"/>
      <c r="ES28" s="260" t="n"/>
      <c r="ET28" s="260" t="n"/>
      <c r="EU28" s="260" t="n"/>
      <c r="EV28" s="260" t="n"/>
      <c r="EW28" s="260" t="n"/>
      <c r="EX28" s="260" t="n"/>
      <c r="EY28" s="260" t="n"/>
      <c r="EZ28" s="260" t="n"/>
      <c r="FA28" s="260" t="n"/>
      <c r="FB28" s="260" t="n"/>
      <c r="FC28" s="260" t="n"/>
      <c r="FD28" s="260" t="n"/>
      <c r="FE28" s="260" t="n"/>
      <c r="FF28" s="260" t="n"/>
      <c r="FG28" s="260" t="n"/>
      <c r="FH28" s="260" t="n"/>
      <c r="FI28" s="260" t="n"/>
      <c r="FJ28" s="260" t="n"/>
      <c r="FK28" s="260" t="n"/>
      <c r="FL28" s="260" t="n"/>
      <c r="FM28" s="260" t="n"/>
      <c r="FN28" s="260" t="n"/>
      <c r="FO28" s="260" t="n"/>
      <c r="FP28" s="260" t="n"/>
      <c r="FQ28" s="260" t="n"/>
      <c r="FR28" s="260" t="n"/>
      <c r="FS28" s="260" t="n"/>
      <c r="FT28" s="260" t="n"/>
      <c r="FU28" s="260" t="n"/>
      <c r="FV28" s="260" t="n"/>
      <c r="FW28" s="260" t="n"/>
      <c r="FX28" s="260" t="n"/>
      <c r="FY28" s="260" t="n"/>
      <c r="FZ28" s="260" t="n"/>
      <c r="GA28" s="260" t="n"/>
      <c r="GB28" s="260" t="n"/>
      <c r="GC28" s="260" t="n"/>
      <c r="GD28" s="260" t="n"/>
      <c r="GE28" s="260" t="n"/>
      <c r="GF28" s="260" t="n"/>
      <c r="GG28" s="260" t="n"/>
      <c r="GH28" s="260" t="n"/>
      <c r="GI28" s="260" t="n"/>
      <c r="GJ28" s="260" t="n"/>
      <c r="GK28" s="260" t="n"/>
      <c r="GL28" s="260" t="n"/>
      <c r="GM28" s="260" t="n"/>
      <c r="GN28" s="260" t="n"/>
      <c r="GO28" s="260" t="n"/>
      <c r="GP28" s="260" t="n"/>
      <c r="GQ28" s="260" t="n"/>
      <c r="GR28" s="260" t="n"/>
      <c r="GS28" s="260" t="n"/>
      <c r="GT28" s="260" t="n"/>
      <c r="GU28" s="260" t="n"/>
      <c r="GV28" s="260" t="n"/>
      <c r="GW28" s="260" t="n"/>
      <c r="GX28" s="260" t="n"/>
      <c r="GY28" s="260" t="n"/>
      <c r="GZ28" s="260" t="n"/>
      <c r="HA28" s="260" t="n"/>
      <c r="HB28" s="260" t="n"/>
      <c r="HC28" s="260" t="n"/>
      <c r="HD28" s="260" t="n"/>
      <c r="HE28" s="260" t="n"/>
      <c r="HF28" s="260" t="n"/>
      <c r="HG28" s="260" t="n"/>
      <c r="HH28" s="260" t="n"/>
      <c r="HI28" s="260" t="n"/>
      <c r="HJ28" s="260" t="n"/>
      <c r="HK28" s="260" t="n"/>
      <c r="HL28" s="260" t="n"/>
      <c r="HM28" s="260" t="n"/>
      <c r="HN28" s="260" t="n"/>
      <c r="HO28" s="260" t="n"/>
      <c r="HP28" s="260" t="n"/>
      <c r="HQ28" s="260" t="n"/>
      <c r="HR28" s="260" t="n"/>
      <c r="HS28" s="260" t="n"/>
      <c r="HT28" s="260" t="n"/>
      <c r="HU28" s="260" t="n"/>
      <c r="HV28" s="260" t="n"/>
      <c r="HW28" s="260" t="n"/>
      <c r="HX28" s="260" t="n"/>
      <c r="HY28" s="260" t="n"/>
      <c r="HZ28" s="260" t="n"/>
      <c r="IA28" s="260" t="n"/>
      <c r="IB28" s="260" t="n"/>
      <c r="IC28" s="260" t="n"/>
      <c r="ID28" s="260" t="n"/>
      <c r="IE28" s="260" t="n"/>
    </row>
    <row r="29" ht="17.4" customFormat="1" customHeight="1" s="288">
      <c r="A29" s="289" t="inlineStr">
        <is>
          <t xml:space="preserve">8. 2ฒค-421 กทม  </t>
        </is>
      </c>
      <c r="B29" s="290" t="inlineStr">
        <is>
          <t>BKK</t>
        </is>
      </c>
      <c r="C29" s="290" t="inlineStr">
        <is>
          <t>B7</t>
        </is>
      </c>
      <c r="D29" s="1397" t="inlineStr">
        <is>
          <t>ใบแจ้งหนี้ / Fleet Card Report</t>
        </is>
      </c>
      <c r="E29" s="1397" t="inlineStr">
        <is>
          <t xml:space="preserve"> L</t>
        </is>
      </c>
      <c r="F29" s="1656">
        <f>SUM(G29:R29)</f>
        <v/>
      </c>
      <c r="G29" s="1635" t="n">
        <v>45.8</v>
      </c>
      <c r="H29" s="1635" t="n">
        <v>181.72</v>
      </c>
      <c r="I29" s="1635" t="n">
        <v>129.14</v>
      </c>
      <c r="J29" s="1635" t="n">
        <v>116.09</v>
      </c>
      <c r="K29" s="1635" t="n">
        <v>162.25</v>
      </c>
      <c r="L29" s="1635" t="n">
        <v>177.25</v>
      </c>
      <c r="M29" s="1635" t="n">
        <v>41.05</v>
      </c>
      <c r="N29" s="1635" t="n">
        <v>57.59</v>
      </c>
      <c r="O29" s="1635" t="n">
        <v>0</v>
      </c>
      <c r="P29" s="1635" t="n">
        <v>56.08</v>
      </c>
      <c r="Q29" s="1657" t="n">
        <v>0</v>
      </c>
      <c r="R29" s="1635" t="n">
        <v>0</v>
      </c>
      <c r="S29" s="260" t="n"/>
      <c r="T29" s="260" t="n"/>
      <c r="U29" s="260" t="n"/>
      <c r="V29" s="260" t="n"/>
      <c r="W29" s="260" t="n"/>
      <c r="X29" s="260" t="n"/>
      <c r="Y29" s="260" t="n"/>
      <c r="Z29" s="260" t="n"/>
      <c r="AA29" s="260" t="n"/>
      <c r="AB29" s="260" t="n"/>
      <c r="AC29" s="260" t="n"/>
      <c r="AD29" s="260" t="n"/>
      <c r="AE29" s="260" t="n"/>
      <c r="AF29" s="260" t="n"/>
      <c r="AG29" s="260" t="n"/>
      <c r="AH29" s="260" t="n"/>
      <c r="AI29" s="260" t="n"/>
      <c r="AJ29" s="260" t="n"/>
      <c r="AK29" s="260" t="n"/>
      <c r="AL29" s="260" t="n"/>
      <c r="AM29" s="260" t="n"/>
      <c r="AN29" s="260" t="n"/>
      <c r="AO29" s="260" t="n"/>
      <c r="AP29" s="260" t="n"/>
      <c r="AQ29" s="260" t="n"/>
      <c r="AR29" s="260" t="n"/>
      <c r="AS29" s="260" t="n"/>
      <c r="AT29" s="260" t="n"/>
      <c r="AU29" s="260" t="n"/>
      <c r="AV29" s="260" t="n"/>
      <c r="AW29" s="260" t="n"/>
      <c r="AX29" s="260" t="n"/>
      <c r="AY29" s="260" t="n"/>
      <c r="AZ29" s="260" t="n"/>
      <c r="BA29" s="260" t="n"/>
      <c r="BB29" s="260" t="n"/>
      <c r="BC29" s="260" t="n"/>
      <c r="BD29" s="260" t="n"/>
      <c r="BE29" s="260" t="n"/>
      <c r="BF29" s="260" t="n"/>
      <c r="BG29" s="260" t="n"/>
      <c r="BH29" s="260" t="n"/>
      <c r="BI29" s="260" t="n"/>
      <c r="BJ29" s="260" t="n"/>
      <c r="BK29" s="260" t="n"/>
      <c r="BL29" s="260" t="n"/>
      <c r="BM29" s="260" t="n"/>
      <c r="BN29" s="260" t="n"/>
      <c r="BO29" s="260" t="n"/>
      <c r="BP29" s="260" t="n"/>
      <c r="BQ29" s="260" t="n"/>
      <c r="BR29" s="260" t="n"/>
      <c r="BS29" s="260" t="n"/>
      <c r="BT29" s="260" t="n"/>
      <c r="BU29" s="260" t="n"/>
      <c r="BV29" s="260" t="n"/>
      <c r="BW29" s="260" t="n"/>
      <c r="BX29" s="260" t="n"/>
      <c r="BY29" s="260" t="n"/>
      <c r="BZ29" s="260" t="n"/>
      <c r="CA29" s="260" t="n"/>
      <c r="CB29" s="260" t="n"/>
      <c r="CC29" s="260" t="n"/>
      <c r="CD29" s="260" t="n"/>
      <c r="CE29" s="260" t="n"/>
      <c r="CF29" s="260" t="n"/>
      <c r="CG29" s="260" t="n"/>
      <c r="CH29" s="260" t="n"/>
      <c r="CI29" s="260" t="n"/>
      <c r="CJ29" s="260" t="n"/>
      <c r="CK29" s="260" t="n"/>
      <c r="CL29" s="260" t="n"/>
      <c r="CM29" s="260" t="n"/>
      <c r="CN29" s="260" t="n"/>
      <c r="CO29" s="260" t="n"/>
      <c r="CP29" s="260" t="n"/>
      <c r="CQ29" s="260" t="n"/>
      <c r="CR29" s="260" t="n"/>
      <c r="CS29" s="260" t="n"/>
      <c r="CT29" s="260" t="n"/>
      <c r="CU29" s="260" t="n"/>
      <c r="CV29" s="260" t="n"/>
      <c r="CW29" s="260" t="n"/>
      <c r="CX29" s="260" t="n"/>
      <c r="CY29" s="260" t="n"/>
      <c r="CZ29" s="260" t="n"/>
      <c r="DA29" s="260" t="n"/>
      <c r="DB29" s="260" t="n"/>
      <c r="DC29" s="260" t="n"/>
      <c r="DD29" s="260" t="n"/>
      <c r="DE29" s="260" t="n"/>
      <c r="DF29" s="260" t="n"/>
      <c r="DG29" s="260" t="n"/>
      <c r="DH29" s="260" t="n"/>
      <c r="DI29" s="260" t="n"/>
      <c r="DJ29" s="260" t="n"/>
      <c r="DK29" s="260" t="n"/>
      <c r="DL29" s="260" t="n"/>
      <c r="DM29" s="260" t="n"/>
      <c r="DN29" s="260" t="n"/>
      <c r="DO29" s="260" t="n"/>
      <c r="DP29" s="260" t="n"/>
      <c r="DQ29" s="260" t="n"/>
      <c r="DR29" s="260" t="n"/>
      <c r="DS29" s="260" t="n"/>
      <c r="DT29" s="260" t="n"/>
      <c r="DU29" s="260" t="n"/>
      <c r="DV29" s="260" t="n"/>
      <c r="DW29" s="260" t="n"/>
      <c r="DX29" s="260" t="n"/>
      <c r="DY29" s="260" t="n"/>
      <c r="DZ29" s="260" t="n"/>
      <c r="EA29" s="260" t="n"/>
      <c r="EB29" s="260" t="n"/>
      <c r="EC29" s="260" t="n"/>
      <c r="ED29" s="260" t="n"/>
      <c r="EE29" s="260" t="n"/>
      <c r="EF29" s="260" t="n"/>
      <c r="EG29" s="260" t="n"/>
      <c r="EH29" s="260" t="n"/>
      <c r="EI29" s="260" t="n"/>
      <c r="EJ29" s="260" t="n"/>
      <c r="EK29" s="260" t="n"/>
      <c r="EL29" s="260" t="n"/>
      <c r="EM29" s="260" t="n"/>
      <c r="EN29" s="260" t="n"/>
      <c r="EO29" s="260" t="n"/>
      <c r="EP29" s="260" t="n"/>
      <c r="EQ29" s="260" t="n"/>
      <c r="ER29" s="260" t="n"/>
      <c r="ES29" s="260" t="n"/>
      <c r="ET29" s="260" t="n"/>
      <c r="EU29" s="260" t="n"/>
      <c r="EV29" s="260" t="n"/>
      <c r="EW29" s="260" t="n"/>
      <c r="EX29" s="260" t="n"/>
      <c r="EY29" s="260" t="n"/>
      <c r="EZ29" s="260" t="n"/>
      <c r="FA29" s="260" t="n"/>
      <c r="FB29" s="260" t="n"/>
      <c r="FC29" s="260" t="n"/>
      <c r="FD29" s="260" t="n"/>
      <c r="FE29" s="260" t="n"/>
      <c r="FF29" s="260" t="n"/>
      <c r="FG29" s="260" t="n"/>
      <c r="FH29" s="260" t="n"/>
      <c r="FI29" s="260" t="n"/>
      <c r="FJ29" s="260" t="n"/>
      <c r="FK29" s="260" t="n"/>
      <c r="FL29" s="260" t="n"/>
      <c r="FM29" s="260" t="n"/>
      <c r="FN29" s="260" t="n"/>
      <c r="FO29" s="260" t="n"/>
      <c r="FP29" s="260" t="n"/>
      <c r="FQ29" s="260" t="n"/>
      <c r="FR29" s="260" t="n"/>
      <c r="FS29" s="260" t="n"/>
      <c r="FT29" s="260" t="n"/>
      <c r="FU29" s="260" t="n"/>
      <c r="FV29" s="260" t="n"/>
      <c r="FW29" s="260" t="n"/>
      <c r="FX29" s="260" t="n"/>
      <c r="FY29" s="260" t="n"/>
      <c r="FZ29" s="260" t="n"/>
      <c r="GA29" s="260" t="n"/>
      <c r="GB29" s="260" t="n"/>
      <c r="GC29" s="260" t="n"/>
      <c r="GD29" s="260" t="n"/>
      <c r="GE29" s="260" t="n"/>
      <c r="GF29" s="260" t="n"/>
      <c r="GG29" s="260" t="n"/>
      <c r="GH29" s="260" t="n"/>
      <c r="GI29" s="260" t="n"/>
      <c r="GJ29" s="260" t="n"/>
      <c r="GK29" s="260" t="n"/>
      <c r="GL29" s="260" t="n"/>
      <c r="GM29" s="260" t="n"/>
      <c r="GN29" s="260" t="n"/>
      <c r="GO29" s="260" t="n"/>
      <c r="GP29" s="260" t="n"/>
      <c r="GQ29" s="260" t="n"/>
      <c r="GR29" s="260" t="n"/>
      <c r="GS29" s="260" t="n"/>
      <c r="GT29" s="260" t="n"/>
      <c r="GU29" s="260" t="n"/>
      <c r="GV29" s="260" t="n"/>
      <c r="GW29" s="260" t="n"/>
      <c r="GX29" s="260" t="n"/>
      <c r="GY29" s="260" t="n"/>
      <c r="GZ29" s="260" t="n"/>
      <c r="HA29" s="260" t="n"/>
      <c r="HB29" s="260" t="n"/>
      <c r="HC29" s="260" t="n"/>
      <c r="HD29" s="260" t="n"/>
      <c r="HE29" s="260" t="n"/>
      <c r="HF29" s="260" t="n"/>
      <c r="HG29" s="260" t="n"/>
      <c r="HH29" s="260" t="n"/>
      <c r="HI29" s="260" t="n"/>
      <c r="HJ29" s="260" t="n"/>
      <c r="HK29" s="260" t="n"/>
      <c r="HL29" s="260" t="n"/>
      <c r="HM29" s="260" t="n"/>
      <c r="HN29" s="260" t="n"/>
      <c r="HO29" s="260" t="n"/>
      <c r="HP29" s="260" t="n"/>
      <c r="HQ29" s="260" t="n"/>
      <c r="HR29" s="260" t="n"/>
      <c r="HS29" s="260" t="n"/>
      <c r="HT29" s="260" t="n"/>
      <c r="HU29" s="260" t="n"/>
      <c r="HV29" s="260" t="n"/>
      <c r="HW29" s="260" t="n"/>
      <c r="HX29" s="260" t="n"/>
      <c r="HY29" s="260" t="n"/>
      <c r="HZ29" s="260" t="n"/>
      <c r="IA29" s="260" t="n"/>
      <c r="IB29" s="260" t="n"/>
      <c r="IC29" s="260" t="n"/>
      <c r="ID29" s="260" t="n"/>
      <c r="IE29" s="260" t="n"/>
    </row>
    <row r="30" ht="17.4" customFormat="1" customHeight="1" s="288">
      <c r="A30" s="289" t="n"/>
      <c r="B30" s="290" t="n"/>
      <c r="C30" s="290" t="inlineStr">
        <is>
          <t>B10</t>
        </is>
      </c>
      <c r="D30" s="1397" t="n"/>
      <c r="E30" s="1397" t="n"/>
      <c r="F30" s="1656">
        <f>SUM(G30:R30)</f>
        <v/>
      </c>
      <c r="G30" s="1635" t="n">
        <v>0</v>
      </c>
      <c r="H30" s="1635" t="n">
        <v>0</v>
      </c>
      <c r="I30" s="1635" t="n">
        <v>0</v>
      </c>
      <c r="J30" s="1635" t="n">
        <v>0</v>
      </c>
      <c r="K30" s="1635" t="n">
        <v>0</v>
      </c>
      <c r="L30" s="1635" t="n">
        <v>0</v>
      </c>
      <c r="M30" s="1635" t="n">
        <v>0</v>
      </c>
      <c r="N30" s="1635" t="n">
        <v>0</v>
      </c>
      <c r="O30" s="1635" t="n">
        <v>0</v>
      </c>
      <c r="P30" s="1635" t="n">
        <v>0</v>
      </c>
      <c r="Q30" s="1657" t="n">
        <v>0</v>
      </c>
      <c r="R30" s="1635" t="n">
        <v>0</v>
      </c>
      <c r="S30" s="260" t="n"/>
      <c r="T30" s="260" t="n"/>
      <c r="U30" s="260" t="n"/>
      <c r="V30" s="260" t="n"/>
      <c r="W30" s="260" t="n"/>
      <c r="X30" s="260" t="n"/>
      <c r="Y30" s="260" t="n"/>
      <c r="Z30" s="260" t="n"/>
      <c r="AA30" s="260" t="n"/>
      <c r="AB30" s="260" t="n"/>
      <c r="AC30" s="260" t="n"/>
      <c r="AD30" s="260" t="n"/>
      <c r="AE30" s="260" t="n"/>
      <c r="AF30" s="260" t="n"/>
      <c r="AG30" s="260" t="n"/>
      <c r="AH30" s="260" t="n"/>
      <c r="AI30" s="260" t="n"/>
      <c r="AJ30" s="260" t="n"/>
      <c r="AK30" s="260" t="n"/>
      <c r="AL30" s="260" t="n"/>
      <c r="AM30" s="260" t="n"/>
      <c r="AN30" s="260" t="n"/>
      <c r="AO30" s="260" t="n"/>
      <c r="AP30" s="260" t="n"/>
      <c r="AQ30" s="260" t="n"/>
      <c r="AR30" s="260" t="n"/>
      <c r="AS30" s="260" t="n"/>
      <c r="AT30" s="260" t="n"/>
      <c r="AU30" s="260" t="n"/>
      <c r="AV30" s="260" t="n"/>
      <c r="AW30" s="260" t="n"/>
      <c r="AX30" s="260" t="n"/>
      <c r="AY30" s="260" t="n"/>
      <c r="AZ30" s="260" t="n"/>
      <c r="BA30" s="260" t="n"/>
      <c r="BB30" s="260" t="n"/>
      <c r="BC30" s="260" t="n"/>
      <c r="BD30" s="260" t="n"/>
      <c r="BE30" s="260" t="n"/>
      <c r="BF30" s="260" t="n"/>
      <c r="BG30" s="260" t="n"/>
      <c r="BH30" s="260" t="n"/>
      <c r="BI30" s="260" t="n"/>
      <c r="BJ30" s="260" t="n"/>
      <c r="BK30" s="260" t="n"/>
      <c r="BL30" s="260" t="n"/>
      <c r="BM30" s="260" t="n"/>
      <c r="BN30" s="260" t="n"/>
      <c r="BO30" s="260" t="n"/>
      <c r="BP30" s="260" t="n"/>
      <c r="BQ30" s="260" t="n"/>
      <c r="BR30" s="260" t="n"/>
      <c r="BS30" s="260" t="n"/>
      <c r="BT30" s="260" t="n"/>
      <c r="BU30" s="260" t="n"/>
      <c r="BV30" s="260" t="n"/>
      <c r="BW30" s="260" t="n"/>
      <c r="BX30" s="260" t="n"/>
      <c r="BY30" s="260" t="n"/>
      <c r="BZ30" s="260" t="n"/>
      <c r="CA30" s="260" t="n"/>
      <c r="CB30" s="260" t="n"/>
      <c r="CC30" s="260" t="n"/>
      <c r="CD30" s="260" t="n"/>
      <c r="CE30" s="260" t="n"/>
      <c r="CF30" s="260" t="n"/>
      <c r="CG30" s="260" t="n"/>
      <c r="CH30" s="260" t="n"/>
      <c r="CI30" s="260" t="n"/>
      <c r="CJ30" s="260" t="n"/>
      <c r="CK30" s="260" t="n"/>
      <c r="CL30" s="260" t="n"/>
      <c r="CM30" s="260" t="n"/>
      <c r="CN30" s="260" t="n"/>
      <c r="CO30" s="260" t="n"/>
      <c r="CP30" s="260" t="n"/>
      <c r="CQ30" s="260" t="n"/>
      <c r="CR30" s="260" t="n"/>
      <c r="CS30" s="260" t="n"/>
      <c r="CT30" s="260" t="n"/>
      <c r="CU30" s="260" t="n"/>
      <c r="CV30" s="260" t="n"/>
      <c r="CW30" s="260" t="n"/>
      <c r="CX30" s="260" t="n"/>
      <c r="CY30" s="260" t="n"/>
      <c r="CZ30" s="260" t="n"/>
      <c r="DA30" s="260" t="n"/>
      <c r="DB30" s="260" t="n"/>
      <c r="DC30" s="260" t="n"/>
      <c r="DD30" s="260" t="n"/>
      <c r="DE30" s="260" t="n"/>
      <c r="DF30" s="260" t="n"/>
      <c r="DG30" s="260" t="n"/>
      <c r="DH30" s="260" t="n"/>
      <c r="DI30" s="260" t="n"/>
      <c r="DJ30" s="260" t="n"/>
      <c r="DK30" s="260" t="n"/>
      <c r="DL30" s="260" t="n"/>
      <c r="DM30" s="260" t="n"/>
      <c r="DN30" s="260" t="n"/>
      <c r="DO30" s="260" t="n"/>
      <c r="DP30" s="260" t="n"/>
      <c r="DQ30" s="260" t="n"/>
      <c r="DR30" s="260" t="n"/>
      <c r="DS30" s="260" t="n"/>
      <c r="DT30" s="260" t="n"/>
      <c r="DU30" s="260" t="n"/>
      <c r="DV30" s="260" t="n"/>
      <c r="DW30" s="260" t="n"/>
      <c r="DX30" s="260" t="n"/>
      <c r="DY30" s="260" t="n"/>
      <c r="DZ30" s="260" t="n"/>
      <c r="EA30" s="260" t="n"/>
      <c r="EB30" s="260" t="n"/>
      <c r="EC30" s="260" t="n"/>
      <c r="ED30" s="260" t="n"/>
      <c r="EE30" s="260" t="n"/>
      <c r="EF30" s="260" t="n"/>
      <c r="EG30" s="260" t="n"/>
      <c r="EH30" s="260" t="n"/>
      <c r="EI30" s="260" t="n"/>
      <c r="EJ30" s="260" t="n"/>
      <c r="EK30" s="260" t="n"/>
      <c r="EL30" s="260" t="n"/>
      <c r="EM30" s="260" t="n"/>
      <c r="EN30" s="260" t="n"/>
      <c r="EO30" s="260" t="n"/>
      <c r="EP30" s="260" t="n"/>
      <c r="EQ30" s="260" t="n"/>
      <c r="ER30" s="260" t="n"/>
      <c r="ES30" s="260" t="n"/>
      <c r="ET30" s="260" t="n"/>
      <c r="EU30" s="260" t="n"/>
      <c r="EV30" s="260" t="n"/>
      <c r="EW30" s="260" t="n"/>
      <c r="EX30" s="260" t="n"/>
      <c r="EY30" s="260" t="n"/>
      <c r="EZ30" s="260" t="n"/>
      <c r="FA30" s="260" t="n"/>
      <c r="FB30" s="260" t="n"/>
      <c r="FC30" s="260" t="n"/>
      <c r="FD30" s="260" t="n"/>
      <c r="FE30" s="260" t="n"/>
      <c r="FF30" s="260" t="n"/>
      <c r="FG30" s="260" t="n"/>
      <c r="FH30" s="260" t="n"/>
      <c r="FI30" s="260" t="n"/>
      <c r="FJ30" s="260" t="n"/>
      <c r="FK30" s="260" t="n"/>
      <c r="FL30" s="260" t="n"/>
      <c r="FM30" s="260" t="n"/>
      <c r="FN30" s="260" t="n"/>
      <c r="FO30" s="260" t="n"/>
      <c r="FP30" s="260" t="n"/>
      <c r="FQ30" s="260" t="n"/>
      <c r="FR30" s="260" t="n"/>
      <c r="FS30" s="260" t="n"/>
      <c r="FT30" s="260" t="n"/>
      <c r="FU30" s="260" t="n"/>
      <c r="FV30" s="260" t="n"/>
      <c r="FW30" s="260" t="n"/>
      <c r="FX30" s="260" t="n"/>
      <c r="FY30" s="260" t="n"/>
      <c r="FZ30" s="260" t="n"/>
      <c r="GA30" s="260" t="n"/>
      <c r="GB30" s="260" t="n"/>
      <c r="GC30" s="260" t="n"/>
      <c r="GD30" s="260" t="n"/>
      <c r="GE30" s="260" t="n"/>
      <c r="GF30" s="260" t="n"/>
      <c r="GG30" s="260" t="n"/>
      <c r="GH30" s="260" t="n"/>
      <c r="GI30" s="260" t="n"/>
      <c r="GJ30" s="260" t="n"/>
      <c r="GK30" s="260" t="n"/>
      <c r="GL30" s="260" t="n"/>
      <c r="GM30" s="260" t="n"/>
      <c r="GN30" s="260" t="n"/>
      <c r="GO30" s="260" t="n"/>
      <c r="GP30" s="260" t="n"/>
      <c r="GQ30" s="260" t="n"/>
      <c r="GR30" s="260" t="n"/>
      <c r="GS30" s="260" t="n"/>
      <c r="GT30" s="260" t="n"/>
      <c r="GU30" s="260" t="n"/>
      <c r="GV30" s="260" t="n"/>
      <c r="GW30" s="260" t="n"/>
      <c r="GX30" s="260" t="n"/>
      <c r="GY30" s="260" t="n"/>
      <c r="GZ30" s="260" t="n"/>
      <c r="HA30" s="260" t="n"/>
      <c r="HB30" s="260" t="n"/>
      <c r="HC30" s="260" t="n"/>
      <c r="HD30" s="260" t="n"/>
      <c r="HE30" s="260" t="n"/>
      <c r="HF30" s="260" t="n"/>
      <c r="HG30" s="260" t="n"/>
      <c r="HH30" s="260" t="n"/>
      <c r="HI30" s="260" t="n"/>
      <c r="HJ30" s="260" t="n"/>
      <c r="HK30" s="260" t="n"/>
      <c r="HL30" s="260" t="n"/>
      <c r="HM30" s="260" t="n"/>
      <c r="HN30" s="260" t="n"/>
      <c r="HO30" s="260" t="n"/>
      <c r="HP30" s="260" t="n"/>
      <c r="HQ30" s="260" t="n"/>
      <c r="HR30" s="260" t="n"/>
      <c r="HS30" s="260" t="n"/>
      <c r="HT30" s="260" t="n"/>
      <c r="HU30" s="260" t="n"/>
      <c r="HV30" s="260" t="n"/>
      <c r="HW30" s="260" t="n"/>
      <c r="HX30" s="260" t="n"/>
      <c r="HY30" s="260" t="n"/>
      <c r="HZ30" s="260" t="n"/>
      <c r="IA30" s="260" t="n"/>
      <c r="IB30" s="260" t="n"/>
      <c r="IC30" s="260" t="n"/>
      <c r="ID30" s="260" t="n"/>
      <c r="IE30" s="260" t="n"/>
    </row>
    <row r="31" ht="17.4" customFormat="1" customHeight="1" s="288">
      <c r="A31" s="289" t="inlineStr">
        <is>
          <t xml:space="preserve">9. 1ฒณ-8874 กทม  </t>
        </is>
      </c>
      <c r="B31" s="290" t="inlineStr">
        <is>
          <t>BKK</t>
        </is>
      </c>
      <c r="C31" s="290" t="inlineStr">
        <is>
          <t>B7</t>
        </is>
      </c>
      <c r="D31" s="1397" t="inlineStr">
        <is>
          <t>ใบแจ้งหนี้ / Fleet Card Report</t>
        </is>
      </c>
      <c r="E31" s="1397" t="inlineStr">
        <is>
          <t xml:space="preserve"> L</t>
        </is>
      </c>
      <c r="F31" s="1656">
        <f>SUM(G31:R31)</f>
        <v/>
      </c>
      <c r="G31" s="1635" t="n">
        <v>0</v>
      </c>
      <c r="H31" s="1635" t="n">
        <v>42.91</v>
      </c>
      <c r="I31" s="1635" t="n">
        <v>51.36</v>
      </c>
      <c r="J31" s="1635" t="n">
        <v>0</v>
      </c>
      <c r="K31" s="1635" t="n">
        <v>0</v>
      </c>
      <c r="L31" s="1635" t="n">
        <v>0</v>
      </c>
      <c r="M31" s="1635" t="n">
        <v>0</v>
      </c>
      <c r="N31" s="1635" t="n">
        <v>0</v>
      </c>
      <c r="O31" s="1635" t="n">
        <v>0</v>
      </c>
      <c r="P31" s="1635" t="n">
        <v>0</v>
      </c>
      <c r="Q31" s="1657" t="n">
        <v>0</v>
      </c>
      <c r="R31" s="1635" t="n">
        <v>0</v>
      </c>
      <c r="S31" s="260" t="n"/>
      <c r="T31" s="260" t="n"/>
      <c r="U31" s="260" t="n"/>
      <c r="V31" s="260" t="n"/>
      <c r="W31" s="260" t="n"/>
      <c r="X31" s="260" t="n"/>
      <c r="Y31" s="260" t="n"/>
      <c r="Z31" s="260" t="n"/>
      <c r="AA31" s="260" t="n"/>
      <c r="AB31" s="260" t="n"/>
      <c r="AC31" s="260" t="n"/>
      <c r="AD31" s="260" t="n"/>
      <c r="AE31" s="260" t="n"/>
      <c r="AF31" s="260" t="n"/>
      <c r="AG31" s="260" t="n"/>
      <c r="AH31" s="260" t="n"/>
      <c r="AI31" s="260" t="n"/>
      <c r="AJ31" s="260" t="n"/>
      <c r="AK31" s="260" t="n"/>
      <c r="AL31" s="260" t="n"/>
      <c r="AM31" s="260" t="n"/>
      <c r="AN31" s="260" t="n"/>
      <c r="AO31" s="260" t="n"/>
      <c r="AP31" s="260" t="n"/>
      <c r="AQ31" s="260" t="n"/>
      <c r="AR31" s="260" t="n"/>
      <c r="AS31" s="260" t="n"/>
      <c r="AT31" s="260" t="n"/>
      <c r="AU31" s="260" t="n"/>
      <c r="AV31" s="260" t="n"/>
      <c r="AW31" s="260" t="n"/>
      <c r="AX31" s="260" t="n"/>
      <c r="AY31" s="260" t="n"/>
      <c r="AZ31" s="260" t="n"/>
      <c r="BA31" s="260" t="n"/>
      <c r="BB31" s="260" t="n"/>
      <c r="BC31" s="260" t="n"/>
      <c r="BD31" s="260" t="n"/>
      <c r="BE31" s="260" t="n"/>
      <c r="BF31" s="260" t="n"/>
      <c r="BG31" s="260" t="n"/>
      <c r="BH31" s="260" t="n"/>
      <c r="BI31" s="260" t="n"/>
      <c r="BJ31" s="260" t="n"/>
      <c r="BK31" s="260" t="n"/>
      <c r="BL31" s="260" t="n"/>
      <c r="BM31" s="260" t="n"/>
      <c r="BN31" s="260" t="n"/>
      <c r="BO31" s="260" t="n"/>
      <c r="BP31" s="260" t="n"/>
      <c r="BQ31" s="260" t="n"/>
      <c r="BR31" s="260" t="n"/>
      <c r="BS31" s="260" t="n"/>
      <c r="BT31" s="260" t="n"/>
      <c r="BU31" s="260" t="n"/>
      <c r="BV31" s="260" t="n"/>
      <c r="BW31" s="260" t="n"/>
      <c r="BX31" s="260" t="n"/>
      <c r="BY31" s="260" t="n"/>
      <c r="BZ31" s="260" t="n"/>
      <c r="CA31" s="260" t="n"/>
      <c r="CB31" s="260" t="n"/>
      <c r="CC31" s="260" t="n"/>
      <c r="CD31" s="260" t="n"/>
      <c r="CE31" s="260" t="n"/>
      <c r="CF31" s="260" t="n"/>
      <c r="CG31" s="260" t="n"/>
      <c r="CH31" s="260" t="n"/>
      <c r="CI31" s="260" t="n"/>
      <c r="CJ31" s="260" t="n"/>
      <c r="CK31" s="260" t="n"/>
      <c r="CL31" s="260" t="n"/>
      <c r="CM31" s="260" t="n"/>
      <c r="CN31" s="260" t="n"/>
      <c r="CO31" s="260" t="n"/>
      <c r="CP31" s="260" t="n"/>
      <c r="CQ31" s="260" t="n"/>
      <c r="CR31" s="260" t="n"/>
      <c r="CS31" s="260" t="n"/>
      <c r="CT31" s="260" t="n"/>
      <c r="CU31" s="260" t="n"/>
      <c r="CV31" s="260" t="n"/>
      <c r="CW31" s="260" t="n"/>
      <c r="CX31" s="260" t="n"/>
      <c r="CY31" s="260" t="n"/>
      <c r="CZ31" s="260" t="n"/>
      <c r="DA31" s="260" t="n"/>
      <c r="DB31" s="260" t="n"/>
      <c r="DC31" s="260" t="n"/>
      <c r="DD31" s="260" t="n"/>
      <c r="DE31" s="260" t="n"/>
      <c r="DF31" s="260" t="n"/>
      <c r="DG31" s="260" t="n"/>
      <c r="DH31" s="260" t="n"/>
      <c r="DI31" s="260" t="n"/>
      <c r="DJ31" s="260" t="n"/>
      <c r="DK31" s="260" t="n"/>
      <c r="DL31" s="260" t="n"/>
      <c r="DM31" s="260" t="n"/>
      <c r="DN31" s="260" t="n"/>
      <c r="DO31" s="260" t="n"/>
      <c r="DP31" s="260" t="n"/>
      <c r="DQ31" s="260" t="n"/>
      <c r="DR31" s="260" t="n"/>
      <c r="DS31" s="260" t="n"/>
      <c r="DT31" s="260" t="n"/>
      <c r="DU31" s="260" t="n"/>
      <c r="DV31" s="260" t="n"/>
      <c r="DW31" s="260" t="n"/>
      <c r="DX31" s="260" t="n"/>
      <c r="DY31" s="260" t="n"/>
      <c r="DZ31" s="260" t="n"/>
      <c r="EA31" s="260" t="n"/>
      <c r="EB31" s="260" t="n"/>
      <c r="EC31" s="260" t="n"/>
      <c r="ED31" s="260" t="n"/>
      <c r="EE31" s="260" t="n"/>
      <c r="EF31" s="260" t="n"/>
      <c r="EG31" s="260" t="n"/>
      <c r="EH31" s="260" t="n"/>
      <c r="EI31" s="260" t="n"/>
      <c r="EJ31" s="260" t="n"/>
      <c r="EK31" s="260" t="n"/>
      <c r="EL31" s="260" t="n"/>
      <c r="EM31" s="260" t="n"/>
      <c r="EN31" s="260" t="n"/>
      <c r="EO31" s="260" t="n"/>
      <c r="EP31" s="260" t="n"/>
      <c r="EQ31" s="260" t="n"/>
      <c r="ER31" s="260" t="n"/>
      <c r="ES31" s="260" t="n"/>
      <c r="ET31" s="260" t="n"/>
      <c r="EU31" s="260" t="n"/>
      <c r="EV31" s="260" t="n"/>
      <c r="EW31" s="260" t="n"/>
      <c r="EX31" s="260" t="n"/>
      <c r="EY31" s="260" t="n"/>
      <c r="EZ31" s="260" t="n"/>
      <c r="FA31" s="260" t="n"/>
      <c r="FB31" s="260" t="n"/>
      <c r="FC31" s="260" t="n"/>
      <c r="FD31" s="260" t="n"/>
      <c r="FE31" s="260" t="n"/>
      <c r="FF31" s="260" t="n"/>
      <c r="FG31" s="260" t="n"/>
      <c r="FH31" s="260" t="n"/>
      <c r="FI31" s="260" t="n"/>
      <c r="FJ31" s="260" t="n"/>
      <c r="FK31" s="260" t="n"/>
      <c r="FL31" s="260" t="n"/>
      <c r="FM31" s="260" t="n"/>
      <c r="FN31" s="260" t="n"/>
      <c r="FO31" s="260" t="n"/>
      <c r="FP31" s="260" t="n"/>
      <c r="FQ31" s="260" t="n"/>
      <c r="FR31" s="260" t="n"/>
      <c r="FS31" s="260" t="n"/>
      <c r="FT31" s="260" t="n"/>
      <c r="FU31" s="260" t="n"/>
      <c r="FV31" s="260" t="n"/>
      <c r="FW31" s="260" t="n"/>
      <c r="FX31" s="260" t="n"/>
      <c r="FY31" s="260" t="n"/>
      <c r="FZ31" s="260" t="n"/>
      <c r="GA31" s="260" t="n"/>
      <c r="GB31" s="260" t="n"/>
      <c r="GC31" s="260" t="n"/>
      <c r="GD31" s="260" t="n"/>
      <c r="GE31" s="260" t="n"/>
      <c r="GF31" s="260" t="n"/>
      <c r="GG31" s="260" t="n"/>
      <c r="GH31" s="260" t="n"/>
      <c r="GI31" s="260" t="n"/>
      <c r="GJ31" s="260" t="n"/>
      <c r="GK31" s="260" t="n"/>
      <c r="GL31" s="260" t="n"/>
      <c r="GM31" s="260" t="n"/>
      <c r="GN31" s="260" t="n"/>
      <c r="GO31" s="260" t="n"/>
      <c r="GP31" s="260" t="n"/>
      <c r="GQ31" s="260" t="n"/>
      <c r="GR31" s="260" t="n"/>
      <c r="GS31" s="260" t="n"/>
      <c r="GT31" s="260" t="n"/>
      <c r="GU31" s="260" t="n"/>
      <c r="GV31" s="260" t="n"/>
      <c r="GW31" s="260" t="n"/>
      <c r="GX31" s="260" t="n"/>
      <c r="GY31" s="260" t="n"/>
      <c r="GZ31" s="260" t="n"/>
      <c r="HA31" s="260" t="n"/>
      <c r="HB31" s="260" t="n"/>
      <c r="HC31" s="260" t="n"/>
      <c r="HD31" s="260" t="n"/>
      <c r="HE31" s="260" t="n"/>
      <c r="HF31" s="260" t="n"/>
      <c r="HG31" s="260" t="n"/>
      <c r="HH31" s="260" t="n"/>
      <c r="HI31" s="260" t="n"/>
      <c r="HJ31" s="260" t="n"/>
      <c r="HK31" s="260" t="n"/>
      <c r="HL31" s="260" t="n"/>
      <c r="HM31" s="260" t="n"/>
      <c r="HN31" s="260" t="n"/>
      <c r="HO31" s="260" t="n"/>
      <c r="HP31" s="260" t="n"/>
      <c r="HQ31" s="260" t="n"/>
      <c r="HR31" s="260" t="n"/>
      <c r="HS31" s="260" t="n"/>
      <c r="HT31" s="260" t="n"/>
      <c r="HU31" s="260" t="n"/>
      <c r="HV31" s="260" t="n"/>
      <c r="HW31" s="260" t="n"/>
      <c r="HX31" s="260" t="n"/>
      <c r="HY31" s="260" t="n"/>
      <c r="HZ31" s="260" t="n"/>
      <c r="IA31" s="260" t="n"/>
      <c r="IB31" s="260" t="n"/>
      <c r="IC31" s="260" t="n"/>
      <c r="ID31" s="260" t="n"/>
      <c r="IE31" s="260" t="n"/>
    </row>
    <row r="32" ht="17.4" customFormat="1" customHeight="1" s="288">
      <c r="A32" s="289" t="n"/>
      <c r="B32" s="290" t="n"/>
      <c r="C32" s="290" t="inlineStr">
        <is>
          <t>B10</t>
        </is>
      </c>
      <c r="D32" s="1397" t="n"/>
      <c r="E32" s="1397" t="n"/>
      <c r="F32" s="1656">
        <f>SUM(G32:R32)</f>
        <v/>
      </c>
      <c r="G32" s="1635" t="n">
        <v>0</v>
      </c>
      <c r="H32" s="1635" t="n">
        <v>0</v>
      </c>
      <c r="I32" s="1635" t="n">
        <v>0</v>
      </c>
      <c r="J32" s="1635" t="n"/>
      <c r="K32" s="1635" t="n">
        <v>0</v>
      </c>
      <c r="L32" s="1635" t="n">
        <v>0</v>
      </c>
      <c r="M32" s="1635" t="n">
        <v>0</v>
      </c>
      <c r="N32" s="1635" t="n">
        <v>0</v>
      </c>
      <c r="O32" s="1635" t="n">
        <v>0</v>
      </c>
      <c r="P32" s="1635" t="n">
        <v>0</v>
      </c>
      <c r="Q32" s="1657" t="n">
        <v>0</v>
      </c>
      <c r="R32" s="1635" t="n">
        <v>0</v>
      </c>
      <c r="S32" s="260" t="n"/>
      <c r="T32" s="260" t="n"/>
      <c r="U32" s="260" t="n"/>
      <c r="V32" s="260" t="n"/>
      <c r="W32" s="260" t="n"/>
      <c r="X32" s="260" t="n"/>
      <c r="Y32" s="260" t="n"/>
      <c r="Z32" s="260" t="n"/>
      <c r="AA32" s="260" t="n"/>
      <c r="AB32" s="260" t="n"/>
      <c r="AC32" s="260" t="n"/>
      <c r="AD32" s="260" t="n"/>
      <c r="AE32" s="260" t="n"/>
      <c r="AF32" s="260" t="n"/>
      <c r="AG32" s="260" t="n"/>
      <c r="AH32" s="260" t="n"/>
      <c r="AI32" s="260" t="n"/>
      <c r="AJ32" s="260" t="n"/>
      <c r="AK32" s="260" t="n"/>
      <c r="AL32" s="260" t="n"/>
      <c r="AM32" s="260" t="n"/>
      <c r="AN32" s="260" t="n"/>
      <c r="AO32" s="260" t="n"/>
      <c r="AP32" s="260" t="n"/>
      <c r="AQ32" s="260" t="n"/>
      <c r="AR32" s="260" t="n"/>
      <c r="AS32" s="260" t="n"/>
      <c r="AT32" s="260" t="n"/>
      <c r="AU32" s="260" t="n"/>
      <c r="AV32" s="260" t="n"/>
      <c r="AW32" s="260" t="n"/>
      <c r="AX32" s="260" t="n"/>
      <c r="AY32" s="260" t="n"/>
      <c r="AZ32" s="260" t="n"/>
      <c r="BA32" s="260" t="n"/>
      <c r="BB32" s="260" t="n"/>
      <c r="BC32" s="260" t="n"/>
      <c r="BD32" s="260" t="n"/>
      <c r="BE32" s="260" t="n"/>
      <c r="BF32" s="260" t="n"/>
      <c r="BG32" s="260" t="n"/>
      <c r="BH32" s="260" t="n"/>
      <c r="BI32" s="260" t="n"/>
      <c r="BJ32" s="260" t="n"/>
      <c r="BK32" s="260" t="n"/>
      <c r="BL32" s="260" t="n"/>
      <c r="BM32" s="260" t="n"/>
      <c r="BN32" s="260" t="n"/>
      <c r="BO32" s="260" t="n"/>
      <c r="BP32" s="260" t="n"/>
      <c r="BQ32" s="260" t="n"/>
      <c r="BR32" s="260" t="n"/>
      <c r="BS32" s="260" t="n"/>
      <c r="BT32" s="260" t="n"/>
      <c r="BU32" s="260" t="n"/>
      <c r="BV32" s="260" t="n"/>
      <c r="BW32" s="260" t="n"/>
      <c r="BX32" s="260" t="n"/>
      <c r="BY32" s="260" t="n"/>
      <c r="BZ32" s="260" t="n"/>
      <c r="CA32" s="260" t="n"/>
      <c r="CB32" s="260" t="n"/>
      <c r="CC32" s="260" t="n"/>
      <c r="CD32" s="260" t="n"/>
      <c r="CE32" s="260" t="n"/>
      <c r="CF32" s="260" t="n"/>
      <c r="CG32" s="260" t="n"/>
      <c r="CH32" s="260" t="n"/>
      <c r="CI32" s="260" t="n"/>
      <c r="CJ32" s="260" t="n"/>
      <c r="CK32" s="260" t="n"/>
      <c r="CL32" s="260" t="n"/>
      <c r="CM32" s="260" t="n"/>
      <c r="CN32" s="260" t="n"/>
      <c r="CO32" s="260" t="n"/>
      <c r="CP32" s="260" t="n"/>
      <c r="CQ32" s="260" t="n"/>
      <c r="CR32" s="260" t="n"/>
      <c r="CS32" s="260" t="n"/>
      <c r="CT32" s="260" t="n"/>
      <c r="CU32" s="260" t="n"/>
      <c r="CV32" s="260" t="n"/>
      <c r="CW32" s="260" t="n"/>
      <c r="CX32" s="260" t="n"/>
      <c r="CY32" s="260" t="n"/>
      <c r="CZ32" s="260" t="n"/>
      <c r="DA32" s="260" t="n"/>
      <c r="DB32" s="260" t="n"/>
      <c r="DC32" s="260" t="n"/>
      <c r="DD32" s="260" t="n"/>
      <c r="DE32" s="260" t="n"/>
      <c r="DF32" s="260" t="n"/>
      <c r="DG32" s="260" t="n"/>
      <c r="DH32" s="260" t="n"/>
      <c r="DI32" s="260" t="n"/>
      <c r="DJ32" s="260" t="n"/>
      <c r="DK32" s="260" t="n"/>
      <c r="DL32" s="260" t="n"/>
      <c r="DM32" s="260" t="n"/>
      <c r="DN32" s="260" t="n"/>
      <c r="DO32" s="260" t="n"/>
      <c r="DP32" s="260" t="n"/>
      <c r="DQ32" s="260" t="n"/>
      <c r="DR32" s="260" t="n"/>
      <c r="DS32" s="260" t="n"/>
      <c r="DT32" s="260" t="n"/>
      <c r="DU32" s="260" t="n"/>
      <c r="DV32" s="260" t="n"/>
      <c r="DW32" s="260" t="n"/>
      <c r="DX32" s="260" t="n"/>
      <c r="DY32" s="260" t="n"/>
      <c r="DZ32" s="260" t="n"/>
      <c r="EA32" s="260" t="n"/>
      <c r="EB32" s="260" t="n"/>
      <c r="EC32" s="260" t="n"/>
      <c r="ED32" s="260" t="n"/>
      <c r="EE32" s="260" t="n"/>
      <c r="EF32" s="260" t="n"/>
      <c r="EG32" s="260" t="n"/>
      <c r="EH32" s="260" t="n"/>
      <c r="EI32" s="260" t="n"/>
      <c r="EJ32" s="260" t="n"/>
      <c r="EK32" s="260" t="n"/>
      <c r="EL32" s="260" t="n"/>
      <c r="EM32" s="260" t="n"/>
      <c r="EN32" s="260" t="n"/>
      <c r="EO32" s="260" t="n"/>
      <c r="EP32" s="260" t="n"/>
      <c r="EQ32" s="260" t="n"/>
      <c r="ER32" s="260" t="n"/>
      <c r="ES32" s="260" t="n"/>
      <c r="ET32" s="260" t="n"/>
      <c r="EU32" s="260" t="n"/>
      <c r="EV32" s="260" t="n"/>
      <c r="EW32" s="260" t="n"/>
      <c r="EX32" s="260" t="n"/>
      <c r="EY32" s="260" t="n"/>
      <c r="EZ32" s="260" t="n"/>
      <c r="FA32" s="260" t="n"/>
      <c r="FB32" s="260" t="n"/>
      <c r="FC32" s="260" t="n"/>
      <c r="FD32" s="260" t="n"/>
      <c r="FE32" s="260" t="n"/>
      <c r="FF32" s="260" t="n"/>
      <c r="FG32" s="260" t="n"/>
      <c r="FH32" s="260" t="n"/>
      <c r="FI32" s="260" t="n"/>
      <c r="FJ32" s="260" t="n"/>
      <c r="FK32" s="260" t="n"/>
      <c r="FL32" s="260" t="n"/>
      <c r="FM32" s="260" t="n"/>
      <c r="FN32" s="260" t="n"/>
      <c r="FO32" s="260" t="n"/>
      <c r="FP32" s="260" t="n"/>
      <c r="FQ32" s="260" t="n"/>
      <c r="FR32" s="260" t="n"/>
      <c r="FS32" s="260" t="n"/>
      <c r="FT32" s="260" t="n"/>
      <c r="FU32" s="260" t="n"/>
      <c r="FV32" s="260" t="n"/>
      <c r="FW32" s="260" t="n"/>
      <c r="FX32" s="260" t="n"/>
      <c r="FY32" s="260" t="n"/>
      <c r="FZ32" s="260" t="n"/>
      <c r="GA32" s="260" t="n"/>
      <c r="GB32" s="260" t="n"/>
      <c r="GC32" s="260" t="n"/>
      <c r="GD32" s="260" t="n"/>
      <c r="GE32" s="260" t="n"/>
      <c r="GF32" s="260" t="n"/>
      <c r="GG32" s="260" t="n"/>
      <c r="GH32" s="260" t="n"/>
      <c r="GI32" s="260" t="n"/>
      <c r="GJ32" s="260" t="n"/>
      <c r="GK32" s="260" t="n"/>
      <c r="GL32" s="260" t="n"/>
      <c r="GM32" s="260" t="n"/>
      <c r="GN32" s="260" t="n"/>
      <c r="GO32" s="260" t="n"/>
      <c r="GP32" s="260" t="n"/>
      <c r="GQ32" s="260" t="n"/>
      <c r="GR32" s="260" t="n"/>
      <c r="GS32" s="260" t="n"/>
      <c r="GT32" s="260" t="n"/>
      <c r="GU32" s="260" t="n"/>
      <c r="GV32" s="260" t="n"/>
      <c r="GW32" s="260" t="n"/>
      <c r="GX32" s="260" t="n"/>
      <c r="GY32" s="260" t="n"/>
      <c r="GZ32" s="260" t="n"/>
      <c r="HA32" s="260" t="n"/>
      <c r="HB32" s="260" t="n"/>
      <c r="HC32" s="260" t="n"/>
      <c r="HD32" s="260" t="n"/>
      <c r="HE32" s="260" t="n"/>
      <c r="HF32" s="260" t="n"/>
      <c r="HG32" s="260" t="n"/>
      <c r="HH32" s="260" t="n"/>
      <c r="HI32" s="260" t="n"/>
      <c r="HJ32" s="260" t="n"/>
      <c r="HK32" s="260" t="n"/>
      <c r="HL32" s="260" t="n"/>
      <c r="HM32" s="260" t="n"/>
      <c r="HN32" s="260" t="n"/>
      <c r="HO32" s="260" t="n"/>
      <c r="HP32" s="260" t="n"/>
      <c r="HQ32" s="260" t="n"/>
      <c r="HR32" s="260" t="n"/>
      <c r="HS32" s="260" t="n"/>
      <c r="HT32" s="260" t="n"/>
      <c r="HU32" s="260" t="n"/>
      <c r="HV32" s="260" t="n"/>
      <c r="HW32" s="260" t="n"/>
      <c r="HX32" s="260" t="n"/>
      <c r="HY32" s="260" t="n"/>
      <c r="HZ32" s="260" t="n"/>
      <c r="IA32" s="260" t="n"/>
      <c r="IB32" s="260" t="n"/>
      <c r="IC32" s="260" t="n"/>
      <c r="ID32" s="260" t="n"/>
      <c r="IE32" s="260" t="n"/>
    </row>
    <row r="33" ht="17.4" customFormat="1" customHeight="1" s="288">
      <c r="A33" s="796" t="inlineStr">
        <is>
          <t>10. ฮฐ 7884 กทม</t>
        </is>
      </c>
      <c r="B33" s="797" t="inlineStr">
        <is>
          <t>BKK</t>
        </is>
      </c>
      <c r="C33" s="797" t="inlineStr">
        <is>
          <t>B7</t>
        </is>
      </c>
      <c r="D33" s="798" t="inlineStr">
        <is>
          <t>ใบกำกับภาษี / ใบเสร็จรับเงิน</t>
        </is>
      </c>
      <c r="E33" s="798" t="inlineStr">
        <is>
          <t xml:space="preserve"> L</t>
        </is>
      </c>
      <c r="F33" s="1656">
        <f>SUM(G33:R33)</f>
        <v/>
      </c>
      <c r="G33" s="1658" t="n">
        <v>14.302</v>
      </c>
      <c r="H33" s="1658" t="n">
        <v>0</v>
      </c>
      <c r="I33" s="1658" t="n">
        <v>0</v>
      </c>
      <c r="J33" s="1658" t="n">
        <v>0</v>
      </c>
      <c r="K33" s="1658" t="n">
        <v>0</v>
      </c>
      <c r="L33" s="1658" t="n">
        <v>0</v>
      </c>
      <c r="M33" s="1658" t="n">
        <v>0</v>
      </c>
      <c r="N33" s="1658" t="n">
        <v>0</v>
      </c>
      <c r="O33" s="1658" t="n">
        <v>0</v>
      </c>
      <c r="P33" s="1658" t="n">
        <v>0</v>
      </c>
      <c r="Q33" s="1658" t="n">
        <v>0</v>
      </c>
      <c r="R33" s="1658" t="n">
        <v>0</v>
      </c>
      <c r="S33" s="260" t="n"/>
      <c r="T33" s="260" t="n"/>
      <c r="U33" s="260" t="n"/>
      <c r="V33" s="260" t="n"/>
      <c r="W33" s="260" t="n"/>
      <c r="X33" s="260" t="n"/>
      <c r="Y33" s="260" t="n"/>
      <c r="Z33" s="260" t="n"/>
      <c r="AA33" s="260" t="n"/>
      <c r="AB33" s="260" t="n"/>
      <c r="AC33" s="260" t="n"/>
      <c r="AD33" s="260" t="n"/>
      <c r="AE33" s="260" t="n"/>
      <c r="AF33" s="260" t="n"/>
      <c r="AG33" s="260" t="n"/>
      <c r="AH33" s="260" t="n"/>
      <c r="AI33" s="260" t="n"/>
      <c r="AJ33" s="260" t="n"/>
      <c r="AK33" s="260" t="n"/>
      <c r="AL33" s="260" t="n"/>
      <c r="AM33" s="260" t="n"/>
      <c r="AN33" s="260" t="n"/>
      <c r="AO33" s="260" t="n"/>
      <c r="AP33" s="260" t="n"/>
      <c r="AQ33" s="260" t="n"/>
      <c r="AR33" s="260" t="n"/>
      <c r="AS33" s="260" t="n"/>
      <c r="AT33" s="260" t="n"/>
      <c r="AU33" s="260" t="n"/>
      <c r="AV33" s="260" t="n"/>
      <c r="AW33" s="260" t="n"/>
      <c r="AX33" s="260" t="n"/>
      <c r="AY33" s="260" t="n"/>
      <c r="AZ33" s="260" t="n"/>
      <c r="BA33" s="260" t="n"/>
      <c r="BB33" s="260" t="n"/>
      <c r="BC33" s="260" t="n"/>
      <c r="BD33" s="260" t="n"/>
      <c r="BE33" s="260" t="n"/>
      <c r="BF33" s="260" t="n"/>
      <c r="BG33" s="260" t="n"/>
      <c r="BH33" s="260" t="n"/>
      <c r="BI33" s="260" t="n"/>
      <c r="BJ33" s="260" t="n"/>
      <c r="BK33" s="260" t="n"/>
      <c r="BL33" s="260" t="n"/>
      <c r="BM33" s="260" t="n"/>
      <c r="BN33" s="260" t="n"/>
      <c r="BO33" s="260" t="n"/>
      <c r="BP33" s="260" t="n"/>
      <c r="BQ33" s="260" t="n"/>
      <c r="BR33" s="260" t="n"/>
      <c r="BS33" s="260" t="n"/>
      <c r="BT33" s="260" t="n"/>
      <c r="BU33" s="260" t="n"/>
      <c r="BV33" s="260" t="n"/>
      <c r="BW33" s="260" t="n"/>
      <c r="BX33" s="260" t="n"/>
      <c r="BY33" s="260" t="n"/>
      <c r="BZ33" s="260" t="n"/>
      <c r="CA33" s="260" t="n"/>
      <c r="CB33" s="260" t="n"/>
      <c r="CC33" s="260" t="n"/>
      <c r="CD33" s="260" t="n"/>
      <c r="CE33" s="260" t="n"/>
      <c r="CF33" s="260" t="n"/>
      <c r="CG33" s="260" t="n"/>
      <c r="CH33" s="260" t="n"/>
      <c r="CI33" s="260" t="n"/>
      <c r="CJ33" s="260" t="n"/>
      <c r="CK33" s="260" t="n"/>
      <c r="CL33" s="260" t="n"/>
      <c r="CM33" s="260" t="n"/>
      <c r="CN33" s="260" t="n"/>
      <c r="CO33" s="260" t="n"/>
      <c r="CP33" s="260" t="n"/>
      <c r="CQ33" s="260" t="n"/>
      <c r="CR33" s="260" t="n"/>
      <c r="CS33" s="260" t="n"/>
      <c r="CT33" s="260" t="n"/>
      <c r="CU33" s="260" t="n"/>
      <c r="CV33" s="260" t="n"/>
      <c r="CW33" s="260" t="n"/>
      <c r="CX33" s="260" t="n"/>
      <c r="CY33" s="260" t="n"/>
      <c r="CZ33" s="260" t="n"/>
      <c r="DA33" s="260" t="n"/>
      <c r="DB33" s="260" t="n"/>
      <c r="DC33" s="260" t="n"/>
      <c r="DD33" s="260" t="n"/>
      <c r="DE33" s="260" t="n"/>
      <c r="DF33" s="260" t="n"/>
      <c r="DG33" s="260" t="n"/>
      <c r="DH33" s="260" t="n"/>
      <c r="DI33" s="260" t="n"/>
      <c r="DJ33" s="260" t="n"/>
      <c r="DK33" s="260" t="n"/>
      <c r="DL33" s="260" t="n"/>
      <c r="DM33" s="260" t="n"/>
      <c r="DN33" s="260" t="n"/>
      <c r="DO33" s="260" t="n"/>
      <c r="DP33" s="260" t="n"/>
      <c r="DQ33" s="260" t="n"/>
      <c r="DR33" s="260" t="n"/>
      <c r="DS33" s="260" t="n"/>
      <c r="DT33" s="260" t="n"/>
      <c r="DU33" s="260" t="n"/>
      <c r="DV33" s="260" t="n"/>
      <c r="DW33" s="260" t="n"/>
      <c r="DX33" s="260" t="n"/>
      <c r="DY33" s="260" t="n"/>
      <c r="DZ33" s="260" t="n"/>
      <c r="EA33" s="260" t="n"/>
      <c r="EB33" s="260" t="n"/>
      <c r="EC33" s="260" t="n"/>
      <c r="ED33" s="260" t="n"/>
      <c r="EE33" s="260" t="n"/>
      <c r="EF33" s="260" t="n"/>
      <c r="EG33" s="260" t="n"/>
      <c r="EH33" s="260" t="n"/>
      <c r="EI33" s="260" t="n"/>
      <c r="EJ33" s="260" t="n"/>
      <c r="EK33" s="260" t="n"/>
      <c r="EL33" s="260" t="n"/>
      <c r="EM33" s="260" t="n"/>
      <c r="EN33" s="260" t="n"/>
      <c r="EO33" s="260" t="n"/>
      <c r="EP33" s="260" t="n"/>
      <c r="EQ33" s="260" t="n"/>
      <c r="ER33" s="260" t="n"/>
      <c r="ES33" s="260" t="n"/>
      <c r="ET33" s="260" t="n"/>
      <c r="EU33" s="260" t="n"/>
      <c r="EV33" s="260" t="n"/>
      <c r="EW33" s="260" t="n"/>
      <c r="EX33" s="260" t="n"/>
      <c r="EY33" s="260" t="n"/>
      <c r="EZ33" s="260" t="n"/>
      <c r="FA33" s="260" t="n"/>
      <c r="FB33" s="260" t="n"/>
      <c r="FC33" s="260" t="n"/>
      <c r="FD33" s="260" t="n"/>
      <c r="FE33" s="260" t="n"/>
      <c r="FF33" s="260" t="n"/>
      <c r="FG33" s="260" t="n"/>
      <c r="FH33" s="260" t="n"/>
      <c r="FI33" s="260" t="n"/>
      <c r="FJ33" s="260" t="n"/>
      <c r="FK33" s="260" t="n"/>
      <c r="FL33" s="260" t="n"/>
      <c r="FM33" s="260" t="n"/>
      <c r="FN33" s="260" t="n"/>
      <c r="FO33" s="260" t="n"/>
      <c r="FP33" s="260" t="n"/>
      <c r="FQ33" s="260" t="n"/>
      <c r="FR33" s="260" t="n"/>
      <c r="FS33" s="260" t="n"/>
      <c r="FT33" s="260" t="n"/>
      <c r="FU33" s="260" t="n"/>
      <c r="FV33" s="260" t="n"/>
      <c r="FW33" s="260" t="n"/>
      <c r="FX33" s="260" t="n"/>
      <c r="FY33" s="260" t="n"/>
      <c r="FZ33" s="260" t="n"/>
      <c r="GA33" s="260" t="n"/>
      <c r="GB33" s="260" t="n"/>
      <c r="GC33" s="260" t="n"/>
      <c r="GD33" s="260" t="n"/>
      <c r="GE33" s="260" t="n"/>
      <c r="GF33" s="260" t="n"/>
      <c r="GG33" s="260" t="n"/>
      <c r="GH33" s="260" t="n"/>
      <c r="GI33" s="260" t="n"/>
      <c r="GJ33" s="260" t="n"/>
      <c r="GK33" s="260" t="n"/>
      <c r="GL33" s="260" t="n"/>
      <c r="GM33" s="260" t="n"/>
      <c r="GN33" s="260" t="n"/>
      <c r="GO33" s="260" t="n"/>
      <c r="GP33" s="260" t="n"/>
      <c r="GQ33" s="260" t="n"/>
      <c r="GR33" s="260" t="n"/>
      <c r="GS33" s="260" t="n"/>
      <c r="GT33" s="260" t="n"/>
      <c r="GU33" s="260" t="n"/>
      <c r="GV33" s="260" t="n"/>
      <c r="GW33" s="260" t="n"/>
      <c r="GX33" s="260" t="n"/>
      <c r="GY33" s="260" t="n"/>
      <c r="GZ33" s="260" t="n"/>
      <c r="HA33" s="260" t="n"/>
      <c r="HB33" s="260" t="n"/>
      <c r="HC33" s="260" t="n"/>
      <c r="HD33" s="260" t="n"/>
      <c r="HE33" s="260" t="n"/>
      <c r="HF33" s="260" t="n"/>
      <c r="HG33" s="260" t="n"/>
      <c r="HH33" s="260" t="n"/>
      <c r="HI33" s="260" t="n"/>
      <c r="HJ33" s="260" t="n"/>
      <c r="HK33" s="260" t="n"/>
      <c r="HL33" s="260" t="n"/>
      <c r="HM33" s="260" t="n"/>
      <c r="HN33" s="260" t="n"/>
      <c r="HO33" s="260" t="n"/>
      <c r="HP33" s="260" t="n"/>
      <c r="HQ33" s="260" t="n"/>
      <c r="HR33" s="260" t="n"/>
      <c r="HS33" s="260" t="n"/>
      <c r="HT33" s="260" t="n"/>
      <c r="HU33" s="260" t="n"/>
      <c r="HV33" s="260" t="n"/>
      <c r="HW33" s="260" t="n"/>
      <c r="HX33" s="260" t="n"/>
      <c r="HY33" s="260" t="n"/>
      <c r="HZ33" s="260" t="n"/>
      <c r="IA33" s="260" t="n"/>
      <c r="IB33" s="260" t="n"/>
      <c r="IC33" s="260" t="n"/>
      <c r="ID33" s="260" t="n"/>
      <c r="IE33" s="260" t="n"/>
    </row>
    <row r="34" ht="17.4" customFormat="1" customHeight="1" s="288">
      <c r="A34" s="796" t="n"/>
      <c r="B34" s="797" t="n"/>
      <c r="C34" s="797" t="inlineStr">
        <is>
          <t>B10</t>
        </is>
      </c>
      <c r="D34" s="798" t="n"/>
      <c r="E34" s="798" t="n"/>
      <c r="F34" s="1656">
        <f>SUM(G34:R34)</f>
        <v/>
      </c>
      <c r="G34" s="1658" t="n">
        <v>0</v>
      </c>
      <c r="H34" s="1658" t="n">
        <v>0</v>
      </c>
      <c r="I34" s="1658" t="n">
        <v>0</v>
      </c>
      <c r="J34" s="1658" t="n"/>
      <c r="K34" s="1658" t="n">
        <v>0</v>
      </c>
      <c r="L34" s="1658" t="n">
        <v>0</v>
      </c>
      <c r="M34" s="1658" t="n">
        <v>0</v>
      </c>
      <c r="N34" s="1658" t="n">
        <v>0</v>
      </c>
      <c r="O34" s="1658" t="n">
        <v>0</v>
      </c>
      <c r="P34" s="1658" t="n">
        <v>0</v>
      </c>
      <c r="Q34" s="1659" t="n">
        <v>0</v>
      </c>
      <c r="R34" s="1658" t="n">
        <v>0</v>
      </c>
      <c r="S34" s="260" t="n"/>
      <c r="T34" s="260" t="n"/>
      <c r="U34" s="260" t="n"/>
      <c r="V34" s="260" t="n"/>
      <c r="W34" s="260" t="n"/>
      <c r="X34" s="260" t="n"/>
      <c r="Y34" s="260" t="n"/>
      <c r="Z34" s="260" t="n"/>
      <c r="AA34" s="260" t="n"/>
      <c r="AB34" s="260" t="n"/>
      <c r="AC34" s="260" t="n"/>
      <c r="AD34" s="260" t="n"/>
      <c r="AE34" s="260" t="n"/>
      <c r="AF34" s="260" t="n"/>
      <c r="AG34" s="260" t="n"/>
      <c r="AH34" s="260" t="n"/>
      <c r="AI34" s="260" t="n"/>
      <c r="AJ34" s="260" t="n"/>
      <c r="AK34" s="260" t="n"/>
      <c r="AL34" s="260" t="n"/>
      <c r="AM34" s="260" t="n"/>
      <c r="AN34" s="260" t="n"/>
      <c r="AO34" s="260" t="n"/>
      <c r="AP34" s="260" t="n"/>
      <c r="AQ34" s="260" t="n"/>
      <c r="AR34" s="260" t="n"/>
      <c r="AS34" s="260" t="n"/>
      <c r="AT34" s="260" t="n"/>
      <c r="AU34" s="260" t="n"/>
      <c r="AV34" s="260" t="n"/>
      <c r="AW34" s="260" t="n"/>
      <c r="AX34" s="260" t="n"/>
      <c r="AY34" s="260" t="n"/>
      <c r="AZ34" s="260" t="n"/>
      <c r="BA34" s="260" t="n"/>
      <c r="BB34" s="260" t="n"/>
      <c r="BC34" s="260" t="n"/>
      <c r="BD34" s="260" t="n"/>
      <c r="BE34" s="260" t="n"/>
      <c r="BF34" s="260" t="n"/>
      <c r="BG34" s="260" t="n"/>
      <c r="BH34" s="260" t="n"/>
      <c r="BI34" s="260" t="n"/>
      <c r="BJ34" s="260" t="n"/>
      <c r="BK34" s="260" t="n"/>
      <c r="BL34" s="260" t="n"/>
      <c r="BM34" s="260" t="n"/>
      <c r="BN34" s="260" t="n"/>
      <c r="BO34" s="260" t="n"/>
      <c r="BP34" s="260" t="n"/>
      <c r="BQ34" s="260" t="n"/>
      <c r="BR34" s="260" t="n"/>
      <c r="BS34" s="260" t="n"/>
      <c r="BT34" s="260" t="n"/>
      <c r="BU34" s="260" t="n"/>
      <c r="BV34" s="260" t="n"/>
      <c r="BW34" s="260" t="n"/>
      <c r="BX34" s="260" t="n"/>
      <c r="BY34" s="260" t="n"/>
      <c r="BZ34" s="260" t="n"/>
      <c r="CA34" s="260" t="n"/>
      <c r="CB34" s="260" t="n"/>
      <c r="CC34" s="260" t="n"/>
      <c r="CD34" s="260" t="n"/>
      <c r="CE34" s="260" t="n"/>
      <c r="CF34" s="260" t="n"/>
      <c r="CG34" s="260" t="n"/>
      <c r="CH34" s="260" t="n"/>
      <c r="CI34" s="260" t="n"/>
      <c r="CJ34" s="260" t="n"/>
      <c r="CK34" s="260" t="n"/>
      <c r="CL34" s="260" t="n"/>
      <c r="CM34" s="260" t="n"/>
      <c r="CN34" s="260" t="n"/>
      <c r="CO34" s="260" t="n"/>
      <c r="CP34" s="260" t="n"/>
      <c r="CQ34" s="260" t="n"/>
      <c r="CR34" s="260" t="n"/>
      <c r="CS34" s="260" t="n"/>
      <c r="CT34" s="260" t="n"/>
      <c r="CU34" s="260" t="n"/>
      <c r="CV34" s="260" t="n"/>
      <c r="CW34" s="260" t="n"/>
      <c r="CX34" s="260" t="n"/>
      <c r="CY34" s="260" t="n"/>
      <c r="CZ34" s="260" t="n"/>
      <c r="DA34" s="260" t="n"/>
      <c r="DB34" s="260" t="n"/>
      <c r="DC34" s="260" t="n"/>
      <c r="DD34" s="260" t="n"/>
      <c r="DE34" s="260" t="n"/>
      <c r="DF34" s="260" t="n"/>
      <c r="DG34" s="260" t="n"/>
      <c r="DH34" s="260" t="n"/>
      <c r="DI34" s="260" t="n"/>
      <c r="DJ34" s="260" t="n"/>
      <c r="DK34" s="260" t="n"/>
      <c r="DL34" s="260" t="n"/>
      <c r="DM34" s="260" t="n"/>
      <c r="DN34" s="260" t="n"/>
      <c r="DO34" s="260" t="n"/>
      <c r="DP34" s="260" t="n"/>
      <c r="DQ34" s="260" t="n"/>
      <c r="DR34" s="260" t="n"/>
      <c r="DS34" s="260" t="n"/>
      <c r="DT34" s="260" t="n"/>
      <c r="DU34" s="260" t="n"/>
      <c r="DV34" s="260" t="n"/>
      <c r="DW34" s="260" t="n"/>
      <c r="DX34" s="260" t="n"/>
      <c r="DY34" s="260" t="n"/>
      <c r="DZ34" s="260" t="n"/>
      <c r="EA34" s="260" t="n"/>
      <c r="EB34" s="260" t="n"/>
      <c r="EC34" s="260" t="n"/>
      <c r="ED34" s="260" t="n"/>
      <c r="EE34" s="260" t="n"/>
      <c r="EF34" s="260" t="n"/>
      <c r="EG34" s="260" t="n"/>
      <c r="EH34" s="260" t="n"/>
      <c r="EI34" s="260" t="n"/>
      <c r="EJ34" s="260" t="n"/>
      <c r="EK34" s="260" t="n"/>
      <c r="EL34" s="260" t="n"/>
      <c r="EM34" s="260" t="n"/>
      <c r="EN34" s="260" t="n"/>
      <c r="EO34" s="260" t="n"/>
      <c r="EP34" s="260" t="n"/>
      <c r="EQ34" s="260" t="n"/>
      <c r="ER34" s="260" t="n"/>
      <c r="ES34" s="260" t="n"/>
      <c r="ET34" s="260" t="n"/>
      <c r="EU34" s="260" t="n"/>
      <c r="EV34" s="260" t="n"/>
      <c r="EW34" s="260" t="n"/>
      <c r="EX34" s="260" t="n"/>
      <c r="EY34" s="260" t="n"/>
      <c r="EZ34" s="260" t="n"/>
      <c r="FA34" s="260" t="n"/>
      <c r="FB34" s="260" t="n"/>
      <c r="FC34" s="260" t="n"/>
      <c r="FD34" s="260" t="n"/>
      <c r="FE34" s="260" t="n"/>
      <c r="FF34" s="260" t="n"/>
      <c r="FG34" s="260" t="n"/>
      <c r="FH34" s="260" t="n"/>
      <c r="FI34" s="260" t="n"/>
      <c r="FJ34" s="260" t="n"/>
      <c r="FK34" s="260" t="n"/>
      <c r="FL34" s="260" t="n"/>
      <c r="FM34" s="260" t="n"/>
      <c r="FN34" s="260" t="n"/>
      <c r="FO34" s="260" t="n"/>
      <c r="FP34" s="260" t="n"/>
      <c r="FQ34" s="260" t="n"/>
      <c r="FR34" s="260" t="n"/>
      <c r="FS34" s="260" t="n"/>
      <c r="FT34" s="260" t="n"/>
      <c r="FU34" s="260" t="n"/>
      <c r="FV34" s="260" t="n"/>
      <c r="FW34" s="260" t="n"/>
      <c r="FX34" s="260" t="n"/>
      <c r="FY34" s="260" t="n"/>
      <c r="FZ34" s="260" t="n"/>
      <c r="GA34" s="260" t="n"/>
      <c r="GB34" s="260" t="n"/>
      <c r="GC34" s="260" t="n"/>
      <c r="GD34" s="260" t="n"/>
      <c r="GE34" s="260" t="n"/>
      <c r="GF34" s="260" t="n"/>
      <c r="GG34" s="260" t="n"/>
      <c r="GH34" s="260" t="n"/>
      <c r="GI34" s="260" t="n"/>
      <c r="GJ34" s="260" t="n"/>
      <c r="GK34" s="260" t="n"/>
      <c r="GL34" s="260" t="n"/>
      <c r="GM34" s="260" t="n"/>
      <c r="GN34" s="260" t="n"/>
      <c r="GO34" s="260" t="n"/>
      <c r="GP34" s="260" t="n"/>
      <c r="GQ34" s="260" t="n"/>
      <c r="GR34" s="260" t="n"/>
      <c r="GS34" s="260" t="n"/>
      <c r="GT34" s="260" t="n"/>
      <c r="GU34" s="260" t="n"/>
      <c r="GV34" s="260" t="n"/>
      <c r="GW34" s="260" t="n"/>
      <c r="GX34" s="260" t="n"/>
      <c r="GY34" s="260" t="n"/>
      <c r="GZ34" s="260" t="n"/>
      <c r="HA34" s="260" t="n"/>
      <c r="HB34" s="260" t="n"/>
      <c r="HC34" s="260" t="n"/>
      <c r="HD34" s="260" t="n"/>
      <c r="HE34" s="260" t="n"/>
      <c r="HF34" s="260" t="n"/>
      <c r="HG34" s="260" t="n"/>
      <c r="HH34" s="260" t="n"/>
      <c r="HI34" s="260" t="n"/>
      <c r="HJ34" s="260" t="n"/>
      <c r="HK34" s="260" t="n"/>
      <c r="HL34" s="260" t="n"/>
      <c r="HM34" s="260" t="n"/>
      <c r="HN34" s="260" t="n"/>
      <c r="HO34" s="260" t="n"/>
      <c r="HP34" s="260" t="n"/>
      <c r="HQ34" s="260" t="n"/>
      <c r="HR34" s="260" t="n"/>
      <c r="HS34" s="260" t="n"/>
      <c r="HT34" s="260" t="n"/>
      <c r="HU34" s="260" t="n"/>
      <c r="HV34" s="260" t="n"/>
      <c r="HW34" s="260" t="n"/>
      <c r="HX34" s="260" t="n"/>
      <c r="HY34" s="260" t="n"/>
      <c r="HZ34" s="260" t="n"/>
      <c r="IA34" s="260" t="n"/>
      <c r="IB34" s="260" t="n"/>
      <c r="IC34" s="260" t="n"/>
      <c r="ID34" s="260" t="n"/>
      <c r="IE34" s="260" t="n"/>
    </row>
    <row r="35" ht="17.4" customFormat="1" customHeight="1" s="288">
      <c r="A35" s="796" t="inlineStr">
        <is>
          <t>11. ฒอ 2780 กทม.</t>
        </is>
      </c>
      <c r="B35" s="797" t="inlineStr">
        <is>
          <t>LCB</t>
        </is>
      </c>
      <c r="C35" s="797" t="inlineStr">
        <is>
          <t>B7</t>
        </is>
      </c>
      <c r="D35" s="798" t="inlineStr">
        <is>
          <t>ใบกำกับภาษี / ใบเสร็จรับเงิน</t>
        </is>
      </c>
      <c r="E35" s="798" t="inlineStr">
        <is>
          <t xml:space="preserve"> L</t>
        </is>
      </c>
      <c r="F35" s="1656">
        <f>SUM(G35:R35)</f>
        <v/>
      </c>
      <c r="G35" s="1658" t="n">
        <v>0</v>
      </c>
      <c r="H35" s="1658" t="n">
        <v>0</v>
      </c>
      <c r="I35" s="1658" t="n">
        <v>0</v>
      </c>
      <c r="J35" s="1658" t="n">
        <v>0</v>
      </c>
      <c r="K35" s="1658" t="n">
        <v>0</v>
      </c>
      <c r="L35" s="1658" t="n">
        <v>0</v>
      </c>
      <c r="M35" s="1658" t="n">
        <v>0</v>
      </c>
      <c r="N35" s="1658" t="n">
        <v>0</v>
      </c>
      <c r="O35" s="1658" t="n">
        <v>15.57</v>
      </c>
      <c r="P35" s="1658" t="n">
        <v>0</v>
      </c>
      <c r="Q35" s="1658" t="n">
        <v>0</v>
      </c>
      <c r="R35" s="1658" t="n">
        <v>0</v>
      </c>
      <c r="S35" s="260" t="n"/>
      <c r="T35" s="260" t="n"/>
      <c r="U35" s="260" t="n"/>
      <c r="V35" s="260" t="n"/>
      <c r="W35" s="260" t="n"/>
      <c r="X35" s="260" t="n"/>
      <c r="Y35" s="260" t="n"/>
      <c r="Z35" s="260" t="n"/>
      <c r="AA35" s="260" t="n"/>
      <c r="AB35" s="260" t="n"/>
      <c r="AC35" s="260" t="n"/>
      <c r="AD35" s="260" t="n"/>
      <c r="AE35" s="260" t="n"/>
      <c r="AF35" s="260" t="n"/>
      <c r="AG35" s="260" t="n"/>
      <c r="AH35" s="260" t="n"/>
      <c r="AI35" s="260" t="n"/>
      <c r="AJ35" s="260" t="n"/>
      <c r="AK35" s="260" t="n"/>
      <c r="AL35" s="260" t="n"/>
      <c r="AM35" s="260" t="n"/>
      <c r="AN35" s="260" t="n"/>
      <c r="AO35" s="260" t="n"/>
      <c r="AP35" s="260" t="n"/>
      <c r="AQ35" s="260" t="n"/>
      <c r="AR35" s="260" t="n"/>
      <c r="AS35" s="260" t="n"/>
      <c r="AT35" s="260" t="n"/>
      <c r="AU35" s="260" t="n"/>
      <c r="AV35" s="260" t="n"/>
      <c r="AW35" s="260" t="n"/>
      <c r="AX35" s="260" t="n"/>
      <c r="AY35" s="260" t="n"/>
      <c r="AZ35" s="260" t="n"/>
      <c r="BA35" s="260" t="n"/>
      <c r="BB35" s="260" t="n"/>
      <c r="BC35" s="260" t="n"/>
      <c r="BD35" s="260" t="n"/>
      <c r="BE35" s="260" t="n"/>
      <c r="BF35" s="260" t="n"/>
      <c r="BG35" s="260" t="n"/>
      <c r="BH35" s="260" t="n"/>
      <c r="BI35" s="260" t="n"/>
      <c r="BJ35" s="260" t="n"/>
      <c r="BK35" s="260" t="n"/>
      <c r="BL35" s="260" t="n"/>
      <c r="BM35" s="260" t="n"/>
      <c r="BN35" s="260" t="n"/>
      <c r="BO35" s="260" t="n"/>
      <c r="BP35" s="260" t="n"/>
      <c r="BQ35" s="260" t="n"/>
      <c r="BR35" s="260" t="n"/>
      <c r="BS35" s="260" t="n"/>
      <c r="BT35" s="260" t="n"/>
      <c r="BU35" s="260" t="n"/>
      <c r="BV35" s="260" t="n"/>
      <c r="BW35" s="260" t="n"/>
      <c r="BX35" s="260" t="n"/>
      <c r="BY35" s="260" t="n"/>
      <c r="BZ35" s="260" t="n"/>
      <c r="CA35" s="260" t="n"/>
      <c r="CB35" s="260" t="n"/>
      <c r="CC35" s="260" t="n"/>
      <c r="CD35" s="260" t="n"/>
      <c r="CE35" s="260" t="n"/>
      <c r="CF35" s="260" t="n"/>
      <c r="CG35" s="260" t="n"/>
      <c r="CH35" s="260" t="n"/>
      <c r="CI35" s="260" t="n"/>
      <c r="CJ35" s="260" t="n"/>
      <c r="CK35" s="260" t="n"/>
      <c r="CL35" s="260" t="n"/>
      <c r="CM35" s="260" t="n"/>
      <c r="CN35" s="260" t="n"/>
      <c r="CO35" s="260" t="n"/>
      <c r="CP35" s="260" t="n"/>
      <c r="CQ35" s="260" t="n"/>
      <c r="CR35" s="260" t="n"/>
      <c r="CS35" s="260" t="n"/>
      <c r="CT35" s="260" t="n"/>
      <c r="CU35" s="260" t="n"/>
      <c r="CV35" s="260" t="n"/>
      <c r="CW35" s="260" t="n"/>
      <c r="CX35" s="260" t="n"/>
      <c r="CY35" s="260" t="n"/>
      <c r="CZ35" s="260" t="n"/>
      <c r="DA35" s="260" t="n"/>
      <c r="DB35" s="260" t="n"/>
      <c r="DC35" s="260" t="n"/>
      <c r="DD35" s="260" t="n"/>
      <c r="DE35" s="260" t="n"/>
      <c r="DF35" s="260" t="n"/>
      <c r="DG35" s="260" t="n"/>
      <c r="DH35" s="260" t="n"/>
      <c r="DI35" s="260" t="n"/>
      <c r="DJ35" s="260" t="n"/>
      <c r="DK35" s="260" t="n"/>
      <c r="DL35" s="260" t="n"/>
      <c r="DM35" s="260" t="n"/>
      <c r="DN35" s="260" t="n"/>
      <c r="DO35" s="260" t="n"/>
      <c r="DP35" s="260" t="n"/>
      <c r="DQ35" s="260" t="n"/>
      <c r="DR35" s="260" t="n"/>
      <c r="DS35" s="260" t="n"/>
      <c r="DT35" s="260" t="n"/>
      <c r="DU35" s="260" t="n"/>
      <c r="DV35" s="260" t="n"/>
      <c r="DW35" s="260" t="n"/>
      <c r="DX35" s="260" t="n"/>
      <c r="DY35" s="260" t="n"/>
      <c r="DZ35" s="260" t="n"/>
      <c r="EA35" s="260" t="n"/>
      <c r="EB35" s="260" t="n"/>
      <c r="EC35" s="260" t="n"/>
      <c r="ED35" s="260" t="n"/>
      <c r="EE35" s="260" t="n"/>
      <c r="EF35" s="260" t="n"/>
      <c r="EG35" s="260" t="n"/>
      <c r="EH35" s="260" t="n"/>
      <c r="EI35" s="260" t="n"/>
      <c r="EJ35" s="260" t="n"/>
      <c r="EK35" s="260" t="n"/>
      <c r="EL35" s="260" t="n"/>
      <c r="EM35" s="260" t="n"/>
      <c r="EN35" s="260" t="n"/>
      <c r="EO35" s="260" t="n"/>
      <c r="EP35" s="260" t="n"/>
      <c r="EQ35" s="260" t="n"/>
      <c r="ER35" s="260" t="n"/>
      <c r="ES35" s="260" t="n"/>
      <c r="ET35" s="260" t="n"/>
      <c r="EU35" s="260" t="n"/>
      <c r="EV35" s="260" t="n"/>
      <c r="EW35" s="260" t="n"/>
      <c r="EX35" s="260" t="n"/>
      <c r="EY35" s="260" t="n"/>
      <c r="EZ35" s="260" t="n"/>
      <c r="FA35" s="260" t="n"/>
      <c r="FB35" s="260" t="n"/>
      <c r="FC35" s="260" t="n"/>
      <c r="FD35" s="260" t="n"/>
      <c r="FE35" s="260" t="n"/>
      <c r="FF35" s="260" t="n"/>
      <c r="FG35" s="260" t="n"/>
      <c r="FH35" s="260" t="n"/>
      <c r="FI35" s="260" t="n"/>
      <c r="FJ35" s="260" t="n"/>
      <c r="FK35" s="260" t="n"/>
      <c r="FL35" s="260" t="n"/>
      <c r="FM35" s="260" t="n"/>
      <c r="FN35" s="260" t="n"/>
      <c r="FO35" s="260" t="n"/>
      <c r="FP35" s="260" t="n"/>
      <c r="FQ35" s="260" t="n"/>
      <c r="FR35" s="260" t="n"/>
      <c r="FS35" s="260" t="n"/>
      <c r="FT35" s="260" t="n"/>
      <c r="FU35" s="260" t="n"/>
      <c r="FV35" s="260" t="n"/>
      <c r="FW35" s="260" t="n"/>
      <c r="FX35" s="260" t="n"/>
      <c r="FY35" s="260" t="n"/>
      <c r="FZ35" s="260" t="n"/>
      <c r="GA35" s="260" t="n"/>
      <c r="GB35" s="260" t="n"/>
      <c r="GC35" s="260" t="n"/>
      <c r="GD35" s="260" t="n"/>
      <c r="GE35" s="260" t="n"/>
      <c r="GF35" s="260" t="n"/>
      <c r="GG35" s="260" t="n"/>
      <c r="GH35" s="260" t="n"/>
      <c r="GI35" s="260" t="n"/>
      <c r="GJ35" s="260" t="n"/>
      <c r="GK35" s="260" t="n"/>
      <c r="GL35" s="260" t="n"/>
      <c r="GM35" s="260" t="n"/>
      <c r="GN35" s="260" t="n"/>
      <c r="GO35" s="260" t="n"/>
      <c r="GP35" s="260" t="n"/>
      <c r="GQ35" s="260" t="n"/>
      <c r="GR35" s="260" t="n"/>
      <c r="GS35" s="260" t="n"/>
      <c r="GT35" s="260" t="n"/>
      <c r="GU35" s="260" t="n"/>
      <c r="GV35" s="260" t="n"/>
      <c r="GW35" s="260" t="n"/>
      <c r="GX35" s="260" t="n"/>
      <c r="GY35" s="260" t="n"/>
      <c r="GZ35" s="260" t="n"/>
      <c r="HA35" s="260" t="n"/>
      <c r="HB35" s="260" t="n"/>
      <c r="HC35" s="260" t="n"/>
      <c r="HD35" s="260" t="n"/>
      <c r="HE35" s="260" t="n"/>
      <c r="HF35" s="260" t="n"/>
      <c r="HG35" s="260" t="n"/>
      <c r="HH35" s="260" t="n"/>
      <c r="HI35" s="260" t="n"/>
      <c r="HJ35" s="260" t="n"/>
      <c r="HK35" s="260" t="n"/>
      <c r="HL35" s="260" t="n"/>
      <c r="HM35" s="260" t="n"/>
      <c r="HN35" s="260" t="n"/>
      <c r="HO35" s="260" t="n"/>
      <c r="HP35" s="260" t="n"/>
      <c r="HQ35" s="260" t="n"/>
      <c r="HR35" s="260" t="n"/>
      <c r="HS35" s="260" t="n"/>
      <c r="HT35" s="260" t="n"/>
      <c r="HU35" s="260" t="n"/>
      <c r="HV35" s="260" t="n"/>
      <c r="HW35" s="260" t="n"/>
      <c r="HX35" s="260" t="n"/>
      <c r="HY35" s="260" t="n"/>
      <c r="HZ35" s="260" t="n"/>
      <c r="IA35" s="260" t="n"/>
      <c r="IB35" s="260" t="n"/>
      <c r="IC35" s="260" t="n"/>
      <c r="ID35" s="260" t="n"/>
      <c r="IE35" s="260" t="n"/>
    </row>
    <row r="36" ht="17.4" customFormat="1" customHeight="1" s="288">
      <c r="A36" s="796" t="n"/>
      <c r="B36" s="797" t="n"/>
      <c r="C36" s="797" t="inlineStr">
        <is>
          <t>B10</t>
        </is>
      </c>
      <c r="D36" s="798" t="n"/>
      <c r="E36" s="798" t="n"/>
      <c r="F36" s="1656">
        <f>SUM(G36:R36)</f>
        <v/>
      </c>
      <c r="G36" s="1658" t="n">
        <v>0</v>
      </c>
      <c r="H36" s="1658" t="n">
        <v>0</v>
      </c>
      <c r="I36" s="1658" t="n">
        <v>0</v>
      </c>
      <c r="J36" s="1658" t="n"/>
      <c r="K36" s="1658" t="n">
        <v>0</v>
      </c>
      <c r="L36" s="1658" t="n">
        <v>0</v>
      </c>
      <c r="M36" s="1658" t="n">
        <v>0</v>
      </c>
      <c r="N36" s="1658" t="n">
        <v>0</v>
      </c>
      <c r="O36" s="1658" t="n">
        <v>0</v>
      </c>
      <c r="P36" s="1658" t="n">
        <v>0</v>
      </c>
      <c r="Q36" s="1659" t="n">
        <v>0</v>
      </c>
      <c r="R36" s="1658" t="n">
        <v>0</v>
      </c>
      <c r="S36" s="260" t="n"/>
      <c r="T36" s="260" t="n"/>
      <c r="U36" s="260" t="n"/>
      <c r="V36" s="260" t="n"/>
      <c r="W36" s="260" t="n"/>
      <c r="X36" s="260" t="n"/>
      <c r="Y36" s="260" t="n"/>
      <c r="Z36" s="260" t="n"/>
      <c r="AA36" s="260" t="n"/>
      <c r="AB36" s="260" t="n"/>
      <c r="AC36" s="260" t="n"/>
      <c r="AD36" s="260" t="n"/>
      <c r="AE36" s="260" t="n"/>
      <c r="AF36" s="260" t="n"/>
      <c r="AG36" s="260" t="n"/>
      <c r="AH36" s="260" t="n"/>
      <c r="AI36" s="260" t="n"/>
      <c r="AJ36" s="260" t="n"/>
      <c r="AK36" s="260" t="n"/>
      <c r="AL36" s="260" t="n"/>
      <c r="AM36" s="260" t="n"/>
      <c r="AN36" s="260" t="n"/>
      <c r="AO36" s="260" t="n"/>
      <c r="AP36" s="260" t="n"/>
      <c r="AQ36" s="260" t="n"/>
      <c r="AR36" s="260" t="n"/>
      <c r="AS36" s="260" t="n"/>
      <c r="AT36" s="260" t="n"/>
      <c r="AU36" s="260" t="n"/>
      <c r="AV36" s="260" t="n"/>
      <c r="AW36" s="260" t="n"/>
      <c r="AX36" s="260" t="n"/>
      <c r="AY36" s="260" t="n"/>
      <c r="AZ36" s="260" t="n"/>
      <c r="BA36" s="260" t="n"/>
      <c r="BB36" s="260" t="n"/>
      <c r="BC36" s="260" t="n"/>
      <c r="BD36" s="260" t="n"/>
      <c r="BE36" s="260" t="n"/>
      <c r="BF36" s="260" t="n"/>
      <c r="BG36" s="260" t="n"/>
      <c r="BH36" s="260" t="n"/>
      <c r="BI36" s="260" t="n"/>
      <c r="BJ36" s="260" t="n"/>
      <c r="BK36" s="260" t="n"/>
      <c r="BL36" s="260" t="n"/>
      <c r="BM36" s="260" t="n"/>
      <c r="BN36" s="260" t="n"/>
      <c r="BO36" s="260" t="n"/>
      <c r="BP36" s="260" t="n"/>
      <c r="BQ36" s="260" t="n"/>
      <c r="BR36" s="260" t="n"/>
      <c r="BS36" s="260" t="n"/>
      <c r="BT36" s="260" t="n"/>
      <c r="BU36" s="260" t="n"/>
      <c r="BV36" s="260" t="n"/>
      <c r="BW36" s="260" t="n"/>
      <c r="BX36" s="260" t="n"/>
      <c r="BY36" s="260" t="n"/>
      <c r="BZ36" s="260" t="n"/>
      <c r="CA36" s="260" t="n"/>
      <c r="CB36" s="260" t="n"/>
      <c r="CC36" s="260" t="n"/>
      <c r="CD36" s="260" t="n"/>
      <c r="CE36" s="260" t="n"/>
      <c r="CF36" s="260" t="n"/>
      <c r="CG36" s="260" t="n"/>
      <c r="CH36" s="260" t="n"/>
      <c r="CI36" s="260" t="n"/>
      <c r="CJ36" s="260" t="n"/>
      <c r="CK36" s="260" t="n"/>
      <c r="CL36" s="260" t="n"/>
      <c r="CM36" s="260" t="n"/>
      <c r="CN36" s="260" t="n"/>
      <c r="CO36" s="260" t="n"/>
      <c r="CP36" s="260" t="n"/>
      <c r="CQ36" s="260" t="n"/>
      <c r="CR36" s="260" t="n"/>
      <c r="CS36" s="260" t="n"/>
      <c r="CT36" s="260" t="n"/>
      <c r="CU36" s="260" t="n"/>
      <c r="CV36" s="260" t="n"/>
      <c r="CW36" s="260" t="n"/>
      <c r="CX36" s="260" t="n"/>
      <c r="CY36" s="260" t="n"/>
      <c r="CZ36" s="260" t="n"/>
      <c r="DA36" s="260" t="n"/>
      <c r="DB36" s="260" t="n"/>
      <c r="DC36" s="260" t="n"/>
      <c r="DD36" s="260" t="n"/>
      <c r="DE36" s="260" t="n"/>
      <c r="DF36" s="260" t="n"/>
      <c r="DG36" s="260" t="n"/>
      <c r="DH36" s="260" t="n"/>
      <c r="DI36" s="260" t="n"/>
      <c r="DJ36" s="260" t="n"/>
      <c r="DK36" s="260" t="n"/>
      <c r="DL36" s="260" t="n"/>
      <c r="DM36" s="260" t="n"/>
      <c r="DN36" s="260" t="n"/>
      <c r="DO36" s="260" t="n"/>
      <c r="DP36" s="260" t="n"/>
      <c r="DQ36" s="260" t="n"/>
      <c r="DR36" s="260" t="n"/>
      <c r="DS36" s="260" t="n"/>
      <c r="DT36" s="260" t="n"/>
      <c r="DU36" s="260" t="n"/>
      <c r="DV36" s="260" t="n"/>
      <c r="DW36" s="260" t="n"/>
      <c r="DX36" s="260" t="n"/>
      <c r="DY36" s="260" t="n"/>
      <c r="DZ36" s="260" t="n"/>
      <c r="EA36" s="260" t="n"/>
      <c r="EB36" s="260" t="n"/>
      <c r="EC36" s="260" t="n"/>
      <c r="ED36" s="260" t="n"/>
      <c r="EE36" s="260" t="n"/>
      <c r="EF36" s="260" t="n"/>
      <c r="EG36" s="260" t="n"/>
      <c r="EH36" s="260" t="n"/>
      <c r="EI36" s="260" t="n"/>
      <c r="EJ36" s="260" t="n"/>
      <c r="EK36" s="260" t="n"/>
      <c r="EL36" s="260" t="n"/>
      <c r="EM36" s="260" t="n"/>
      <c r="EN36" s="260" t="n"/>
      <c r="EO36" s="260" t="n"/>
      <c r="EP36" s="260" t="n"/>
      <c r="EQ36" s="260" t="n"/>
      <c r="ER36" s="260" t="n"/>
      <c r="ES36" s="260" t="n"/>
      <c r="ET36" s="260" t="n"/>
      <c r="EU36" s="260" t="n"/>
      <c r="EV36" s="260" t="n"/>
      <c r="EW36" s="260" t="n"/>
      <c r="EX36" s="260" t="n"/>
      <c r="EY36" s="260" t="n"/>
      <c r="EZ36" s="260" t="n"/>
      <c r="FA36" s="260" t="n"/>
      <c r="FB36" s="260" t="n"/>
      <c r="FC36" s="260" t="n"/>
      <c r="FD36" s="260" t="n"/>
      <c r="FE36" s="260" t="n"/>
      <c r="FF36" s="260" t="n"/>
      <c r="FG36" s="260" t="n"/>
      <c r="FH36" s="260" t="n"/>
      <c r="FI36" s="260" t="n"/>
      <c r="FJ36" s="260" t="n"/>
      <c r="FK36" s="260" t="n"/>
      <c r="FL36" s="260" t="n"/>
      <c r="FM36" s="260" t="n"/>
      <c r="FN36" s="260" t="n"/>
      <c r="FO36" s="260" t="n"/>
      <c r="FP36" s="260" t="n"/>
      <c r="FQ36" s="260" t="n"/>
      <c r="FR36" s="260" t="n"/>
      <c r="FS36" s="260" t="n"/>
      <c r="FT36" s="260" t="n"/>
      <c r="FU36" s="260" t="n"/>
      <c r="FV36" s="260" t="n"/>
      <c r="FW36" s="260" t="n"/>
      <c r="FX36" s="260" t="n"/>
      <c r="FY36" s="260" t="n"/>
      <c r="FZ36" s="260" t="n"/>
      <c r="GA36" s="260" t="n"/>
      <c r="GB36" s="260" t="n"/>
      <c r="GC36" s="260" t="n"/>
      <c r="GD36" s="260" t="n"/>
      <c r="GE36" s="260" t="n"/>
      <c r="GF36" s="260" t="n"/>
      <c r="GG36" s="260" t="n"/>
      <c r="GH36" s="260" t="n"/>
      <c r="GI36" s="260" t="n"/>
      <c r="GJ36" s="260" t="n"/>
      <c r="GK36" s="260" t="n"/>
      <c r="GL36" s="260" t="n"/>
      <c r="GM36" s="260" t="n"/>
      <c r="GN36" s="260" t="n"/>
      <c r="GO36" s="260" t="n"/>
      <c r="GP36" s="260" t="n"/>
      <c r="GQ36" s="260" t="n"/>
      <c r="GR36" s="260" t="n"/>
      <c r="GS36" s="260" t="n"/>
      <c r="GT36" s="260" t="n"/>
      <c r="GU36" s="260" t="n"/>
      <c r="GV36" s="260" t="n"/>
      <c r="GW36" s="260" t="n"/>
      <c r="GX36" s="260" t="n"/>
      <c r="GY36" s="260" t="n"/>
      <c r="GZ36" s="260" t="n"/>
      <c r="HA36" s="260" t="n"/>
      <c r="HB36" s="260" t="n"/>
      <c r="HC36" s="260" t="n"/>
      <c r="HD36" s="260" t="n"/>
      <c r="HE36" s="260" t="n"/>
      <c r="HF36" s="260" t="n"/>
      <c r="HG36" s="260" t="n"/>
      <c r="HH36" s="260" t="n"/>
      <c r="HI36" s="260" t="n"/>
      <c r="HJ36" s="260" t="n"/>
      <c r="HK36" s="260" t="n"/>
      <c r="HL36" s="260" t="n"/>
      <c r="HM36" s="260" t="n"/>
      <c r="HN36" s="260" t="n"/>
      <c r="HO36" s="260" t="n"/>
      <c r="HP36" s="260" t="n"/>
      <c r="HQ36" s="260" t="n"/>
      <c r="HR36" s="260" t="n"/>
      <c r="HS36" s="260" t="n"/>
      <c r="HT36" s="260" t="n"/>
      <c r="HU36" s="260" t="n"/>
      <c r="HV36" s="260" t="n"/>
      <c r="HW36" s="260" t="n"/>
      <c r="HX36" s="260" t="n"/>
      <c r="HY36" s="260" t="n"/>
      <c r="HZ36" s="260" t="n"/>
      <c r="IA36" s="260" t="n"/>
      <c r="IB36" s="260" t="n"/>
      <c r="IC36" s="260" t="n"/>
      <c r="ID36" s="260" t="n"/>
      <c r="IE36" s="260" t="n"/>
    </row>
    <row r="37" ht="17.4" customFormat="1" customHeight="1" s="288">
      <c r="A37" s="796" t="inlineStr">
        <is>
          <t>12. จก 8296 ชลบุรี</t>
        </is>
      </c>
      <c r="B37" s="797" t="inlineStr">
        <is>
          <t>LCB</t>
        </is>
      </c>
      <c r="C37" s="797" t="inlineStr">
        <is>
          <t>B7</t>
        </is>
      </c>
      <c r="D37" s="798" t="inlineStr">
        <is>
          <t>ใบกำกับภาษี / ใบเสร็จรับเงิน</t>
        </is>
      </c>
      <c r="E37" s="798" t="inlineStr">
        <is>
          <t xml:space="preserve"> L</t>
        </is>
      </c>
      <c r="F37" s="1656">
        <f>SUM(G37:R37)</f>
        <v/>
      </c>
      <c r="G37" s="1658" t="n">
        <v>69.81</v>
      </c>
      <c r="H37" s="1658" t="n">
        <v>0</v>
      </c>
      <c r="I37" s="1658" t="n">
        <v>0</v>
      </c>
      <c r="J37" s="1658" t="n">
        <v>0</v>
      </c>
      <c r="K37" s="1658" t="n">
        <v>0</v>
      </c>
      <c r="L37" s="1658" t="n">
        <v>0</v>
      </c>
      <c r="M37" s="1658" t="n">
        <v>0</v>
      </c>
      <c r="N37" s="1658" t="n">
        <v>0</v>
      </c>
      <c r="O37" s="1658" t="n">
        <v>0</v>
      </c>
      <c r="P37" s="1658" t="n">
        <v>0</v>
      </c>
      <c r="Q37" s="1658" t="n">
        <v>0</v>
      </c>
      <c r="R37" s="1658" t="n">
        <v>0</v>
      </c>
      <c r="S37" s="260" t="n"/>
      <c r="T37" s="260" t="n"/>
      <c r="U37" s="260" t="n"/>
      <c r="V37" s="260" t="n"/>
      <c r="W37" s="260" t="n"/>
      <c r="X37" s="260" t="n"/>
      <c r="Y37" s="260" t="n"/>
      <c r="Z37" s="260" t="n"/>
      <c r="AA37" s="260" t="n"/>
      <c r="AB37" s="260" t="n"/>
      <c r="AC37" s="260" t="n"/>
      <c r="AD37" s="260" t="n"/>
      <c r="AE37" s="260" t="n"/>
      <c r="AF37" s="260" t="n"/>
      <c r="AG37" s="260" t="n"/>
      <c r="AH37" s="260" t="n"/>
      <c r="AI37" s="260" t="n"/>
      <c r="AJ37" s="260" t="n"/>
      <c r="AK37" s="260" t="n"/>
      <c r="AL37" s="260" t="n"/>
      <c r="AM37" s="260" t="n"/>
      <c r="AN37" s="260" t="n"/>
      <c r="AO37" s="260" t="n"/>
      <c r="AP37" s="260" t="n"/>
      <c r="AQ37" s="260" t="n"/>
      <c r="AR37" s="260" t="n"/>
      <c r="AS37" s="260" t="n"/>
      <c r="AT37" s="260" t="n"/>
      <c r="AU37" s="260" t="n"/>
      <c r="AV37" s="260" t="n"/>
      <c r="AW37" s="260" t="n"/>
      <c r="AX37" s="260" t="n"/>
      <c r="AY37" s="260" t="n"/>
      <c r="AZ37" s="260" t="n"/>
      <c r="BA37" s="260" t="n"/>
      <c r="BB37" s="260" t="n"/>
      <c r="BC37" s="260" t="n"/>
      <c r="BD37" s="260" t="n"/>
      <c r="BE37" s="260" t="n"/>
      <c r="BF37" s="260" t="n"/>
      <c r="BG37" s="260" t="n"/>
      <c r="BH37" s="260" t="n"/>
      <c r="BI37" s="260" t="n"/>
      <c r="BJ37" s="260" t="n"/>
      <c r="BK37" s="260" t="n"/>
      <c r="BL37" s="260" t="n"/>
      <c r="BM37" s="260" t="n"/>
      <c r="BN37" s="260" t="n"/>
      <c r="BO37" s="260" t="n"/>
      <c r="BP37" s="260" t="n"/>
      <c r="BQ37" s="260" t="n"/>
      <c r="BR37" s="260" t="n"/>
      <c r="BS37" s="260" t="n"/>
      <c r="BT37" s="260" t="n"/>
      <c r="BU37" s="260" t="n"/>
      <c r="BV37" s="260" t="n"/>
      <c r="BW37" s="260" t="n"/>
      <c r="BX37" s="260" t="n"/>
      <c r="BY37" s="260" t="n"/>
      <c r="BZ37" s="260" t="n"/>
      <c r="CA37" s="260" t="n"/>
      <c r="CB37" s="260" t="n"/>
      <c r="CC37" s="260" t="n"/>
      <c r="CD37" s="260" t="n"/>
      <c r="CE37" s="260" t="n"/>
      <c r="CF37" s="260" t="n"/>
      <c r="CG37" s="260" t="n"/>
      <c r="CH37" s="260" t="n"/>
      <c r="CI37" s="260" t="n"/>
      <c r="CJ37" s="260" t="n"/>
      <c r="CK37" s="260" t="n"/>
      <c r="CL37" s="260" t="n"/>
      <c r="CM37" s="260" t="n"/>
      <c r="CN37" s="260" t="n"/>
      <c r="CO37" s="260" t="n"/>
      <c r="CP37" s="260" t="n"/>
      <c r="CQ37" s="260" t="n"/>
      <c r="CR37" s="260" t="n"/>
      <c r="CS37" s="260" t="n"/>
      <c r="CT37" s="260" t="n"/>
      <c r="CU37" s="260" t="n"/>
      <c r="CV37" s="260" t="n"/>
      <c r="CW37" s="260" t="n"/>
      <c r="CX37" s="260" t="n"/>
      <c r="CY37" s="260" t="n"/>
      <c r="CZ37" s="260" t="n"/>
      <c r="DA37" s="260" t="n"/>
      <c r="DB37" s="260" t="n"/>
      <c r="DC37" s="260" t="n"/>
      <c r="DD37" s="260" t="n"/>
      <c r="DE37" s="260" t="n"/>
      <c r="DF37" s="260" t="n"/>
      <c r="DG37" s="260" t="n"/>
      <c r="DH37" s="260" t="n"/>
      <c r="DI37" s="260" t="n"/>
      <c r="DJ37" s="260" t="n"/>
      <c r="DK37" s="260" t="n"/>
      <c r="DL37" s="260" t="n"/>
      <c r="DM37" s="260" t="n"/>
      <c r="DN37" s="260" t="n"/>
      <c r="DO37" s="260" t="n"/>
      <c r="DP37" s="260" t="n"/>
      <c r="DQ37" s="260" t="n"/>
      <c r="DR37" s="260" t="n"/>
      <c r="DS37" s="260" t="n"/>
      <c r="DT37" s="260" t="n"/>
      <c r="DU37" s="260" t="n"/>
      <c r="DV37" s="260" t="n"/>
      <c r="DW37" s="260" t="n"/>
      <c r="DX37" s="260" t="n"/>
      <c r="DY37" s="260" t="n"/>
      <c r="DZ37" s="260" t="n"/>
      <c r="EA37" s="260" t="n"/>
      <c r="EB37" s="260" t="n"/>
      <c r="EC37" s="260" t="n"/>
      <c r="ED37" s="260" t="n"/>
      <c r="EE37" s="260" t="n"/>
      <c r="EF37" s="260" t="n"/>
      <c r="EG37" s="260" t="n"/>
      <c r="EH37" s="260" t="n"/>
      <c r="EI37" s="260" t="n"/>
      <c r="EJ37" s="260" t="n"/>
      <c r="EK37" s="260" t="n"/>
      <c r="EL37" s="260" t="n"/>
      <c r="EM37" s="260" t="n"/>
      <c r="EN37" s="260" t="n"/>
      <c r="EO37" s="260" t="n"/>
      <c r="EP37" s="260" t="n"/>
      <c r="EQ37" s="260" t="n"/>
      <c r="ER37" s="260" t="n"/>
      <c r="ES37" s="260" t="n"/>
      <c r="ET37" s="260" t="n"/>
      <c r="EU37" s="260" t="n"/>
      <c r="EV37" s="260" t="n"/>
      <c r="EW37" s="260" t="n"/>
      <c r="EX37" s="260" t="n"/>
      <c r="EY37" s="260" t="n"/>
      <c r="EZ37" s="260" t="n"/>
      <c r="FA37" s="260" t="n"/>
      <c r="FB37" s="260" t="n"/>
      <c r="FC37" s="260" t="n"/>
      <c r="FD37" s="260" t="n"/>
      <c r="FE37" s="260" t="n"/>
      <c r="FF37" s="260" t="n"/>
      <c r="FG37" s="260" t="n"/>
      <c r="FH37" s="260" t="n"/>
      <c r="FI37" s="260" t="n"/>
      <c r="FJ37" s="260" t="n"/>
      <c r="FK37" s="260" t="n"/>
      <c r="FL37" s="260" t="n"/>
      <c r="FM37" s="260" t="n"/>
      <c r="FN37" s="260" t="n"/>
      <c r="FO37" s="260" t="n"/>
      <c r="FP37" s="260" t="n"/>
      <c r="FQ37" s="260" t="n"/>
      <c r="FR37" s="260" t="n"/>
      <c r="FS37" s="260" t="n"/>
      <c r="FT37" s="260" t="n"/>
      <c r="FU37" s="260" t="n"/>
      <c r="FV37" s="260" t="n"/>
      <c r="FW37" s="260" t="n"/>
      <c r="FX37" s="260" t="n"/>
      <c r="FY37" s="260" t="n"/>
      <c r="FZ37" s="260" t="n"/>
      <c r="GA37" s="260" t="n"/>
      <c r="GB37" s="260" t="n"/>
      <c r="GC37" s="260" t="n"/>
      <c r="GD37" s="260" t="n"/>
      <c r="GE37" s="260" t="n"/>
      <c r="GF37" s="260" t="n"/>
      <c r="GG37" s="260" t="n"/>
      <c r="GH37" s="260" t="n"/>
      <c r="GI37" s="260" t="n"/>
      <c r="GJ37" s="260" t="n"/>
      <c r="GK37" s="260" t="n"/>
      <c r="GL37" s="260" t="n"/>
      <c r="GM37" s="260" t="n"/>
      <c r="GN37" s="260" t="n"/>
      <c r="GO37" s="260" t="n"/>
      <c r="GP37" s="260" t="n"/>
      <c r="GQ37" s="260" t="n"/>
      <c r="GR37" s="260" t="n"/>
      <c r="GS37" s="260" t="n"/>
      <c r="GT37" s="260" t="n"/>
      <c r="GU37" s="260" t="n"/>
      <c r="GV37" s="260" t="n"/>
      <c r="GW37" s="260" t="n"/>
      <c r="GX37" s="260" t="n"/>
      <c r="GY37" s="260" t="n"/>
      <c r="GZ37" s="260" t="n"/>
      <c r="HA37" s="260" t="n"/>
      <c r="HB37" s="260" t="n"/>
      <c r="HC37" s="260" t="n"/>
      <c r="HD37" s="260" t="n"/>
      <c r="HE37" s="260" t="n"/>
      <c r="HF37" s="260" t="n"/>
      <c r="HG37" s="260" t="n"/>
      <c r="HH37" s="260" t="n"/>
      <c r="HI37" s="260" t="n"/>
      <c r="HJ37" s="260" t="n"/>
      <c r="HK37" s="260" t="n"/>
      <c r="HL37" s="260" t="n"/>
      <c r="HM37" s="260" t="n"/>
      <c r="HN37" s="260" t="n"/>
      <c r="HO37" s="260" t="n"/>
      <c r="HP37" s="260" t="n"/>
      <c r="HQ37" s="260" t="n"/>
      <c r="HR37" s="260" t="n"/>
      <c r="HS37" s="260" t="n"/>
      <c r="HT37" s="260" t="n"/>
      <c r="HU37" s="260" t="n"/>
      <c r="HV37" s="260" t="n"/>
      <c r="HW37" s="260" t="n"/>
      <c r="HX37" s="260" t="n"/>
      <c r="HY37" s="260" t="n"/>
      <c r="HZ37" s="260" t="n"/>
      <c r="IA37" s="260" t="n"/>
      <c r="IB37" s="260" t="n"/>
      <c r="IC37" s="260" t="n"/>
      <c r="ID37" s="260" t="n"/>
      <c r="IE37" s="260" t="n"/>
    </row>
    <row r="38" ht="17.4" customFormat="1" customHeight="1" s="288">
      <c r="A38" s="796" t="n"/>
      <c r="B38" s="797" t="n"/>
      <c r="C38" s="797" t="inlineStr">
        <is>
          <t>B10</t>
        </is>
      </c>
      <c r="D38" s="798" t="n"/>
      <c r="E38" s="798" t="n"/>
      <c r="F38" s="1656">
        <f>SUM(G38:R38)</f>
        <v/>
      </c>
      <c r="G38" s="1658" t="n">
        <v>0</v>
      </c>
      <c r="H38" s="1658" t="n">
        <v>0</v>
      </c>
      <c r="I38" s="1658" t="n">
        <v>0</v>
      </c>
      <c r="J38" s="1658" t="n"/>
      <c r="K38" s="1658" t="n">
        <v>0</v>
      </c>
      <c r="L38" s="1658" t="n">
        <v>0</v>
      </c>
      <c r="M38" s="1658" t="n">
        <v>0</v>
      </c>
      <c r="N38" s="1658" t="n">
        <v>0</v>
      </c>
      <c r="O38" s="1658" t="n">
        <v>0</v>
      </c>
      <c r="P38" s="1658" t="n">
        <v>0</v>
      </c>
      <c r="Q38" s="1659" t="n">
        <v>0</v>
      </c>
      <c r="R38" s="1658" t="n">
        <v>0</v>
      </c>
      <c r="S38" s="260" t="n"/>
      <c r="T38" s="260" t="n"/>
      <c r="U38" s="260" t="n"/>
      <c r="V38" s="260" t="n"/>
      <c r="W38" s="260" t="n"/>
      <c r="X38" s="260" t="n"/>
      <c r="Y38" s="260" t="n"/>
      <c r="Z38" s="260" t="n"/>
      <c r="AA38" s="260" t="n"/>
      <c r="AB38" s="260" t="n"/>
      <c r="AC38" s="260" t="n"/>
      <c r="AD38" s="260" t="n"/>
      <c r="AE38" s="260" t="n"/>
      <c r="AF38" s="260" t="n"/>
      <c r="AG38" s="260" t="n"/>
      <c r="AH38" s="260" t="n"/>
      <c r="AI38" s="260" t="n"/>
      <c r="AJ38" s="260" t="n"/>
      <c r="AK38" s="260" t="n"/>
      <c r="AL38" s="260" t="n"/>
      <c r="AM38" s="260" t="n"/>
      <c r="AN38" s="260" t="n"/>
      <c r="AO38" s="260" t="n"/>
      <c r="AP38" s="260" t="n"/>
      <c r="AQ38" s="260" t="n"/>
      <c r="AR38" s="260" t="n"/>
      <c r="AS38" s="260" t="n"/>
      <c r="AT38" s="260" t="n"/>
      <c r="AU38" s="260" t="n"/>
      <c r="AV38" s="260" t="n"/>
      <c r="AW38" s="260" t="n"/>
      <c r="AX38" s="260" t="n"/>
      <c r="AY38" s="260" t="n"/>
      <c r="AZ38" s="260" t="n"/>
      <c r="BA38" s="260" t="n"/>
      <c r="BB38" s="260" t="n"/>
      <c r="BC38" s="260" t="n"/>
      <c r="BD38" s="260" t="n"/>
      <c r="BE38" s="260" t="n"/>
      <c r="BF38" s="260" t="n"/>
      <c r="BG38" s="260" t="n"/>
      <c r="BH38" s="260" t="n"/>
      <c r="BI38" s="260" t="n"/>
      <c r="BJ38" s="260" t="n"/>
      <c r="BK38" s="260" t="n"/>
      <c r="BL38" s="260" t="n"/>
      <c r="BM38" s="260" t="n"/>
      <c r="BN38" s="260" t="n"/>
      <c r="BO38" s="260" t="n"/>
      <c r="BP38" s="260" t="n"/>
      <c r="BQ38" s="260" t="n"/>
      <c r="BR38" s="260" t="n"/>
      <c r="BS38" s="260" t="n"/>
      <c r="BT38" s="260" t="n"/>
      <c r="BU38" s="260" t="n"/>
      <c r="BV38" s="260" t="n"/>
      <c r="BW38" s="260" t="n"/>
      <c r="BX38" s="260" t="n"/>
      <c r="BY38" s="260" t="n"/>
      <c r="BZ38" s="260" t="n"/>
      <c r="CA38" s="260" t="n"/>
      <c r="CB38" s="260" t="n"/>
      <c r="CC38" s="260" t="n"/>
      <c r="CD38" s="260" t="n"/>
      <c r="CE38" s="260" t="n"/>
      <c r="CF38" s="260" t="n"/>
      <c r="CG38" s="260" t="n"/>
      <c r="CH38" s="260" t="n"/>
      <c r="CI38" s="260" t="n"/>
      <c r="CJ38" s="260" t="n"/>
      <c r="CK38" s="260" t="n"/>
      <c r="CL38" s="260" t="n"/>
      <c r="CM38" s="260" t="n"/>
      <c r="CN38" s="260" t="n"/>
      <c r="CO38" s="260" t="n"/>
      <c r="CP38" s="260" t="n"/>
      <c r="CQ38" s="260" t="n"/>
      <c r="CR38" s="260" t="n"/>
      <c r="CS38" s="260" t="n"/>
      <c r="CT38" s="260" t="n"/>
      <c r="CU38" s="260" t="n"/>
      <c r="CV38" s="260" t="n"/>
      <c r="CW38" s="260" t="n"/>
      <c r="CX38" s="260" t="n"/>
      <c r="CY38" s="260" t="n"/>
      <c r="CZ38" s="260" t="n"/>
      <c r="DA38" s="260" t="n"/>
      <c r="DB38" s="260" t="n"/>
      <c r="DC38" s="260" t="n"/>
      <c r="DD38" s="260" t="n"/>
      <c r="DE38" s="260" t="n"/>
      <c r="DF38" s="260" t="n"/>
      <c r="DG38" s="260" t="n"/>
      <c r="DH38" s="260" t="n"/>
      <c r="DI38" s="260" t="n"/>
      <c r="DJ38" s="260" t="n"/>
      <c r="DK38" s="260" t="n"/>
      <c r="DL38" s="260" t="n"/>
      <c r="DM38" s="260" t="n"/>
      <c r="DN38" s="260" t="n"/>
      <c r="DO38" s="260" t="n"/>
      <c r="DP38" s="260" t="n"/>
      <c r="DQ38" s="260" t="n"/>
      <c r="DR38" s="260" t="n"/>
      <c r="DS38" s="260" t="n"/>
      <c r="DT38" s="260" t="n"/>
      <c r="DU38" s="260" t="n"/>
      <c r="DV38" s="260" t="n"/>
      <c r="DW38" s="260" t="n"/>
      <c r="DX38" s="260" t="n"/>
      <c r="DY38" s="260" t="n"/>
      <c r="DZ38" s="260" t="n"/>
      <c r="EA38" s="260" t="n"/>
      <c r="EB38" s="260" t="n"/>
      <c r="EC38" s="260" t="n"/>
      <c r="ED38" s="260" t="n"/>
      <c r="EE38" s="260" t="n"/>
      <c r="EF38" s="260" t="n"/>
      <c r="EG38" s="260" t="n"/>
      <c r="EH38" s="260" t="n"/>
      <c r="EI38" s="260" t="n"/>
      <c r="EJ38" s="260" t="n"/>
      <c r="EK38" s="260" t="n"/>
      <c r="EL38" s="260" t="n"/>
      <c r="EM38" s="260" t="n"/>
      <c r="EN38" s="260" t="n"/>
      <c r="EO38" s="260" t="n"/>
      <c r="EP38" s="260" t="n"/>
      <c r="EQ38" s="260" t="n"/>
      <c r="ER38" s="260" t="n"/>
      <c r="ES38" s="260" t="n"/>
      <c r="ET38" s="260" t="n"/>
      <c r="EU38" s="260" t="n"/>
      <c r="EV38" s="260" t="n"/>
      <c r="EW38" s="260" t="n"/>
      <c r="EX38" s="260" t="n"/>
      <c r="EY38" s="260" t="n"/>
      <c r="EZ38" s="260" t="n"/>
      <c r="FA38" s="260" t="n"/>
      <c r="FB38" s="260" t="n"/>
      <c r="FC38" s="260" t="n"/>
      <c r="FD38" s="260" t="n"/>
      <c r="FE38" s="260" t="n"/>
      <c r="FF38" s="260" t="n"/>
      <c r="FG38" s="260" t="n"/>
      <c r="FH38" s="260" t="n"/>
      <c r="FI38" s="260" t="n"/>
      <c r="FJ38" s="260" t="n"/>
      <c r="FK38" s="260" t="n"/>
      <c r="FL38" s="260" t="n"/>
      <c r="FM38" s="260" t="n"/>
      <c r="FN38" s="260" t="n"/>
      <c r="FO38" s="260" t="n"/>
      <c r="FP38" s="260" t="n"/>
      <c r="FQ38" s="260" t="n"/>
      <c r="FR38" s="260" t="n"/>
      <c r="FS38" s="260" t="n"/>
      <c r="FT38" s="260" t="n"/>
      <c r="FU38" s="260" t="n"/>
      <c r="FV38" s="260" t="n"/>
      <c r="FW38" s="260" t="n"/>
      <c r="FX38" s="260" t="n"/>
      <c r="FY38" s="260" t="n"/>
      <c r="FZ38" s="260" t="n"/>
      <c r="GA38" s="260" t="n"/>
      <c r="GB38" s="260" t="n"/>
      <c r="GC38" s="260" t="n"/>
      <c r="GD38" s="260" t="n"/>
      <c r="GE38" s="260" t="n"/>
      <c r="GF38" s="260" t="n"/>
      <c r="GG38" s="260" t="n"/>
      <c r="GH38" s="260" t="n"/>
      <c r="GI38" s="260" t="n"/>
      <c r="GJ38" s="260" t="n"/>
      <c r="GK38" s="260" t="n"/>
      <c r="GL38" s="260" t="n"/>
      <c r="GM38" s="260" t="n"/>
      <c r="GN38" s="260" t="n"/>
      <c r="GO38" s="260" t="n"/>
      <c r="GP38" s="260" t="n"/>
      <c r="GQ38" s="260" t="n"/>
      <c r="GR38" s="260" t="n"/>
      <c r="GS38" s="260" t="n"/>
      <c r="GT38" s="260" t="n"/>
      <c r="GU38" s="260" t="n"/>
      <c r="GV38" s="260" t="n"/>
      <c r="GW38" s="260" t="n"/>
      <c r="GX38" s="260" t="n"/>
      <c r="GY38" s="260" t="n"/>
      <c r="GZ38" s="260" t="n"/>
      <c r="HA38" s="260" t="n"/>
      <c r="HB38" s="260" t="n"/>
      <c r="HC38" s="260" t="n"/>
      <c r="HD38" s="260" t="n"/>
      <c r="HE38" s="260" t="n"/>
      <c r="HF38" s="260" t="n"/>
      <c r="HG38" s="260" t="n"/>
      <c r="HH38" s="260" t="n"/>
      <c r="HI38" s="260" t="n"/>
      <c r="HJ38" s="260" t="n"/>
      <c r="HK38" s="260" t="n"/>
      <c r="HL38" s="260" t="n"/>
      <c r="HM38" s="260" t="n"/>
      <c r="HN38" s="260" t="n"/>
      <c r="HO38" s="260" t="n"/>
      <c r="HP38" s="260" t="n"/>
      <c r="HQ38" s="260" t="n"/>
      <c r="HR38" s="260" t="n"/>
      <c r="HS38" s="260" t="n"/>
      <c r="HT38" s="260" t="n"/>
      <c r="HU38" s="260" t="n"/>
      <c r="HV38" s="260" t="n"/>
      <c r="HW38" s="260" t="n"/>
      <c r="HX38" s="260" t="n"/>
      <c r="HY38" s="260" t="n"/>
      <c r="HZ38" s="260" t="n"/>
      <c r="IA38" s="260" t="n"/>
      <c r="IB38" s="260" t="n"/>
      <c r="IC38" s="260" t="n"/>
      <c r="ID38" s="260" t="n"/>
      <c r="IE38" s="260" t="n"/>
    </row>
    <row r="39" ht="26.4" customFormat="1" customHeight="1" s="288">
      <c r="A39" s="289" t="inlineStr">
        <is>
          <t>13. รถบรรทุก ทะเบียน 84-1022</t>
        </is>
      </c>
      <c r="B39" s="290" t="inlineStr">
        <is>
          <t>LCB</t>
        </is>
      </c>
      <c r="C39" s="290" t="inlineStr">
        <is>
          <t>B7</t>
        </is>
      </c>
      <c r="D39" s="1397" t="inlineStr">
        <is>
          <t>fleet card</t>
        </is>
      </c>
      <c r="E39" s="1397" t="inlineStr">
        <is>
          <t>L</t>
        </is>
      </c>
      <c r="F39" s="1656">
        <f>SUM(G39:R39)</f>
        <v/>
      </c>
      <c r="G39" s="1660" t="n">
        <v>150.94</v>
      </c>
      <c r="H39" s="1660" t="n">
        <v>153.08</v>
      </c>
      <c r="I39" s="1660" t="n">
        <v>160.77</v>
      </c>
      <c r="J39" s="1661" t="n">
        <v>0</v>
      </c>
      <c r="K39" s="1660" t="n">
        <v>172.31</v>
      </c>
      <c r="L39" s="1660" t="n">
        <v>155.4</v>
      </c>
      <c r="M39" s="1660" t="n">
        <v>165.37</v>
      </c>
      <c r="N39" s="1660" t="n">
        <v>164.75</v>
      </c>
      <c r="O39" s="1660" t="n">
        <v>323.35</v>
      </c>
      <c r="P39" s="1661" t="n">
        <v>0</v>
      </c>
      <c r="Q39" s="1662" t="n">
        <v>161.74</v>
      </c>
      <c r="R39" s="1660" t="n">
        <v>166.06</v>
      </c>
      <c r="S39" s="260" t="n"/>
      <c r="T39" s="260" t="n"/>
      <c r="U39" s="260" t="n"/>
      <c r="V39" s="260" t="n"/>
      <c r="W39" s="260" t="n"/>
      <c r="X39" s="260" t="n"/>
      <c r="Y39" s="260" t="n"/>
      <c r="Z39" s="260" t="n"/>
      <c r="AA39" s="260" t="n"/>
      <c r="AB39" s="260" t="n"/>
      <c r="AC39" s="260" t="n"/>
      <c r="AD39" s="260" t="n"/>
      <c r="AE39" s="260" t="n"/>
      <c r="AF39" s="260" t="n"/>
      <c r="AG39" s="260" t="n"/>
      <c r="AH39" s="260" t="n"/>
      <c r="AI39" s="260" t="n"/>
      <c r="AJ39" s="260" t="n"/>
      <c r="AK39" s="260" t="n"/>
      <c r="AL39" s="260" t="n"/>
      <c r="AM39" s="260" t="n"/>
      <c r="AN39" s="260" t="n"/>
      <c r="AO39" s="260" t="n"/>
      <c r="AP39" s="260" t="n"/>
      <c r="AQ39" s="260" t="n"/>
      <c r="AR39" s="260" t="n"/>
      <c r="AS39" s="260" t="n"/>
      <c r="AT39" s="260" t="n"/>
      <c r="AU39" s="260" t="n"/>
      <c r="AV39" s="260" t="n"/>
      <c r="AW39" s="260" t="n"/>
      <c r="AX39" s="260" t="n"/>
      <c r="AY39" s="260" t="n"/>
      <c r="AZ39" s="260" t="n"/>
      <c r="BA39" s="260" t="n"/>
      <c r="BB39" s="260" t="n"/>
      <c r="BC39" s="260" t="n"/>
      <c r="BD39" s="260" t="n"/>
      <c r="BE39" s="260" t="n"/>
      <c r="BF39" s="260" t="n"/>
      <c r="BG39" s="260" t="n"/>
      <c r="BH39" s="260" t="n"/>
      <c r="BI39" s="260" t="n"/>
      <c r="BJ39" s="260" t="n"/>
      <c r="BK39" s="260" t="n"/>
      <c r="BL39" s="260" t="n"/>
      <c r="BM39" s="260" t="n"/>
      <c r="BN39" s="260" t="n"/>
      <c r="BO39" s="260" t="n"/>
      <c r="BP39" s="260" t="n"/>
      <c r="BQ39" s="260" t="n"/>
      <c r="BR39" s="260" t="n"/>
      <c r="BS39" s="260" t="n"/>
      <c r="BT39" s="260" t="n"/>
      <c r="BU39" s="260" t="n"/>
      <c r="BV39" s="260" t="n"/>
      <c r="BW39" s="260" t="n"/>
      <c r="BX39" s="260" t="n"/>
      <c r="BY39" s="260" t="n"/>
      <c r="BZ39" s="260" t="n"/>
      <c r="CA39" s="260" t="n"/>
      <c r="CB39" s="260" t="n"/>
      <c r="CC39" s="260" t="n"/>
      <c r="CD39" s="260" t="n"/>
      <c r="CE39" s="260" t="n"/>
      <c r="CF39" s="260" t="n"/>
      <c r="CG39" s="260" t="n"/>
      <c r="CH39" s="260" t="n"/>
      <c r="CI39" s="260" t="n"/>
      <c r="CJ39" s="260" t="n"/>
      <c r="CK39" s="260" t="n"/>
      <c r="CL39" s="260" t="n"/>
      <c r="CM39" s="260" t="n"/>
      <c r="CN39" s="260" t="n"/>
      <c r="CO39" s="260" t="n"/>
      <c r="CP39" s="260" t="n"/>
      <c r="CQ39" s="260" t="n"/>
      <c r="CR39" s="260" t="n"/>
      <c r="CS39" s="260" t="n"/>
      <c r="CT39" s="260" t="n"/>
      <c r="CU39" s="260" t="n"/>
      <c r="CV39" s="260" t="n"/>
      <c r="CW39" s="260" t="n"/>
      <c r="CX39" s="260" t="n"/>
      <c r="CY39" s="260" t="n"/>
      <c r="CZ39" s="260" t="n"/>
      <c r="DA39" s="260" t="n"/>
      <c r="DB39" s="260" t="n"/>
      <c r="DC39" s="260" t="n"/>
      <c r="DD39" s="260" t="n"/>
      <c r="DE39" s="260" t="n"/>
      <c r="DF39" s="260" t="n"/>
      <c r="DG39" s="260" t="n"/>
      <c r="DH39" s="260" t="n"/>
      <c r="DI39" s="260" t="n"/>
      <c r="DJ39" s="260" t="n"/>
      <c r="DK39" s="260" t="n"/>
      <c r="DL39" s="260" t="n"/>
      <c r="DM39" s="260" t="n"/>
      <c r="DN39" s="260" t="n"/>
      <c r="DO39" s="260" t="n"/>
      <c r="DP39" s="260" t="n"/>
      <c r="DQ39" s="260" t="n"/>
      <c r="DR39" s="260" t="n"/>
      <c r="DS39" s="260" t="n"/>
      <c r="DT39" s="260" t="n"/>
      <c r="DU39" s="260" t="n"/>
      <c r="DV39" s="260" t="n"/>
      <c r="DW39" s="260" t="n"/>
      <c r="DX39" s="260" t="n"/>
      <c r="DY39" s="260" t="n"/>
      <c r="DZ39" s="260" t="n"/>
      <c r="EA39" s="260" t="n"/>
      <c r="EB39" s="260" t="n"/>
      <c r="EC39" s="260" t="n"/>
      <c r="ED39" s="260" t="n"/>
      <c r="EE39" s="260" t="n"/>
      <c r="EF39" s="260" t="n"/>
      <c r="EG39" s="260" t="n"/>
      <c r="EH39" s="260" t="n"/>
      <c r="EI39" s="260" t="n"/>
      <c r="EJ39" s="260" t="n"/>
      <c r="EK39" s="260" t="n"/>
      <c r="EL39" s="260" t="n"/>
      <c r="EM39" s="260" t="n"/>
      <c r="EN39" s="260" t="n"/>
      <c r="EO39" s="260" t="n"/>
      <c r="EP39" s="260" t="n"/>
      <c r="EQ39" s="260" t="n"/>
      <c r="ER39" s="260" t="n"/>
      <c r="ES39" s="260" t="n"/>
      <c r="ET39" s="260" t="n"/>
      <c r="EU39" s="260" t="n"/>
      <c r="EV39" s="260" t="n"/>
      <c r="EW39" s="260" t="n"/>
      <c r="EX39" s="260" t="n"/>
      <c r="EY39" s="260" t="n"/>
      <c r="EZ39" s="260" t="n"/>
      <c r="FA39" s="260" t="n"/>
      <c r="FB39" s="260" t="n"/>
      <c r="FC39" s="260" t="n"/>
      <c r="FD39" s="260" t="n"/>
      <c r="FE39" s="260" t="n"/>
      <c r="FF39" s="260" t="n"/>
      <c r="FG39" s="260" t="n"/>
      <c r="FH39" s="260" t="n"/>
      <c r="FI39" s="260" t="n"/>
      <c r="FJ39" s="260" t="n"/>
      <c r="FK39" s="260" t="n"/>
      <c r="FL39" s="260" t="n"/>
      <c r="FM39" s="260" t="n"/>
      <c r="FN39" s="260" t="n"/>
      <c r="FO39" s="260" t="n"/>
      <c r="FP39" s="260" t="n"/>
      <c r="FQ39" s="260" t="n"/>
      <c r="FR39" s="260" t="n"/>
      <c r="FS39" s="260" t="n"/>
      <c r="FT39" s="260" t="n"/>
      <c r="FU39" s="260" t="n"/>
      <c r="FV39" s="260" t="n"/>
      <c r="FW39" s="260" t="n"/>
      <c r="FX39" s="260" t="n"/>
      <c r="FY39" s="260" t="n"/>
      <c r="FZ39" s="260" t="n"/>
      <c r="GA39" s="260" t="n"/>
      <c r="GB39" s="260" t="n"/>
      <c r="GC39" s="260" t="n"/>
      <c r="GD39" s="260" t="n"/>
      <c r="GE39" s="260" t="n"/>
      <c r="GF39" s="260" t="n"/>
      <c r="GG39" s="260" t="n"/>
      <c r="GH39" s="260" t="n"/>
      <c r="GI39" s="260" t="n"/>
      <c r="GJ39" s="260" t="n"/>
      <c r="GK39" s="260" t="n"/>
      <c r="GL39" s="260" t="n"/>
      <c r="GM39" s="260" t="n"/>
      <c r="GN39" s="260" t="n"/>
      <c r="GO39" s="260" t="n"/>
      <c r="GP39" s="260" t="n"/>
      <c r="GQ39" s="260" t="n"/>
      <c r="GR39" s="260" t="n"/>
      <c r="GS39" s="260" t="n"/>
      <c r="GT39" s="260" t="n"/>
      <c r="GU39" s="260" t="n"/>
      <c r="GV39" s="260" t="n"/>
      <c r="GW39" s="260" t="n"/>
      <c r="GX39" s="260" t="n"/>
      <c r="GY39" s="260" t="n"/>
      <c r="GZ39" s="260" t="n"/>
      <c r="HA39" s="260" t="n"/>
      <c r="HB39" s="260" t="n"/>
      <c r="HC39" s="260" t="n"/>
      <c r="HD39" s="260" t="n"/>
      <c r="HE39" s="260" t="n"/>
      <c r="HF39" s="260" t="n"/>
      <c r="HG39" s="260" t="n"/>
      <c r="HH39" s="260" t="n"/>
      <c r="HI39" s="260" t="n"/>
      <c r="HJ39" s="260" t="n"/>
      <c r="HK39" s="260" t="n"/>
      <c r="HL39" s="260" t="n"/>
      <c r="HM39" s="260" t="n"/>
      <c r="HN39" s="260" t="n"/>
      <c r="HO39" s="260" t="n"/>
      <c r="HP39" s="260" t="n"/>
      <c r="HQ39" s="260" t="n"/>
      <c r="HR39" s="260" t="n"/>
      <c r="HS39" s="260" t="n"/>
      <c r="HT39" s="260" t="n"/>
      <c r="HU39" s="260" t="n"/>
      <c r="HV39" s="260" t="n"/>
      <c r="HW39" s="260" t="n"/>
      <c r="HX39" s="260" t="n"/>
      <c r="HY39" s="260" t="n"/>
      <c r="HZ39" s="260" t="n"/>
      <c r="IA39" s="260" t="n"/>
      <c r="IB39" s="260" t="n"/>
      <c r="IC39" s="260" t="n"/>
      <c r="ID39" s="260" t="n"/>
      <c r="IE39" s="260" t="n"/>
    </row>
    <row r="40" ht="26.4" customFormat="1" customHeight="1" s="288">
      <c r="A40" s="289" t="n"/>
      <c r="B40" s="290" t="n"/>
      <c r="C40" s="290" t="inlineStr">
        <is>
          <t>B10</t>
        </is>
      </c>
      <c r="D40" s="1397" t="n"/>
      <c r="E40" s="1397" t="n"/>
      <c r="F40" s="1656">
        <f>SUM(G40:R40)</f>
        <v/>
      </c>
      <c r="G40" s="1660" t="n">
        <v>0</v>
      </c>
      <c r="H40" s="1660" t="n">
        <v>0</v>
      </c>
      <c r="I40" s="1660" t="n">
        <v>0</v>
      </c>
      <c r="J40" s="1661" t="n"/>
      <c r="K40" s="1660" t="n">
        <v>0</v>
      </c>
      <c r="L40" s="1660" t="n">
        <v>0</v>
      </c>
      <c r="M40" s="1660" t="n">
        <v>0</v>
      </c>
      <c r="N40" s="1660" t="n">
        <v>0</v>
      </c>
      <c r="O40" s="1660" t="n">
        <v>0</v>
      </c>
      <c r="P40" s="1635" t="n">
        <v>0</v>
      </c>
      <c r="Q40" s="1657" t="n">
        <v>0</v>
      </c>
      <c r="R40" s="1635" t="n">
        <v>0</v>
      </c>
      <c r="S40" s="260" t="n"/>
      <c r="T40" s="260" t="n"/>
      <c r="U40" s="260" t="n"/>
      <c r="V40" s="260" t="n"/>
      <c r="W40" s="260" t="n"/>
      <c r="X40" s="260" t="n"/>
      <c r="Y40" s="260" t="n"/>
      <c r="Z40" s="260" t="n"/>
      <c r="AA40" s="260" t="n"/>
      <c r="AB40" s="260" t="n"/>
      <c r="AC40" s="260" t="n"/>
      <c r="AD40" s="260" t="n"/>
      <c r="AE40" s="260" t="n"/>
      <c r="AF40" s="260" t="n"/>
      <c r="AG40" s="260" t="n"/>
      <c r="AH40" s="260" t="n"/>
      <c r="AI40" s="260" t="n"/>
      <c r="AJ40" s="260" t="n"/>
      <c r="AK40" s="260" t="n"/>
      <c r="AL40" s="260" t="n"/>
      <c r="AM40" s="260" t="n"/>
      <c r="AN40" s="260" t="n"/>
      <c r="AO40" s="260" t="n"/>
      <c r="AP40" s="260" t="n"/>
      <c r="AQ40" s="260" t="n"/>
      <c r="AR40" s="260" t="n"/>
      <c r="AS40" s="260" t="n"/>
      <c r="AT40" s="260" t="n"/>
      <c r="AU40" s="260" t="n"/>
      <c r="AV40" s="260" t="n"/>
      <c r="AW40" s="260" t="n"/>
      <c r="AX40" s="260" t="n"/>
      <c r="AY40" s="260" t="n"/>
      <c r="AZ40" s="260" t="n"/>
      <c r="BA40" s="260" t="n"/>
      <c r="BB40" s="260" t="n"/>
      <c r="BC40" s="260" t="n"/>
      <c r="BD40" s="260" t="n"/>
      <c r="BE40" s="260" t="n"/>
      <c r="BF40" s="260" t="n"/>
      <c r="BG40" s="260" t="n"/>
      <c r="BH40" s="260" t="n"/>
      <c r="BI40" s="260" t="n"/>
      <c r="BJ40" s="260" t="n"/>
      <c r="BK40" s="260" t="n"/>
      <c r="BL40" s="260" t="n"/>
      <c r="BM40" s="260" t="n"/>
      <c r="BN40" s="260" t="n"/>
      <c r="BO40" s="260" t="n"/>
      <c r="BP40" s="260" t="n"/>
      <c r="BQ40" s="260" t="n"/>
      <c r="BR40" s="260" t="n"/>
      <c r="BS40" s="260" t="n"/>
      <c r="BT40" s="260" t="n"/>
      <c r="BU40" s="260" t="n"/>
      <c r="BV40" s="260" t="n"/>
      <c r="BW40" s="260" t="n"/>
      <c r="BX40" s="260" t="n"/>
      <c r="BY40" s="260" t="n"/>
      <c r="BZ40" s="260" t="n"/>
      <c r="CA40" s="260" t="n"/>
      <c r="CB40" s="260" t="n"/>
      <c r="CC40" s="260" t="n"/>
      <c r="CD40" s="260" t="n"/>
      <c r="CE40" s="260" t="n"/>
      <c r="CF40" s="260" t="n"/>
      <c r="CG40" s="260" t="n"/>
      <c r="CH40" s="260" t="n"/>
      <c r="CI40" s="260" t="n"/>
      <c r="CJ40" s="260" t="n"/>
      <c r="CK40" s="260" t="n"/>
      <c r="CL40" s="260" t="n"/>
      <c r="CM40" s="260" t="n"/>
      <c r="CN40" s="260" t="n"/>
      <c r="CO40" s="260" t="n"/>
      <c r="CP40" s="260" t="n"/>
      <c r="CQ40" s="260" t="n"/>
      <c r="CR40" s="260" t="n"/>
      <c r="CS40" s="260" t="n"/>
      <c r="CT40" s="260" t="n"/>
      <c r="CU40" s="260" t="n"/>
      <c r="CV40" s="260" t="n"/>
      <c r="CW40" s="260" t="n"/>
      <c r="CX40" s="260" t="n"/>
      <c r="CY40" s="260" t="n"/>
      <c r="CZ40" s="260" t="n"/>
      <c r="DA40" s="260" t="n"/>
      <c r="DB40" s="260" t="n"/>
      <c r="DC40" s="260" t="n"/>
      <c r="DD40" s="260" t="n"/>
      <c r="DE40" s="260" t="n"/>
      <c r="DF40" s="260" t="n"/>
      <c r="DG40" s="260" t="n"/>
      <c r="DH40" s="260" t="n"/>
      <c r="DI40" s="260" t="n"/>
      <c r="DJ40" s="260" t="n"/>
      <c r="DK40" s="260" t="n"/>
      <c r="DL40" s="260" t="n"/>
      <c r="DM40" s="260" t="n"/>
      <c r="DN40" s="260" t="n"/>
      <c r="DO40" s="260" t="n"/>
      <c r="DP40" s="260" t="n"/>
      <c r="DQ40" s="260" t="n"/>
      <c r="DR40" s="260" t="n"/>
      <c r="DS40" s="260" t="n"/>
      <c r="DT40" s="260" t="n"/>
      <c r="DU40" s="260" t="n"/>
      <c r="DV40" s="260" t="n"/>
      <c r="DW40" s="260" t="n"/>
      <c r="DX40" s="260" t="n"/>
      <c r="DY40" s="260" t="n"/>
      <c r="DZ40" s="260" t="n"/>
      <c r="EA40" s="260" t="n"/>
      <c r="EB40" s="260" t="n"/>
      <c r="EC40" s="260" t="n"/>
      <c r="ED40" s="260" t="n"/>
      <c r="EE40" s="260" t="n"/>
      <c r="EF40" s="260" t="n"/>
      <c r="EG40" s="260" t="n"/>
      <c r="EH40" s="260" t="n"/>
      <c r="EI40" s="260" t="n"/>
      <c r="EJ40" s="260" t="n"/>
      <c r="EK40" s="260" t="n"/>
      <c r="EL40" s="260" t="n"/>
      <c r="EM40" s="260" t="n"/>
      <c r="EN40" s="260" t="n"/>
      <c r="EO40" s="260" t="n"/>
      <c r="EP40" s="260" t="n"/>
      <c r="EQ40" s="260" t="n"/>
      <c r="ER40" s="260" t="n"/>
      <c r="ES40" s="260" t="n"/>
      <c r="ET40" s="260" t="n"/>
      <c r="EU40" s="260" t="n"/>
      <c r="EV40" s="260" t="n"/>
      <c r="EW40" s="260" t="n"/>
      <c r="EX40" s="260" t="n"/>
      <c r="EY40" s="260" t="n"/>
      <c r="EZ40" s="260" t="n"/>
      <c r="FA40" s="260" t="n"/>
      <c r="FB40" s="260" t="n"/>
      <c r="FC40" s="260" t="n"/>
      <c r="FD40" s="260" t="n"/>
      <c r="FE40" s="260" t="n"/>
      <c r="FF40" s="260" t="n"/>
      <c r="FG40" s="260" t="n"/>
      <c r="FH40" s="260" t="n"/>
      <c r="FI40" s="260" t="n"/>
      <c r="FJ40" s="260" t="n"/>
      <c r="FK40" s="260" t="n"/>
      <c r="FL40" s="260" t="n"/>
      <c r="FM40" s="260" t="n"/>
      <c r="FN40" s="260" t="n"/>
      <c r="FO40" s="260" t="n"/>
      <c r="FP40" s="260" t="n"/>
      <c r="FQ40" s="260" t="n"/>
      <c r="FR40" s="260" t="n"/>
      <c r="FS40" s="260" t="n"/>
      <c r="FT40" s="260" t="n"/>
      <c r="FU40" s="260" t="n"/>
      <c r="FV40" s="260" t="n"/>
      <c r="FW40" s="260" t="n"/>
      <c r="FX40" s="260" t="n"/>
      <c r="FY40" s="260" t="n"/>
      <c r="FZ40" s="260" t="n"/>
      <c r="GA40" s="260" t="n"/>
      <c r="GB40" s="260" t="n"/>
      <c r="GC40" s="260" t="n"/>
      <c r="GD40" s="260" t="n"/>
      <c r="GE40" s="260" t="n"/>
      <c r="GF40" s="260" t="n"/>
      <c r="GG40" s="260" t="n"/>
      <c r="GH40" s="260" t="n"/>
      <c r="GI40" s="260" t="n"/>
      <c r="GJ40" s="260" t="n"/>
      <c r="GK40" s="260" t="n"/>
      <c r="GL40" s="260" t="n"/>
      <c r="GM40" s="260" t="n"/>
      <c r="GN40" s="260" t="n"/>
      <c r="GO40" s="260" t="n"/>
      <c r="GP40" s="260" t="n"/>
      <c r="GQ40" s="260" t="n"/>
      <c r="GR40" s="260" t="n"/>
      <c r="GS40" s="260" t="n"/>
      <c r="GT40" s="260" t="n"/>
      <c r="GU40" s="260" t="n"/>
      <c r="GV40" s="260" t="n"/>
      <c r="GW40" s="260" t="n"/>
      <c r="GX40" s="260" t="n"/>
      <c r="GY40" s="260" t="n"/>
      <c r="GZ40" s="260" t="n"/>
      <c r="HA40" s="260" t="n"/>
      <c r="HB40" s="260" t="n"/>
      <c r="HC40" s="260" t="n"/>
      <c r="HD40" s="260" t="n"/>
      <c r="HE40" s="260" t="n"/>
      <c r="HF40" s="260" t="n"/>
      <c r="HG40" s="260" t="n"/>
      <c r="HH40" s="260" t="n"/>
      <c r="HI40" s="260" t="n"/>
      <c r="HJ40" s="260" t="n"/>
      <c r="HK40" s="260" t="n"/>
      <c r="HL40" s="260" t="n"/>
      <c r="HM40" s="260" t="n"/>
      <c r="HN40" s="260" t="n"/>
      <c r="HO40" s="260" t="n"/>
      <c r="HP40" s="260" t="n"/>
      <c r="HQ40" s="260" t="n"/>
      <c r="HR40" s="260" t="n"/>
      <c r="HS40" s="260" t="n"/>
      <c r="HT40" s="260" t="n"/>
      <c r="HU40" s="260" t="n"/>
      <c r="HV40" s="260" t="n"/>
      <c r="HW40" s="260" t="n"/>
      <c r="HX40" s="260" t="n"/>
      <c r="HY40" s="260" t="n"/>
      <c r="HZ40" s="260" t="n"/>
      <c r="IA40" s="260" t="n"/>
      <c r="IB40" s="260" t="n"/>
      <c r="IC40" s="260" t="n"/>
      <c r="ID40" s="260" t="n"/>
      <c r="IE40" s="260" t="n"/>
    </row>
    <row r="41" ht="26.4" customFormat="1" customHeight="1" s="288">
      <c r="A41" s="289" t="inlineStr">
        <is>
          <t>14. รถบรรทุก ทะเบียน 86-8438</t>
        </is>
      </c>
      <c r="B41" s="290" t="inlineStr">
        <is>
          <t>LCB</t>
        </is>
      </c>
      <c r="C41" s="290" t="inlineStr">
        <is>
          <t>B7</t>
        </is>
      </c>
      <c r="D41" s="1397" t="inlineStr">
        <is>
          <t>fleet card</t>
        </is>
      </c>
      <c r="E41" s="1397" t="inlineStr">
        <is>
          <t>L</t>
        </is>
      </c>
      <c r="F41" s="1656">
        <f>SUM(G41:R41)</f>
        <v/>
      </c>
      <c r="G41" s="1660" t="n">
        <v>144.18</v>
      </c>
      <c r="H41" s="1660" t="n">
        <v>315.32</v>
      </c>
      <c r="I41" s="1660" t="n">
        <v>294.42</v>
      </c>
      <c r="J41" s="1660" t="n">
        <v>149.95</v>
      </c>
      <c r="K41" s="1660" t="n">
        <v>294.18</v>
      </c>
      <c r="L41" s="1660" t="n">
        <v>285.58</v>
      </c>
      <c r="M41" s="1660" t="n">
        <v>308.31</v>
      </c>
      <c r="N41" s="1660" t="n">
        <v>310.8</v>
      </c>
      <c r="O41" s="1660" t="n">
        <v>298.04</v>
      </c>
      <c r="P41" s="1660" t="n">
        <v>148.45</v>
      </c>
      <c r="Q41" s="1662" t="n">
        <v>152.77</v>
      </c>
      <c r="R41" s="1660" t="n">
        <v>298.91</v>
      </c>
      <c r="S41" s="260" t="n"/>
      <c r="T41" s="260" t="n"/>
      <c r="U41" s="260" t="n"/>
      <c r="V41" s="260" t="n"/>
      <c r="W41" s="260" t="n"/>
      <c r="X41" s="260" t="n"/>
      <c r="Y41" s="260" t="n"/>
      <c r="Z41" s="260" t="n"/>
      <c r="AA41" s="260" t="n"/>
      <c r="AB41" s="260" t="n"/>
      <c r="AC41" s="260" t="n"/>
      <c r="AD41" s="260" t="n"/>
      <c r="AE41" s="260" t="n"/>
      <c r="AF41" s="260" t="n"/>
      <c r="AG41" s="260" t="n"/>
      <c r="AH41" s="260" t="n"/>
      <c r="AI41" s="260" t="n"/>
      <c r="AJ41" s="260" t="n"/>
      <c r="AK41" s="260" t="n"/>
      <c r="AL41" s="260" t="n"/>
      <c r="AM41" s="260" t="n"/>
      <c r="AN41" s="260" t="n"/>
      <c r="AO41" s="260" t="n"/>
      <c r="AP41" s="260" t="n"/>
      <c r="AQ41" s="260" t="n"/>
      <c r="AR41" s="260" t="n"/>
      <c r="AS41" s="260" t="n"/>
      <c r="AT41" s="260" t="n"/>
      <c r="AU41" s="260" t="n"/>
      <c r="AV41" s="260" t="n"/>
      <c r="AW41" s="260" t="n"/>
      <c r="AX41" s="260" t="n"/>
      <c r="AY41" s="260" t="n"/>
      <c r="AZ41" s="260" t="n"/>
      <c r="BA41" s="260" t="n"/>
      <c r="BB41" s="260" t="n"/>
      <c r="BC41" s="260" t="n"/>
      <c r="BD41" s="260" t="n"/>
      <c r="BE41" s="260" t="n"/>
      <c r="BF41" s="260" t="n"/>
      <c r="BG41" s="260" t="n"/>
      <c r="BH41" s="260" t="n"/>
      <c r="BI41" s="260" t="n"/>
      <c r="BJ41" s="260" t="n"/>
      <c r="BK41" s="260" t="n"/>
      <c r="BL41" s="260" t="n"/>
      <c r="BM41" s="260" t="n"/>
      <c r="BN41" s="260" t="n"/>
      <c r="BO41" s="260" t="n"/>
      <c r="BP41" s="260" t="n"/>
      <c r="BQ41" s="260" t="n"/>
      <c r="BR41" s="260" t="n"/>
      <c r="BS41" s="260" t="n"/>
      <c r="BT41" s="260" t="n"/>
      <c r="BU41" s="260" t="n"/>
      <c r="BV41" s="260" t="n"/>
      <c r="BW41" s="260" t="n"/>
      <c r="BX41" s="260" t="n"/>
      <c r="BY41" s="260" t="n"/>
      <c r="BZ41" s="260" t="n"/>
      <c r="CA41" s="260" t="n"/>
      <c r="CB41" s="260" t="n"/>
      <c r="CC41" s="260" t="n"/>
      <c r="CD41" s="260" t="n"/>
      <c r="CE41" s="260" t="n"/>
      <c r="CF41" s="260" t="n"/>
      <c r="CG41" s="260" t="n"/>
      <c r="CH41" s="260" t="n"/>
      <c r="CI41" s="260" t="n"/>
      <c r="CJ41" s="260" t="n"/>
      <c r="CK41" s="260" t="n"/>
      <c r="CL41" s="260" t="n"/>
      <c r="CM41" s="260" t="n"/>
      <c r="CN41" s="260" t="n"/>
      <c r="CO41" s="260" t="n"/>
      <c r="CP41" s="260" t="n"/>
      <c r="CQ41" s="260" t="n"/>
      <c r="CR41" s="260" t="n"/>
      <c r="CS41" s="260" t="n"/>
      <c r="CT41" s="260" t="n"/>
      <c r="CU41" s="260" t="n"/>
      <c r="CV41" s="260" t="n"/>
      <c r="CW41" s="260" t="n"/>
      <c r="CX41" s="260" t="n"/>
      <c r="CY41" s="260" t="n"/>
      <c r="CZ41" s="260" t="n"/>
      <c r="DA41" s="260" t="n"/>
      <c r="DB41" s="260" t="n"/>
      <c r="DC41" s="260" t="n"/>
      <c r="DD41" s="260" t="n"/>
      <c r="DE41" s="260" t="n"/>
      <c r="DF41" s="260" t="n"/>
      <c r="DG41" s="260" t="n"/>
      <c r="DH41" s="260" t="n"/>
      <c r="DI41" s="260" t="n"/>
      <c r="DJ41" s="260" t="n"/>
      <c r="DK41" s="260" t="n"/>
      <c r="DL41" s="260" t="n"/>
      <c r="DM41" s="260" t="n"/>
      <c r="DN41" s="260" t="n"/>
      <c r="DO41" s="260" t="n"/>
      <c r="DP41" s="260" t="n"/>
      <c r="DQ41" s="260" t="n"/>
      <c r="DR41" s="260" t="n"/>
      <c r="DS41" s="260" t="n"/>
      <c r="DT41" s="260" t="n"/>
      <c r="DU41" s="260" t="n"/>
      <c r="DV41" s="260" t="n"/>
      <c r="DW41" s="260" t="n"/>
      <c r="DX41" s="260" t="n"/>
      <c r="DY41" s="260" t="n"/>
      <c r="DZ41" s="260" t="n"/>
      <c r="EA41" s="260" t="n"/>
      <c r="EB41" s="260" t="n"/>
      <c r="EC41" s="260" t="n"/>
      <c r="ED41" s="260" t="n"/>
      <c r="EE41" s="260" t="n"/>
      <c r="EF41" s="260" t="n"/>
      <c r="EG41" s="260" t="n"/>
      <c r="EH41" s="260" t="n"/>
      <c r="EI41" s="260" t="n"/>
      <c r="EJ41" s="260" t="n"/>
      <c r="EK41" s="260" t="n"/>
      <c r="EL41" s="260" t="n"/>
      <c r="EM41" s="260" t="n"/>
      <c r="EN41" s="260" t="n"/>
      <c r="EO41" s="260" t="n"/>
      <c r="EP41" s="260" t="n"/>
      <c r="EQ41" s="260" t="n"/>
      <c r="ER41" s="260" t="n"/>
      <c r="ES41" s="260" t="n"/>
      <c r="ET41" s="260" t="n"/>
      <c r="EU41" s="260" t="n"/>
      <c r="EV41" s="260" t="n"/>
      <c r="EW41" s="260" t="n"/>
      <c r="EX41" s="260" t="n"/>
      <c r="EY41" s="260" t="n"/>
      <c r="EZ41" s="260" t="n"/>
      <c r="FA41" s="260" t="n"/>
      <c r="FB41" s="260" t="n"/>
      <c r="FC41" s="260" t="n"/>
      <c r="FD41" s="260" t="n"/>
      <c r="FE41" s="260" t="n"/>
      <c r="FF41" s="260" t="n"/>
      <c r="FG41" s="260" t="n"/>
      <c r="FH41" s="260" t="n"/>
      <c r="FI41" s="260" t="n"/>
      <c r="FJ41" s="260" t="n"/>
      <c r="FK41" s="260" t="n"/>
      <c r="FL41" s="260" t="n"/>
      <c r="FM41" s="260" t="n"/>
      <c r="FN41" s="260" t="n"/>
      <c r="FO41" s="260" t="n"/>
      <c r="FP41" s="260" t="n"/>
      <c r="FQ41" s="260" t="n"/>
      <c r="FR41" s="260" t="n"/>
      <c r="FS41" s="260" t="n"/>
      <c r="FT41" s="260" t="n"/>
      <c r="FU41" s="260" t="n"/>
      <c r="FV41" s="260" t="n"/>
      <c r="FW41" s="260" t="n"/>
      <c r="FX41" s="260" t="n"/>
      <c r="FY41" s="260" t="n"/>
      <c r="FZ41" s="260" t="n"/>
      <c r="GA41" s="260" t="n"/>
      <c r="GB41" s="260" t="n"/>
      <c r="GC41" s="260" t="n"/>
      <c r="GD41" s="260" t="n"/>
      <c r="GE41" s="260" t="n"/>
      <c r="GF41" s="260" t="n"/>
      <c r="GG41" s="260" t="n"/>
      <c r="GH41" s="260" t="n"/>
      <c r="GI41" s="260" t="n"/>
      <c r="GJ41" s="260" t="n"/>
      <c r="GK41" s="260" t="n"/>
      <c r="GL41" s="260" t="n"/>
      <c r="GM41" s="260" t="n"/>
      <c r="GN41" s="260" t="n"/>
      <c r="GO41" s="260" t="n"/>
      <c r="GP41" s="260" t="n"/>
      <c r="GQ41" s="260" t="n"/>
      <c r="GR41" s="260" t="n"/>
      <c r="GS41" s="260" t="n"/>
      <c r="GT41" s="260" t="n"/>
      <c r="GU41" s="260" t="n"/>
      <c r="GV41" s="260" t="n"/>
      <c r="GW41" s="260" t="n"/>
      <c r="GX41" s="260" t="n"/>
      <c r="GY41" s="260" t="n"/>
      <c r="GZ41" s="260" t="n"/>
      <c r="HA41" s="260" t="n"/>
      <c r="HB41" s="260" t="n"/>
      <c r="HC41" s="260" t="n"/>
      <c r="HD41" s="260" t="n"/>
      <c r="HE41" s="260" t="n"/>
      <c r="HF41" s="260" t="n"/>
      <c r="HG41" s="260" t="n"/>
      <c r="HH41" s="260" t="n"/>
      <c r="HI41" s="260" t="n"/>
      <c r="HJ41" s="260" t="n"/>
      <c r="HK41" s="260" t="n"/>
      <c r="HL41" s="260" t="n"/>
      <c r="HM41" s="260" t="n"/>
      <c r="HN41" s="260" t="n"/>
      <c r="HO41" s="260" t="n"/>
      <c r="HP41" s="260" t="n"/>
      <c r="HQ41" s="260" t="n"/>
      <c r="HR41" s="260" t="n"/>
      <c r="HS41" s="260" t="n"/>
      <c r="HT41" s="260" t="n"/>
      <c r="HU41" s="260" t="n"/>
      <c r="HV41" s="260" t="n"/>
      <c r="HW41" s="260" t="n"/>
      <c r="HX41" s="260" t="n"/>
      <c r="HY41" s="260" t="n"/>
      <c r="HZ41" s="260" t="n"/>
      <c r="IA41" s="260" t="n"/>
      <c r="IB41" s="260" t="n"/>
      <c r="IC41" s="260" t="n"/>
      <c r="ID41" s="260" t="n"/>
      <c r="IE41" s="260" t="n"/>
    </row>
    <row r="42" ht="26.4" customFormat="1" customHeight="1" s="288">
      <c r="A42" s="289" t="n"/>
      <c r="B42" s="290" t="n"/>
      <c r="C42" s="290" t="inlineStr">
        <is>
          <t>B10</t>
        </is>
      </c>
      <c r="D42" s="1397" t="n"/>
      <c r="E42" s="1397" t="n"/>
      <c r="F42" s="1656">
        <f>SUM(G42:R42)</f>
        <v/>
      </c>
      <c r="G42" s="1660" t="n">
        <v>0</v>
      </c>
      <c r="H42" s="1660" t="n">
        <v>0</v>
      </c>
      <c r="I42" s="1660" t="n">
        <v>0</v>
      </c>
      <c r="J42" s="1660" t="n">
        <v>0</v>
      </c>
      <c r="K42" s="1660" t="n">
        <v>0</v>
      </c>
      <c r="L42" s="1660" t="n">
        <v>0</v>
      </c>
      <c r="M42" s="1660" t="n">
        <v>0</v>
      </c>
      <c r="N42" s="1660" t="n">
        <v>0</v>
      </c>
      <c r="O42" s="1660" t="n">
        <v>0</v>
      </c>
      <c r="P42" s="1635" t="n">
        <v>0</v>
      </c>
      <c r="Q42" s="1657" t="n">
        <v>0</v>
      </c>
      <c r="R42" s="1635" t="n">
        <v>0</v>
      </c>
      <c r="S42" s="260" t="n"/>
      <c r="T42" s="260" t="n"/>
      <c r="U42" s="260" t="n"/>
      <c r="V42" s="260" t="n"/>
      <c r="W42" s="260" t="n"/>
      <c r="X42" s="260" t="n"/>
      <c r="Y42" s="260" t="n"/>
      <c r="Z42" s="260" t="n"/>
      <c r="AA42" s="260" t="n"/>
      <c r="AB42" s="260" t="n"/>
      <c r="AC42" s="260" t="n"/>
      <c r="AD42" s="260" t="n"/>
      <c r="AE42" s="260" t="n"/>
      <c r="AF42" s="260" t="n"/>
      <c r="AG42" s="260" t="n"/>
      <c r="AH42" s="260" t="n"/>
      <c r="AI42" s="260" t="n"/>
      <c r="AJ42" s="260" t="n"/>
      <c r="AK42" s="260" t="n"/>
      <c r="AL42" s="260" t="n"/>
      <c r="AM42" s="260" t="n"/>
      <c r="AN42" s="260" t="n"/>
      <c r="AO42" s="260" t="n"/>
      <c r="AP42" s="260" t="n"/>
      <c r="AQ42" s="260" t="n"/>
      <c r="AR42" s="260" t="n"/>
      <c r="AS42" s="260" t="n"/>
      <c r="AT42" s="260" t="n"/>
      <c r="AU42" s="260" t="n"/>
      <c r="AV42" s="260" t="n"/>
      <c r="AW42" s="260" t="n"/>
      <c r="AX42" s="260" t="n"/>
      <c r="AY42" s="260" t="n"/>
      <c r="AZ42" s="260" t="n"/>
      <c r="BA42" s="260" t="n"/>
      <c r="BB42" s="260" t="n"/>
      <c r="BC42" s="260" t="n"/>
      <c r="BD42" s="260" t="n"/>
      <c r="BE42" s="260" t="n"/>
      <c r="BF42" s="260" t="n"/>
      <c r="BG42" s="260" t="n"/>
      <c r="BH42" s="260" t="n"/>
      <c r="BI42" s="260" t="n"/>
      <c r="BJ42" s="260" t="n"/>
      <c r="BK42" s="260" t="n"/>
      <c r="BL42" s="260" t="n"/>
      <c r="BM42" s="260" t="n"/>
      <c r="BN42" s="260" t="n"/>
      <c r="BO42" s="260" t="n"/>
      <c r="BP42" s="260" t="n"/>
      <c r="BQ42" s="260" t="n"/>
      <c r="BR42" s="260" t="n"/>
      <c r="BS42" s="260" t="n"/>
      <c r="BT42" s="260" t="n"/>
      <c r="BU42" s="260" t="n"/>
      <c r="BV42" s="260" t="n"/>
      <c r="BW42" s="260" t="n"/>
      <c r="BX42" s="260" t="n"/>
      <c r="BY42" s="260" t="n"/>
      <c r="BZ42" s="260" t="n"/>
      <c r="CA42" s="260" t="n"/>
      <c r="CB42" s="260" t="n"/>
      <c r="CC42" s="260" t="n"/>
      <c r="CD42" s="260" t="n"/>
      <c r="CE42" s="260" t="n"/>
      <c r="CF42" s="260" t="n"/>
      <c r="CG42" s="260" t="n"/>
      <c r="CH42" s="260" t="n"/>
      <c r="CI42" s="260" t="n"/>
      <c r="CJ42" s="260" t="n"/>
      <c r="CK42" s="260" t="n"/>
      <c r="CL42" s="260" t="n"/>
      <c r="CM42" s="260" t="n"/>
      <c r="CN42" s="260" t="n"/>
      <c r="CO42" s="260" t="n"/>
      <c r="CP42" s="260" t="n"/>
      <c r="CQ42" s="260" t="n"/>
      <c r="CR42" s="260" t="n"/>
      <c r="CS42" s="260" t="n"/>
      <c r="CT42" s="260" t="n"/>
      <c r="CU42" s="260" t="n"/>
      <c r="CV42" s="260" t="n"/>
      <c r="CW42" s="260" t="n"/>
      <c r="CX42" s="260" t="n"/>
      <c r="CY42" s="260" t="n"/>
      <c r="CZ42" s="260" t="n"/>
      <c r="DA42" s="260" t="n"/>
      <c r="DB42" s="260" t="n"/>
      <c r="DC42" s="260" t="n"/>
      <c r="DD42" s="260" t="n"/>
      <c r="DE42" s="260" t="n"/>
      <c r="DF42" s="260" t="n"/>
      <c r="DG42" s="260" t="n"/>
      <c r="DH42" s="260" t="n"/>
      <c r="DI42" s="260" t="n"/>
      <c r="DJ42" s="260" t="n"/>
      <c r="DK42" s="260" t="n"/>
      <c r="DL42" s="260" t="n"/>
      <c r="DM42" s="260" t="n"/>
      <c r="DN42" s="260" t="n"/>
      <c r="DO42" s="260" t="n"/>
      <c r="DP42" s="260" t="n"/>
      <c r="DQ42" s="260" t="n"/>
      <c r="DR42" s="260" t="n"/>
      <c r="DS42" s="260" t="n"/>
      <c r="DT42" s="260" t="n"/>
      <c r="DU42" s="260" t="n"/>
      <c r="DV42" s="260" t="n"/>
      <c r="DW42" s="260" t="n"/>
      <c r="DX42" s="260" t="n"/>
      <c r="DY42" s="260" t="n"/>
      <c r="DZ42" s="260" t="n"/>
      <c r="EA42" s="260" t="n"/>
      <c r="EB42" s="260" t="n"/>
      <c r="EC42" s="260" t="n"/>
      <c r="ED42" s="260" t="n"/>
      <c r="EE42" s="260" t="n"/>
      <c r="EF42" s="260" t="n"/>
      <c r="EG42" s="260" t="n"/>
      <c r="EH42" s="260" t="n"/>
      <c r="EI42" s="260" t="n"/>
      <c r="EJ42" s="260" t="n"/>
      <c r="EK42" s="260" t="n"/>
      <c r="EL42" s="260" t="n"/>
      <c r="EM42" s="260" t="n"/>
      <c r="EN42" s="260" t="n"/>
      <c r="EO42" s="260" t="n"/>
      <c r="EP42" s="260" t="n"/>
      <c r="EQ42" s="260" t="n"/>
      <c r="ER42" s="260" t="n"/>
      <c r="ES42" s="260" t="n"/>
      <c r="ET42" s="260" t="n"/>
      <c r="EU42" s="260" t="n"/>
      <c r="EV42" s="260" t="n"/>
      <c r="EW42" s="260" t="n"/>
      <c r="EX42" s="260" t="n"/>
      <c r="EY42" s="260" t="n"/>
      <c r="EZ42" s="260" t="n"/>
      <c r="FA42" s="260" t="n"/>
      <c r="FB42" s="260" t="n"/>
      <c r="FC42" s="260" t="n"/>
      <c r="FD42" s="260" t="n"/>
      <c r="FE42" s="260" t="n"/>
      <c r="FF42" s="260" t="n"/>
      <c r="FG42" s="260" t="n"/>
      <c r="FH42" s="260" t="n"/>
      <c r="FI42" s="260" t="n"/>
      <c r="FJ42" s="260" t="n"/>
      <c r="FK42" s="260" t="n"/>
      <c r="FL42" s="260" t="n"/>
      <c r="FM42" s="260" t="n"/>
      <c r="FN42" s="260" t="n"/>
      <c r="FO42" s="260" t="n"/>
      <c r="FP42" s="260" t="n"/>
      <c r="FQ42" s="260" t="n"/>
      <c r="FR42" s="260" t="n"/>
      <c r="FS42" s="260" t="n"/>
      <c r="FT42" s="260" t="n"/>
      <c r="FU42" s="260" t="n"/>
      <c r="FV42" s="260" t="n"/>
      <c r="FW42" s="260" t="n"/>
      <c r="FX42" s="260" t="n"/>
      <c r="FY42" s="260" t="n"/>
      <c r="FZ42" s="260" t="n"/>
      <c r="GA42" s="260" t="n"/>
      <c r="GB42" s="260" t="n"/>
      <c r="GC42" s="260" t="n"/>
      <c r="GD42" s="260" t="n"/>
      <c r="GE42" s="260" t="n"/>
      <c r="GF42" s="260" t="n"/>
      <c r="GG42" s="260" t="n"/>
      <c r="GH42" s="260" t="n"/>
      <c r="GI42" s="260" t="n"/>
      <c r="GJ42" s="260" t="n"/>
      <c r="GK42" s="260" t="n"/>
      <c r="GL42" s="260" t="n"/>
      <c r="GM42" s="260" t="n"/>
      <c r="GN42" s="260" t="n"/>
      <c r="GO42" s="260" t="n"/>
      <c r="GP42" s="260" t="n"/>
      <c r="GQ42" s="260" t="n"/>
      <c r="GR42" s="260" t="n"/>
      <c r="GS42" s="260" t="n"/>
      <c r="GT42" s="260" t="n"/>
      <c r="GU42" s="260" t="n"/>
      <c r="GV42" s="260" t="n"/>
      <c r="GW42" s="260" t="n"/>
      <c r="GX42" s="260" t="n"/>
      <c r="GY42" s="260" t="n"/>
      <c r="GZ42" s="260" t="n"/>
      <c r="HA42" s="260" t="n"/>
      <c r="HB42" s="260" t="n"/>
      <c r="HC42" s="260" t="n"/>
      <c r="HD42" s="260" t="n"/>
      <c r="HE42" s="260" t="n"/>
      <c r="HF42" s="260" t="n"/>
      <c r="HG42" s="260" t="n"/>
      <c r="HH42" s="260" t="n"/>
      <c r="HI42" s="260" t="n"/>
      <c r="HJ42" s="260" t="n"/>
      <c r="HK42" s="260" t="n"/>
      <c r="HL42" s="260" t="n"/>
      <c r="HM42" s="260" t="n"/>
      <c r="HN42" s="260" t="n"/>
      <c r="HO42" s="260" t="n"/>
      <c r="HP42" s="260" t="n"/>
      <c r="HQ42" s="260" t="n"/>
      <c r="HR42" s="260" t="n"/>
      <c r="HS42" s="260" t="n"/>
      <c r="HT42" s="260" t="n"/>
      <c r="HU42" s="260" t="n"/>
      <c r="HV42" s="260" t="n"/>
      <c r="HW42" s="260" t="n"/>
      <c r="HX42" s="260" t="n"/>
      <c r="HY42" s="260" t="n"/>
      <c r="HZ42" s="260" t="n"/>
      <c r="IA42" s="260" t="n"/>
      <c r="IB42" s="260" t="n"/>
      <c r="IC42" s="260" t="n"/>
      <c r="ID42" s="260" t="n"/>
      <c r="IE42" s="260" t="n"/>
    </row>
    <row r="43" ht="23.4" customFormat="1" customHeight="1" s="288">
      <c r="A43" s="536" t="inlineStr">
        <is>
          <t xml:space="preserve">น้ำมัน Gasohol 91/95 ที่ใช้ในรถยนต์ขององค์กร </t>
        </is>
      </c>
      <c r="B43" s="537" t="n"/>
      <c r="C43" s="537" t="n"/>
      <c r="D43" s="538" t="inlineStr">
        <is>
          <t>ใบกำกับภาษี /Fleet Card Report</t>
        </is>
      </c>
      <c r="E43" s="449" t="inlineStr">
        <is>
          <t>L</t>
        </is>
      </c>
      <c r="F43" s="1663">
        <f>F45+F47+F49+F51+F53+F55</f>
        <v/>
      </c>
      <c r="G43" s="1664" t="n"/>
      <c r="H43" s="1664" t="n"/>
      <c r="I43" s="1664" t="n"/>
      <c r="J43" s="1664" t="n"/>
      <c r="K43" s="1664" t="n"/>
      <c r="L43" s="1664" t="n"/>
      <c r="M43" s="1664" t="n"/>
      <c r="N43" s="1664" t="n"/>
      <c r="O43" s="1664" t="n"/>
      <c r="P43" s="1635" t="n"/>
      <c r="Q43" s="1657" t="n"/>
      <c r="R43" s="1635" t="n"/>
      <c r="S43" s="260" t="n"/>
      <c r="T43" s="260" t="n"/>
      <c r="U43" s="260" t="n"/>
      <c r="V43" s="260" t="n"/>
      <c r="W43" s="260" t="n"/>
      <c r="X43" s="260" t="n"/>
      <c r="Y43" s="260" t="n"/>
      <c r="Z43" s="260" t="n"/>
      <c r="AA43" s="260" t="n"/>
      <c r="AB43" s="260" t="n"/>
      <c r="AC43" s="260" t="n"/>
      <c r="AD43" s="260" t="n"/>
      <c r="AE43" s="260" t="n"/>
      <c r="AF43" s="260" t="n"/>
      <c r="AG43" s="260" t="n"/>
      <c r="AH43" s="260" t="n"/>
      <c r="AI43" s="260" t="n"/>
      <c r="AJ43" s="260" t="n"/>
      <c r="AK43" s="260" t="n"/>
      <c r="AL43" s="260" t="n"/>
      <c r="AM43" s="260" t="n"/>
      <c r="AN43" s="260" t="n"/>
      <c r="AO43" s="260" t="n"/>
      <c r="AP43" s="260" t="n"/>
      <c r="AQ43" s="260" t="n"/>
      <c r="AR43" s="260" t="n"/>
      <c r="AS43" s="260" t="n"/>
      <c r="AT43" s="260" t="n"/>
      <c r="AU43" s="260" t="n"/>
      <c r="AV43" s="260" t="n"/>
      <c r="AW43" s="260" t="n"/>
      <c r="AX43" s="260" t="n"/>
      <c r="AY43" s="260" t="n"/>
      <c r="AZ43" s="260" t="n"/>
      <c r="BA43" s="260" t="n"/>
      <c r="BB43" s="260" t="n"/>
      <c r="BC43" s="260" t="n"/>
      <c r="BD43" s="260" t="n"/>
      <c r="BE43" s="260" t="n"/>
      <c r="BF43" s="260" t="n"/>
      <c r="BG43" s="260" t="n"/>
      <c r="BH43" s="260" t="n"/>
      <c r="BI43" s="260" t="n"/>
      <c r="BJ43" s="260" t="n"/>
      <c r="BK43" s="260" t="n"/>
      <c r="BL43" s="260" t="n"/>
      <c r="BM43" s="260" t="n"/>
      <c r="BN43" s="260" t="n"/>
      <c r="BO43" s="260" t="n"/>
      <c r="BP43" s="260" t="n"/>
      <c r="BQ43" s="260" t="n"/>
      <c r="BR43" s="260" t="n"/>
      <c r="BS43" s="260" t="n"/>
      <c r="BT43" s="260" t="n"/>
      <c r="BU43" s="260" t="n"/>
      <c r="BV43" s="260" t="n"/>
      <c r="BW43" s="260" t="n"/>
      <c r="BX43" s="260" t="n"/>
      <c r="BY43" s="260" t="n"/>
      <c r="BZ43" s="260" t="n"/>
      <c r="CA43" s="260" t="n"/>
      <c r="CB43" s="260" t="n"/>
      <c r="CC43" s="260" t="n"/>
      <c r="CD43" s="260" t="n"/>
      <c r="CE43" s="260" t="n"/>
      <c r="CF43" s="260" t="n"/>
      <c r="CG43" s="260" t="n"/>
      <c r="CH43" s="260" t="n"/>
      <c r="CI43" s="260" t="n"/>
      <c r="CJ43" s="260" t="n"/>
      <c r="CK43" s="260" t="n"/>
      <c r="CL43" s="260" t="n"/>
      <c r="CM43" s="260" t="n"/>
      <c r="CN43" s="260" t="n"/>
      <c r="CO43" s="260" t="n"/>
      <c r="CP43" s="260" t="n"/>
      <c r="CQ43" s="260" t="n"/>
      <c r="CR43" s="260" t="n"/>
      <c r="CS43" s="260" t="n"/>
      <c r="CT43" s="260" t="n"/>
      <c r="CU43" s="260" t="n"/>
      <c r="CV43" s="260" t="n"/>
      <c r="CW43" s="260" t="n"/>
      <c r="CX43" s="260" t="n"/>
      <c r="CY43" s="260" t="n"/>
      <c r="CZ43" s="260" t="n"/>
      <c r="DA43" s="260" t="n"/>
      <c r="DB43" s="260" t="n"/>
      <c r="DC43" s="260" t="n"/>
      <c r="DD43" s="260" t="n"/>
      <c r="DE43" s="260" t="n"/>
      <c r="DF43" s="260" t="n"/>
      <c r="DG43" s="260" t="n"/>
      <c r="DH43" s="260" t="n"/>
      <c r="DI43" s="260" t="n"/>
      <c r="DJ43" s="260" t="n"/>
      <c r="DK43" s="260" t="n"/>
      <c r="DL43" s="260" t="n"/>
      <c r="DM43" s="260" t="n"/>
      <c r="DN43" s="260" t="n"/>
      <c r="DO43" s="260" t="n"/>
      <c r="DP43" s="260" t="n"/>
      <c r="DQ43" s="260" t="n"/>
      <c r="DR43" s="260" t="n"/>
      <c r="DS43" s="260" t="n"/>
      <c r="DT43" s="260" t="n"/>
      <c r="DU43" s="260" t="n"/>
      <c r="DV43" s="260" t="n"/>
      <c r="DW43" s="260" t="n"/>
      <c r="DX43" s="260" t="n"/>
      <c r="DY43" s="260" t="n"/>
      <c r="DZ43" s="260" t="n"/>
      <c r="EA43" s="260" t="n"/>
      <c r="EB43" s="260" t="n"/>
      <c r="EC43" s="260" t="n"/>
      <c r="ED43" s="260" t="n"/>
      <c r="EE43" s="260" t="n"/>
      <c r="EF43" s="260" t="n"/>
      <c r="EG43" s="260" t="n"/>
      <c r="EH43" s="260" t="n"/>
      <c r="EI43" s="260" t="n"/>
      <c r="EJ43" s="260" t="n"/>
      <c r="EK43" s="260" t="n"/>
      <c r="EL43" s="260" t="n"/>
      <c r="EM43" s="260" t="n"/>
      <c r="EN43" s="260" t="n"/>
      <c r="EO43" s="260" t="n"/>
      <c r="EP43" s="260" t="n"/>
      <c r="EQ43" s="260" t="n"/>
      <c r="ER43" s="260" t="n"/>
      <c r="ES43" s="260" t="n"/>
      <c r="ET43" s="260" t="n"/>
      <c r="EU43" s="260" t="n"/>
      <c r="EV43" s="260" t="n"/>
      <c r="EW43" s="260" t="n"/>
      <c r="EX43" s="260" t="n"/>
      <c r="EY43" s="260" t="n"/>
      <c r="EZ43" s="260" t="n"/>
      <c r="FA43" s="260" t="n"/>
      <c r="FB43" s="260" t="n"/>
      <c r="FC43" s="260" t="n"/>
      <c r="FD43" s="260" t="n"/>
      <c r="FE43" s="260" t="n"/>
      <c r="FF43" s="260" t="n"/>
      <c r="FG43" s="260" t="n"/>
      <c r="FH43" s="260" t="n"/>
      <c r="FI43" s="260" t="n"/>
      <c r="FJ43" s="260" t="n"/>
      <c r="FK43" s="260" t="n"/>
      <c r="FL43" s="260" t="n"/>
      <c r="FM43" s="260" t="n"/>
      <c r="FN43" s="260" t="n"/>
      <c r="FO43" s="260" t="n"/>
      <c r="FP43" s="260" t="n"/>
      <c r="FQ43" s="260" t="n"/>
      <c r="FR43" s="260" t="n"/>
      <c r="FS43" s="260" t="n"/>
      <c r="FT43" s="260" t="n"/>
      <c r="FU43" s="260" t="n"/>
      <c r="FV43" s="260" t="n"/>
      <c r="FW43" s="260" t="n"/>
      <c r="FX43" s="260" t="n"/>
      <c r="FY43" s="260" t="n"/>
      <c r="FZ43" s="260" t="n"/>
      <c r="GA43" s="260" t="n"/>
      <c r="GB43" s="260" t="n"/>
      <c r="GC43" s="260" t="n"/>
      <c r="GD43" s="260" t="n"/>
      <c r="GE43" s="260" t="n"/>
      <c r="GF43" s="260" t="n"/>
      <c r="GG43" s="260" t="n"/>
      <c r="GH43" s="260" t="n"/>
      <c r="GI43" s="260" t="n"/>
      <c r="GJ43" s="260" t="n"/>
      <c r="GK43" s="260" t="n"/>
      <c r="GL43" s="260" t="n"/>
      <c r="GM43" s="260" t="n"/>
      <c r="GN43" s="260" t="n"/>
      <c r="GO43" s="260" t="n"/>
      <c r="GP43" s="260" t="n"/>
      <c r="GQ43" s="260" t="n"/>
      <c r="GR43" s="260" t="n"/>
      <c r="GS43" s="260" t="n"/>
      <c r="GT43" s="260" t="n"/>
      <c r="GU43" s="260" t="n"/>
      <c r="GV43" s="260" t="n"/>
      <c r="GW43" s="260" t="n"/>
      <c r="GX43" s="260" t="n"/>
      <c r="GY43" s="260" t="n"/>
      <c r="GZ43" s="260" t="n"/>
      <c r="HA43" s="260" t="n"/>
      <c r="HB43" s="260" t="n"/>
      <c r="HC43" s="260" t="n"/>
      <c r="HD43" s="260" t="n"/>
      <c r="HE43" s="260" t="n"/>
      <c r="HF43" s="260" t="n"/>
      <c r="HG43" s="260" t="n"/>
      <c r="HH43" s="260" t="n"/>
      <c r="HI43" s="260" t="n"/>
      <c r="HJ43" s="260" t="n"/>
      <c r="HK43" s="260" t="n"/>
      <c r="HL43" s="260" t="n"/>
      <c r="HM43" s="260" t="n"/>
      <c r="HN43" s="260" t="n"/>
      <c r="HO43" s="260" t="n"/>
      <c r="HP43" s="260" t="n"/>
      <c r="HQ43" s="260" t="n"/>
      <c r="HR43" s="260" t="n"/>
      <c r="HS43" s="260" t="n"/>
      <c r="HT43" s="260" t="n"/>
      <c r="HU43" s="260" t="n"/>
      <c r="HV43" s="260" t="n"/>
      <c r="HW43" s="260" t="n"/>
      <c r="HX43" s="260" t="n"/>
      <c r="HY43" s="260" t="n"/>
      <c r="HZ43" s="260" t="n"/>
      <c r="IA43" s="260" t="n"/>
      <c r="IB43" s="260" t="n"/>
      <c r="IC43" s="260" t="n"/>
      <c r="ID43" s="260" t="n"/>
      <c r="IE43" s="260" t="n"/>
    </row>
    <row r="44" ht="23.4" customFormat="1" customHeight="1" s="288">
      <c r="A44" s="536" t="inlineStr">
        <is>
          <t xml:space="preserve">น้ำมัน Gasohol E20 ที่ใช้ในรถยนต์ขององค์กร </t>
        </is>
      </c>
      <c r="B44" s="537" t="n"/>
      <c r="C44" s="537" t="n"/>
      <c r="D44" s="538" t="inlineStr">
        <is>
          <t>ใบกำกับภาษี /Fleet Card Report</t>
        </is>
      </c>
      <c r="E44" s="449" t="inlineStr">
        <is>
          <t>L</t>
        </is>
      </c>
      <c r="F44" s="1663">
        <f>F46+F48+F50+F52+F54+F56</f>
        <v/>
      </c>
      <c r="G44" s="1664" t="n"/>
      <c r="H44" s="1664" t="n"/>
      <c r="I44" s="1664" t="n"/>
      <c r="J44" s="1664" t="n"/>
      <c r="K44" s="1664" t="n"/>
      <c r="L44" s="1664" t="n"/>
      <c r="M44" s="1664" t="n"/>
      <c r="N44" s="1664" t="n"/>
      <c r="O44" s="1664" t="n"/>
      <c r="P44" s="1635" t="n"/>
      <c r="Q44" s="1657" t="n"/>
      <c r="R44" s="1635" t="n"/>
      <c r="S44" s="260" t="n"/>
      <c r="T44" s="260" t="n"/>
      <c r="U44" s="260" t="n"/>
      <c r="V44" s="260" t="n"/>
      <c r="W44" s="260" t="n"/>
      <c r="X44" s="260" t="n"/>
      <c r="Y44" s="260" t="n"/>
      <c r="Z44" s="260" t="n"/>
      <c r="AA44" s="260" t="n"/>
      <c r="AB44" s="260" t="n"/>
      <c r="AC44" s="260" t="n"/>
      <c r="AD44" s="260" t="n"/>
      <c r="AE44" s="260" t="n"/>
      <c r="AF44" s="260" t="n"/>
      <c r="AG44" s="260" t="n"/>
      <c r="AH44" s="260" t="n"/>
      <c r="AI44" s="260" t="n"/>
      <c r="AJ44" s="260" t="n"/>
      <c r="AK44" s="260" t="n"/>
      <c r="AL44" s="260" t="n"/>
      <c r="AM44" s="260" t="n"/>
      <c r="AN44" s="260" t="n"/>
      <c r="AO44" s="260" t="n"/>
      <c r="AP44" s="260" t="n"/>
      <c r="AQ44" s="260" t="n"/>
      <c r="AR44" s="260" t="n"/>
      <c r="AS44" s="260" t="n"/>
      <c r="AT44" s="260" t="n"/>
      <c r="AU44" s="260" t="n"/>
      <c r="AV44" s="260" t="n"/>
      <c r="AW44" s="260" t="n"/>
      <c r="AX44" s="260" t="n"/>
      <c r="AY44" s="260" t="n"/>
      <c r="AZ44" s="260" t="n"/>
      <c r="BA44" s="260" t="n"/>
      <c r="BB44" s="260" t="n"/>
      <c r="BC44" s="260" t="n"/>
      <c r="BD44" s="260" t="n"/>
      <c r="BE44" s="260" t="n"/>
      <c r="BF44" s="260" t="n"/>
      <c r="BG44" s="260" t="n"/>
      <c r="BH44" s="260" t="n"/>
      <c r="BI44" s="260" t="n"/>
      <c r="BJ44" s="260" t="n"/>
      <c r="BK44" s="260" t="n"/>
      <c r="BL44" s="260" t="n"/>
      <c r="BM44" s="260" t="n"/>
      <c r="BN44" s="260" t="n"/>
      <c r="BO44" s="260" t="n"/>
      <c r="BP44" s="260" t="n"/>
      <c r="BQ44" s="260" t="n"/>
      <c r="BR44" s="260" t="n"/>
      <c r="BS44" s="260" t="n"/>
      <c r="BT44" s="260" t="n"/>
      <c r="BU44" s="260" t="n"/>
      <c r="BV44" s="260" t="n"/>
      <c r="BW44" s="260" t="n"/>
      <c r="BX44" s="260" t="n"/>
      <c r="BY44" s="260" t="n"/>
      <c r="BZ44" s="260" t="n"/>
      <c r="CA44" s="260" t="n"/>
      <c r="CB44" s="260" t="n"/>
      <c r="CC44" s="260" t="n"/>
      <c r="CD44" s="260" t="n"/>
      <c r="CE44" s="260" t="n"/>
      <c r="CF44" s="260" t="n"/>
      <c r="CG44" s="260" t="n"/>
      <c r="CH44" s="260" t="n"/>
      <c r="CI44" s="260" t="n"/>
      <c r="CJ44" s="260" t="n"/>
      <c r="CK44" s="260" t="n"/>
      <c r="CL44" s="260" t="n"/>
      <c r="CM44" s="260" t="n"/>
      <c r="CN44" s="260" t="n"/>
      <c r="CO44" s="260" t="n"/>
      <c r="CP44" s="260" t="n"/>
      <c r="CQ44" s="260" t="n"/>
      <c r="CR44" s="260" t="n"/>
      <c r="CS44" s="260" t="n"/>
      <c r="CT44" s="260" t="n"/>
      <c r="CU44" s="260" t="n"/>
      <c r="CV44" s="260" t="n"/>
      <c r="CW44" s="260" t="n"/>
      <c r="CX44" s="260" t="n"/>
      <c r="CY44" s="260" t="n"/>
      <c r="CZ44" s="260" t="n"/>
      <c r="DA44" s="260" t="n"/>
      <c r="DB44" s="260" t="n"/>
      <c r="DC44" s="260" t="n"/>
      <c r="DD44" s="260" t="n"/>
      <c r="DE44" s="260" t="n"/>
      <c r="DF44" s="260" t="n"/>
      <c r="DG44" s="260" t="n"/>
      <c r="DH44" s="260" t="n"/>
      <c r="DI44" s="260" t="n"/>
      <c r="DJ44" s="260" t="n"/>
      <c r="DK44" s="260" t="n"/>
      <c r="DL44" s="260" t="n"/>
      <c r="DM44" s="260" t="n"/>
      <c r="DN44" s="260" t="n"/>
      <c r="DO44" s="260" t="n"/>
      <c r="DP44" s="260" t="n"/>
      <c r="DQ44" s="260" t="n"/>
      <c r="DR44" s="260" t="n"/>
      <c r="DS44" s="260" t="n"/>
      <c r="DT44" s="260" t="n"/>
      <c r="DU44" s="260" t="n"/>
      <c r="DV44" s="260" t="n"/>
      <c r="DW44" s="260" t="n"/>
      <c r="DX44" s="260" t="n"/>
      <c r="DY44" s="260" t="n"/>
      <c r="DZ44" s="260" t="n"/>
      <c r="EA44" s="260" t="n"/>
      <c r="EB44" s="260" t="n"/>
      <c r="EC44" s="260" t="n"/>
      <c r="ED44" s="260" t="n"/>
      <c r="EE44" s="260" t="n"/>
      <c r="EF44" s="260" t="n"/>
      <c r="EG44" s="260" t="n"/>
      <c r="EH44" s="260" t="n"/>
      <c r="EI44" s="260" t="n"/>
      <c r="EJ44" s="260" t="n"/>
      <c r="EK44" s="260" t="n"/>
      <c r="EL44" s="260" t="n"/>
      <c r="EM44" s="260" t="n"/>
      <c r="EN44" s="260" t="n"/>
      <c r="EO44" s="260" t="n"/>
      <c r="EP44" s="260" t="n"/>
      <c r="EQ44" s="260" t="n"/>
      <c r="ER44" s="260" t="n"/>
      <c r="ES44" s="260" t="n"/>
      <c r="ET44" s="260" t="n"/>
      <c r="EU44" s="260" t="n"/>
      <c r="EV44" s="260" t="n"/>
      <c r="EW44" s="260" t="n"/>
      <c r="EX44" s="260" t="n"/>
      <c r="EY44" s="260" t="n"/>
      <c r="EZ44" s="260" t="n"/>
      <c r="FA44" s="260" t="n"/>
      <c r="FB44" s="260" t="n"/>
      <c r="FC44" s="260" t="n"/>
      <c r="FD44" s="260" t="n"/>
      <c r="FE44" s="260" t="n"/>
      <c r="FF44" s="260" t="n"/>
      <c r="FG44" s="260" t="n"/>
      <c r="FH44" s="260" t="n"/>
      <c r="FI44" s="260" t="n"/>
      <c r="FJ44" s="260" t="n"/>
      <c r="FK44" s="260" t="n"/>
      <c r="FL44" s="260" t="n"/>
      <c r="FM44" s="260" t="n"/>
      <c r="FN44" s="260" t="n"/>
      <c r="FO44" s="260" t="n"/>
      <c r="FP44" s="260" t="n"/>
      <c r="FQ44" s="260" t="n"/>
      <c r="FR44" s="260" t="n"/>
      <c r="FS44" s="260" t="n"/>
      <c r="FT44" s="260" t="n"/>
      <c r="FU44" s="260" t="n"/>
      <c r="FV44" s="260" t="n"/>
      <c r="FW44" s="260" t="n"/>
      <c r="FX44" s="260" t="n"/>
      <c r="FY44" s="260" t="n"/>
      <c r="FZ44" s="260" t="n"/>
      <c r="GA44" s="260" t="n"/>
      <c r="GB44" s="260" t="n"/>
      <c r="GC44" s="260" t="n"/>
      <c r="GD44" s="260" t="n"/>
      <c r="GE44" s="260" t="n"/>
      <c r="GF44" s="260" t="n"/>
      <c r="GG44" s="260" t="n"/>
      <c r="GH44" s="260" t="n"/>
      <c r="GI44" s="260" t="n"/>
      <c r="GJ44" s="260" t="n"/>
      <c r="GK44" s="260" t="n"/>
      <c r="GL44" s="260" t="n"/>
      <c r="GM44" s="260" t="n"/>
      <c r="GN44" s="260" t="n"/>
      <c r="GO44" s="260" t="n"/>
      <c r="GP44" s="260" t="n"/>
      <c r="GQ44" s="260" t="n"/>
      <c r="GR44" s="260" t="n"/>
      <c r="GS44" s="260" t="n"/>
      <c r="GT44" s="260" t="n"/>
      <c r="GU44" s="260" t="n"/>
      <c r="GV44" s="260" t="n"/>
      <c r="GW44" s="260" t="n"/>
      <c r="GX44" s="260" t="n"/>
      <c r="GY44" s="260" t="n"/>
      <c r="GZ44" s="260" t="n"/>
      <c r="HA44" s="260" t="n"/>
      <c r="HB44" s="260" t="n"/>
      <c r="HC44" s="260" t="n"/>
      <c r="HD44" s="260" t="n"/>
      <c r="HE44" s="260" t="n"/>
      <c r="HF44" s="260" t="n"/>
      <c r="HG44" s="260" t="n"/>
      <c r="HH44" s="260" t="n"/>
      <c r="HI44" s="260" t="n"/>
      <c r="HJ44" s="260" t="n"/>
      <c r="HK44" s="260" t="n"/>
      <c r="HL44" s="260" t="n"/>
      <c r="HM44" s="260" t="n"/>
      <c r="HN44" s="260" t="n"/>
      <c r="HO44" s="260" t="n"/>
      <c r="HP44" s="260" t="n"/>
      <c r="HQ44" s="260" t="n"/>
      <c r="HR44" s="260" t="n"/>
      <c r="HS44" s="260" t="n"/>
      <c r="HT44" s="260" t="n"/>
      <c r="HU44" s="260" t="n"/>
      <c r="HV44" s="260" t="n"/>
      <c r="HW44" s="260" t="n"/>
      <c r="HX44" s="260" t="n"/>
      <c r="HY44" s="260" t="n"/>
      <c r="HZ44" s="260" t="n"/>
      <c r="IA44" s="260" t="n"/>
      <c r="IB44" s="260" t="n"/>
      <c r="IC44" s="260" t="n"/>
      <c r="ID44" s="260" t="n"/>
      <c r="IE44" s="260" t="n"/>
    </row>
    <row r="45" ht="17.4" customFormat="1" customHeight="1" s="288">
      <c r="A45" s="289" t="inlineStr">
        <is>
          <t xml:space="preserve">1. 5กว-3489 กทม.          </t>
        </is>
      </c>
      <c r="B45" s="290" t="inlineStr">
        <is>
          <t>LCB</t>
        </is>
      </c>
      <c r="C45" s="290" t="inlineStr">
        <is>
          <t>91/95</t>
        </is>
      </c>
      <c r="D45" s="1397" t="inlineStr">
        <is>
          <t>ใบแจ้งหนี้ / Fleet Card Report</t>
        </is>
      </c>
      <c r="E45" s="1397" t="inlineStr">
        <is>
          <t xml:space="preserve"> L</t>
        </is>
      </c>
      <c r="F45" s="1665">
        <f>SUM(G45:R45)</f>
        <v/>
      </c>
      <c r="G45" s="1635" t="n">
        <v>188.77</v>
      </c>
      <c r="H45" s="1635" t="n">
        <v>270.87</v>
      </c>
      <c r="I45" s="1635" t="n">
        <v>210.78</v>
      </c>
      <c r="J45" s="1635" t="n">
        <v>53.54</v>
      </c>
      <c r="K45" s="1635" t="n">
        <v>0</v>
      </c>
      <c r="L45" s="1635" t="n">
        <v>0</v>
      </c>
      <c r="M45" s="1635" t="n">
        <v>0</v>
      </c>
      <c r="N45" s="1635" t="n">
        <v>0</v>
      </c>
      <c r="O45" s="1635" t="n">
        <v>0</v>
      </c>
      <c r="P45" s="1635" t="n">
        <v>0</v>
      </c>
      <c r="Q45" s="1657" t="n">
        <v>0</v>
      </c>
      <c r="R45" s="1635" t="n">
        <v>0</v>
      </c>
      <c r="S45" s="260" t="n"/>
      <c r="T45" s="260" t="n"/>
      <c r="U45" s="260" t="n"/>
      <c r="V45" s="260" t="n"/>
      <c r="W45" s="260" t="n"/>
      <c r="X45" s="260" t="n"/>
      <c r="Y45" s="260" t="n"/>
      <c r="Z45" s="260" t="n"/>
      <c r="AA45" s="260" t="n"/>
      <c r="AB45" s="260" t="n"/>
      <c r="AC45" s="260" t="n"/>
      <c r="AD45" s="260" t="n"/>
      <c r="AE45" s="260" t="n"/>
      <c r="AF45" s="260" t="n"/>
      <c r="AG45" s="260" t="n"/>
      <c r="AH45" s="260" t="n"/>
      <c r="AI45" s="260" t="n"/>
      <c r="AJ45" s="260" t="n"/>
      <c r="AK45" s="260" t="n"/>
      <c r="AL45" s="260" t="n"/>
      <c r="AM45" s="260" t="n"/>
      <c r="AN45" s="260" t="n"/>
      <c r="AO45" s="260" t="n"/>
      <c r="AP45" s="260" t="n"/>
      <c r="AQ45" s="260" t="n"/>
      <c r="AR45" s="260" t="n"/>
      <c r="AS45" s="260" t="n"/>
      <c r="AT45" s="260" t="n"/>
      <c r="AU45" s="260" t="n"/>
      <c r="AV45" s="260" t="n"/>
      <c r="AW45" s="260" t="n"/>
      <c r="AX45" s="260" t="n"/>
      <c r="AY45" s="260" t="n"/>
      <c r="AZ45" s="260" t="n"/>
      <c r="BA45" s="260" t="n"/>
      <c r="BB45" s="260" t="n"/>
      <c r="BC45" s="260" t="n"/>
      <c r="BD45" s="260" t="n"/>
      <c r="BE45" s="260" t="n"/>
      <c r="BF45" s="260" t="n"/>
      <c r="BG45" s="260" t="n"/>
      <c r="BH45" s="260" t="n"/>
      <c r="BI45" s="260" t="n"/>
      <c r="BJ45" s="260" t="n"/>
      <c r="BK45" s="260" t="n"/>
      <c r="BL45" s="260" t="n"/>
      <c r="BM45" s="260" t="n"/>
      <c r="BN45" s="260" t="n"/>
      <c r="BO45" s="260" t="n"/>
      <c r="BP45" s="260" t="n"/>
      <c r="BQ45" s="260" t="n"/>
      <c r="BR45" s="260" t="n"/>
      <c r="BS45" s="260" t="n"/>
      <c r="BT45" s="260" t="n"/>
      <c r="BU45" s="260" t="n"/>
      <c r="BV45" s="260" t="n"/>
      <c r="BW45" s="260" t="n"/>
      <c r="BX45" s="260" t="n"/>
      <c r="BY45" s="260" t="n"/>
      <c r="BZ45" s="260" t="n"/>
      <c r="CA45" s="260" t="n"/>
      <c r="CB45" s="260" t="n"/>
      <c r="CC45" s="260" t="n"/>
      <c r="CD45" s="260" t="n"/>
      <c r="CE45" s="260" t="n"/>
      <c r="CF45" s="260" t="n"/>
      <c r="CG45" s="260" t="n"/>
      <c r="CH45" s="260" t="n"/>
      <c r="CI45" s="260" t="n"/>
      <c r="CJ45" s="260" t="n"/>
      <c r="CK45" s="260" t="n"/>
      <c r="CL45" s="260" t="n"/>
      <c r="CM45" s="260" t="n"/>
      <c r="CN45" s="260" t="n"/>
      <c r="CO45" s="260" t="n"/>
      <c r="CP45" s="260" t="n"/>
      <c r="CQ45" s="260" t="n"/>
      <c r="CR45" s="260" t="n"/>
      <c r="CS45" s="260" t="n"/>
      <c r="CT45" s="260" t="n"/>
      <c r="CU45" s="260" t="n"/>
      <c r="CV45" s="260" t="n"/>
      <c r="CW45" s="260" t="n"/>
      <c r="CX45" s="260" t="n"/>
      <c r="CY45" s="260" t="n"/>
      <c r="CZ45" s="260" t="n"/>
      <c r="DA45" s="260" t="n"/>
      <c r="DB45" s="260" t="n"/>
      <c r="DC45" s="260" t="n"/>
      <c r="DD45" s="260" t="n"/>
      <c r="DE45" s="260" t="n"/>
      <c r="DF45" s="260" t="n"/>
      <c r="DG45" s="260" t="n"/>
      <c r="DH45" s="260" t="n"/>
      <c r="DI45" s="260" t="n"/>
      <c r="DJ45" s="260" t="n"/>
      <c r="DK45" s="260" t="n"/>
      <c r="DL45" s="260" t="n"/>
      <c r="DM45" s="260" t="n"/>
      <c r="DN45" s="260" t="n"/>
      <c r="DO45" s="260" t="n"/>
      <c r="DP45" s="260" t="n"/>
      <c r="DQ45" s="260" t="n"/>
      <c r="DR45" s="260" t="n"/>
      <c r="DS45" s="260" t="n"/>
      <c r="DT45" s="260" t="n"/>
      <c r="DU45" s="260" t="n"/>
      <c r="DV45" s="260" t="n"/>
      <c r="DW45" s="260" t="n"/>
      <c r="DX45" s="260" t="n"/>
      <c r="DY45" s="260" t="n"/>
      <c r="DZ45" s="260" t="n"/>
      <c r="EA45" s="260" t="n"/>
      <c r="EB45" s="260" t="n"/>
      <c r="EC45" s="260" t="n"/>
      <c r="ED45" s="260" t="n"/>
      <c r="EE45" s="260" t="n"/>
      <c r="EF45" s="260" t="n"/>
      <c r="EG45" s="260" t="n"/>
      <c r="EH45" s="260" t="n"/>
      <c r="EI45" s="260" t="n"/>
      <c r="EJ45" s="260" t="n"/>
      <c r="EK45" s="260" t="n"/>
      <c r="EL45" s="260" t="n"/>
      <c r="EM45" s="260" t="n"/>
      <c r="EN45" s="260" t="n"/>
      <c r="EO45" s="260" t="n"/>
      <c r="EP45" s="260" t="n"/>
      <c r="EQ45" s="260" t="n"/>
      <c r="ER45" s="260" t="n"/>
      <c r="ES45" s="260" t="n"/>
      <c r="ET45" s="260" t="n"/>
      <c r="EU45" s="260" t="n"/>
      <c r="EV45" s="260" t="n"/>
      <c r="EW45" s="260" t="n"/>
      <c r="EX45" s="260" t="n"/>
      <c r="EY45" s="260" t="n"/>
      <c r="EZ45" s="260" t="n"/>
      <c r="FA45" s="260" t="n"/>
      <c r="FB45" s="260" t="n"/>
      <c r="FC45" s="260" t="n"/>
      <c r="FD45" s="260" t="n"/>
      <c r="FE45" s="260" t="n"/>
      <c r="FF45" s="260" t="n"/>
      <c r="FG45" s="260" t="n"/>
      <c r="FH45" s="260" t="n"/>
      <c r="FI45" s="260" t="n"/>
      <c r="FJ45" s="260" t="n"/>
      <c r="FK45" s="260" t="n"/>
      <c r="FL45" s="260" t="n"/>
      <c r="FM45" s="260" t="n"/>
      <c r="FN45" s="260" t="n"/>
      <c r="FO45" s="260" t="n"/>
      <c r="FP45" s="260" t="n"/>
      <c r="FQ45" s="260" t="n"/>
      <c r="FR45" s="260" t="n"/>
      <c r="FS45" s="260" t="n"/>
      <c r="FT45" s="260" t="n"/>
      <c r="FU45" s="260" t="n"/>
      <c r="FV45" s="260" t="n"/>
      <c r="FW45" s="260" t="n"/>
      <c r="FX45" s="260" t="n"/>
      <c r="FY45" s="260" t="n"/>
      <c r="FZ45" s="260" t="n"/>
      <c r="GA45" s="260" t="n"/>
      <c r="GB45" s="260" t="n"/>
      <c r="GC45" s="260" t="n"/>
      <c r="GD45" s="260" t="n"/>
      <c r="GE45" s="260" t="n"/>
      <c r="GF45" s="260" t="n"/>
      <c r="GG45" s="260" t="n"/>
      <c r="GH45" s="260" t="n"/>
      <c r="GI45" s="260" t="n"/>
      <c r="GJ45" s="260" t="n"/>
      <c r="GK45" s="260" t="n"/>
      <c r="GL45" s="260" t="n"/>
      <c r="GM45" s="260" t="n"/>
      <c r="GN45" s="260" t="n"/>
      <c r="GO45" s="260" t="n"/>
      <c r="GP45" s="260" t="n"/>
      <c r="GQ45" s="260" t="n"/>
      <c r="GR45" s="260" t="n"/>
      <c r="GS45" s="260" t="n"/>
      <c r="GT45" s="260" t="n"/>
      <c r="GU45" s="260" t="n"/>
      <c r="GV45" s="260" t="n"/>
      <c r="GW45" s="260" t="n"/>
      <c r="GX45" s="260" t="n"/>
      <c r="GY45" s="260" t="n"/>
      <c r="GZ45" s="260" t="n"/>
      <c r="HA45" s="260" t="n"/>
      <c r="HB45" s="260" t="n"/>
      <c r="HC45" s="260" t="n"/>
      <c r="HD45" s="260" t="n"/>
      <c r="HE45" s="260" t="n"/>
      <c r="HF45" s="260" t="n"/>
      <c r="HG45" s="260" t="n"/>
      <c r="HH45" s="260" t="n"/>
      <c r="HI45" s="260" t="n"/>
      <c r="HJ45" s="260" t="n"/>
      <c r="HK45" s="260" t="n"/>
      <c r="HL45" s="260" t="n"/>
      <c r="HM45" s="260" t="n"/>
      <c r="HN45" s="260" t="n"/>
      <c r="HO45" s="260" t="n"/>
      <c r="HP45" s="260" t="n"/>
      <c r="HQ45" s="260" t="n"/>
      <c r="HR45" s="260" t="n"/>
      <c r="HS45" s="260" t="n"/>
      <c r="HT45" s="260" t="n"/>
      <c r="HU45" s="260" t="n"/>
      <c r="HV45" s="260" t="n"/>
      <c r="HW45" s="260" t="n"/>
      <c r="HX45" s="260" t="n"/>
      <c r="HY45" s="260" t="n"/>
      <c r="HZ45" s="260" t="n"/>
      <c r="IA45" s="260" t="n"/>
      <c r="IB45" s="260" t="n"/>
      <c r="IC45" s="260" t="n"/>
      <c r="ID45" s="260" t="n"/>
      <c r="IE45" s="260" t="n"/>
    </row>
    <row r="46" ht="17.4" customFormat="1" customHeight="1" s="288">
      <c r="A46" s="289" t="n"/>
      <c r="B46" s="290" t="n"/>
      <c r="C46" s="290" t="inlineStr">
        <is>
          <t>E20</t>
        </is>
      </c>
      <c r="D46" s="1397" t="n"/>
      <c r="E46" s="1397" t="n"/>
      <c r="F46" s="1665">
        <f>SUM(G46:R46)</f>
        <v/>
      </c>
      <c r="G46" s="1635" t="n">
        <v>119.71</v>
      </c>
      <c r="H46" s="1635" t="n">
        <v>31.38</v>
      </c>
      <c r="I46" s="1635" t="n">
        <v>0</v>
      </c>
      <c r="J46" s="1635" t="n">
        <v>0</v>
      </c>
      <c r="K46" s="1635" t="n">
        <v>0</v>
      </c>
      <c r="L46" s="1635" t="n">
        <v>0</v>
      </c>
      <c r="M46" s="1635" t="n">
        <v>0</v>
      </c>
      <c r="N46" s="1635" t="n"/>
      <c r="O46" s="1635" t="n">
        <v>0</v>
      </c>
      <c r="P46" s="1635" t="n">
        <v>0</v>
      </c>
      <c r="Q46" s="1657" t="n">
        <v>0</v>
      </c>
      <c r="R46" s="1635" t="n">
        <v>0</v>
      </c>
      <c r="S46" s="260" t="n"/>
      <c r="T46" s="260" t="n"/>
      <c r="U46" s="260" t="n"/>
      <c r="V46" s="260" t="n"/>
      <c r="W46" s="260" t="n"/>
      <c r="X46" s="260" t="n"/>
      <c r="Y46" s="260" t="n"/>
      <c r="Z46" s="260" t="n"/>
      <c r="AA46" s="260" t="n"/>
      <c r="AB46" s="260" t="n"/>
      <c r="AC46" s="260" t="n"/>
      <c r="AD46" s="260" t="n"/>
      <c r="AE46" s="260" t="n"/>
      <c r="AF46" s="260" t="n"/>
      <c r="AG46" s="260" t="n"/>
      <c r="AH46" s="260" t="n"/>
      <c r="AI46" s="260" t="n"/>
      <c r="AJ46" s="260" t="n"/>
      <c r="AK46" s="260" t="n"/>
      <c r="AL46" s="260" t="n"/>
      <c r="AM46" s="260" t="n"/>
      <c r="AN46" s="260" t="n"/>
      <c r="AO46" s="260" t="n"/>
      <c r="AP46" s="260" t="n"/>
      <c r="AQ46" s="260" t="n"/>
      <c r="AR46" s="260" t="n"/>
      <c r="AS46" s="260" t="n"/>
      <c r="AT46" s="260" t="n"/>
      <c r="AU46" s="260" t="n"/>
      <c r="AV46" s="260" t="n"/>
      <c r="AW46" s="260" t="n"/>
      <c r="AX46" s="260" t="n"/>
      <c r="AY46" s="260" t="n"/>
      <c r="AZ46" s="260" t="n"/>
      <c r="BA46" s="260" t="n"/>
      <c r="BB46" s="260" t="n"/>
      <c r="BC46" s="260" t="n"/>
      <c r="BD46" s="260" t="n"/>
      <c r="BE46" s="260" t="n"/>
      <c r="BF46" s="260" t="n"/>
      <c r="BG46" s="260" t="n"/>
      <c r="BH46" s="260" t="n"/>
      <c r="BI46" s="260" t="n"/>
      <c r="BJ46" s="260" t="n"/>
      <c r="BK46" s="260" t="n"/>
      <c r="BL46" s="260" t="n"/>
      <c r="BM46" s="260" t="n"/>
      <c r="BN46" s="260" t="n"/>
      <c r="BO46" s="260" t="n"/>
      <c r="BP46" s="260" t="n"/>
      <c r="BQ46" s="260" t="n"/>
      <c r="BR46" s="260" t="n"/>
      <c r="BS46" s="260" t="n"/>
      <c r="BT46" s="260" t="n"/>
      <c r="BU46" s="260" t="n"/>
      <c r="BV46" s="260" t="n"/>
      <c r="BW46" s="260" t="n"/>
      <c r="BX46" s="260" t="n"/>
      <c r="BY46" s="260" t="n"/>
      <c r="BZ46" s="260" t="n"/>
      <c r="CA46" s="260" t="n"/>
      <c r="CB46" s="260" t="n"/>
      <c r="CC46" s="260" t="n"/>
      <c r="CD46" s="260" t="n"/>
      <c r="CE46" s="260" t="n"/>
      <c r="CF46" s="260" t="n"/>
      <c r="CG46" s="260" t="n"/>
      <c r="CH46" s="260" t="n"/>
      <c r="CI46" s="260" t="n"/>
      <c r="CJ46" s="260" t="n"/>
      <c r="CK46" s="260" t="n"/>
      <c r="CL46" s="260" t="n"/>
      <c r="CM46" s="260" t="n"/>
      <c r="CN46" s="260" t="n"/>
      <c r="CO46" s="260" t="n"/>
      <c r="CP46" s="260" t="n"/>
      <c r="CQ46" s="260" t="n"/>
      <c r="CR46" s="260" t="n"/>
      <c r="CS46" s="260" t="n"/>
      <c r="CT46" s="260" t="n"/>
      <c r="CU46" s="260" t="n"/>
      <c r="CV46" s="260" t="n"/>
      <c r="CW46" s="260" t="n"/>
      <c r="CX46" s="260" t="n"/>
      <c r="CY46" s="260" t="n"/>
      <c r="CZ46" s="260" t="n"/>
      <c r="DA46" s="260" t="n"/>
      <c r="DB46" s="260" t="n"/>
      <c r="DC46" s="260" t="n"/>
      <c r="DD46" s="260" t="n"/>
      <c r="DE46" s="260" t="n"/>
      <c r="DF46" s="260" t="n"/>
      <c r="DG46" s="260" t="n"/>
      <c r="DH46" s="260" t="n"/>
      <c r="DI46" s="260" t="n"/>
      <c r="DJ46" s="260" t="n"/>
      <c r="DK46" s="260" t="n"/>
      <c r="DL46" s="260" t="n"/>
      <c r="DM46" s="260" t="n"/>
      <c r="DN46" s="260" t="n"/>
      <c r="DO46" s="260" t="n"/>
      <c r="DP46" s="260" t="n"/>
      <c r="DQ46" s="260" t="n"/>
      <c r="DR46" s="260" t="n"/>
      <c r="DS46" s="260" t="n"/>
      <c r="DT46" s="260" t="n"/>
      <c r="DU46" s="260" t="n"/>
      <c r="DV46" s="260" t="n"/>
      <c r="DW46" s="260" t="n"/>
      <c r="DX46" s="260" t="n"/>
      <c r="DY46" s="260" t="n"/>
      <c r="DZ46" s="260" t="n"/>
      <c r="EA46" s="260" t="n"/>
      <c r="EB46" s="260" t="n"/>
      <c r="EC46" s="260" t="n"/>
      <c r="ED46" s="260" t="n"/>
      <c r="EE46" s="260" t="n"/>
      <c r="EF46" s="260" t="n"/>
      <c r="EG46" s="260" t="n"/>
      <c r="EH46" s="260" t="n"/>
      <c r="EI46" s="260" t="n"/>
      <c r="EJ46" s="260" t="n"/>
      <c r="EK46" s="260" t="n"/>
      <c r="EL46" s="260" t="n"/>
      <c r="EM46" s="260" t="n"/>
      <c r="EN46" s="260" t="n"/>
      <c r="EO46" s="260" t="n"/>
      <c r="EP46" s="260" t="n"/>
      <c r="EQ46" s="260" t="n"/>
      <c r="ER46" s="260" t="n"/>
      <c r="ES46" s="260" t="n"/>
      <c r="ET46" s="260" t="n"/>
      <c r="EU46" s="260" t="n"/>
      <c r="EV46" s="260" t="n"/>
      <c r="EW46" s="260" t="n"/>
      <c r="EX46" s="260" t="n"/>
      <c r="EY46" s="260" t="n"/>
      <c r="EZ46" s="260" t="n"/>
      <c r="FA46" s="260" t="n"/>
      <c r="FB46" s="260" t="n"/>
      <c r="FC46" s="260" t="n"/>
      <c r="FD46" s="260" t="n"/>
      <c r="FE46" s="260" t="n"/>
      <c r="FF46" s="260" t="n"/>
      <c r="FG46" s="260" t="n"/>
      <c r="FH46" s="260" t="n"/>
      <c r="FI46" s="260" t="n"/>
      <c r="FJ46" s="260" t="n"/>
      <c r="FK46" s="260" t="n"/>
      <c r="FL46" s="260" t="n"/>
      <c r="FM46" s="260" t="n"/>
      <c r="FN46" s="260" t="n"/>
      <c r="FO46" s="260" t="n"/>
      <c r="FP46" s="260" t="n"/>
      <c r="FQ46" s="260" t="n"/>
      <c r="FR46" s="260" t="n"/>
      <c r="FS46" s="260" t="n"/>
      <c r="FT46" s="260" t="n"/>
      <c r="FU46" s="260" t="n"/>
      <c r="FV46" s="260" t="n"/>
      <c r="FW46" s="260" t="n"/>
      <c r="FX46" s="260" t="n"/>
      <c r="FY46" s="260" t="n"/>
      <c r="FZ46" s="260" t="n"/>
      <c r="GA46" s="260" t="n"/>
      <c r="GB46" s="260" t="n"/>
      <c r="GC46" s="260" t="n"/>
      <c r="GD46" s="260" t="n"/>
      <c r="GE46" s="260" t="n"/>
      <c r="GF46" s="260" t="n"/>
      <c r="GG46" s="260" t="n"/>
      <c r="GH46" s="260" t="n"/>
      <c r="GI46" s="260" t="n"/>
      <c r="GJ46" s="260" t="n"/>
      <c r="GK46" s="260" t="n"/>
      <c r="GL46" s="260" t="n"/>
      <c r="GM46" s="260" t="n"/>
      <c r="GN46" s="260" t="n"/>
      <c r="GO46" s="260" t="n"/>
      <c r="GP46" s="260" t="n"/>
      <c r="GQ46" s="260" t="n"/>
      <c r="GR46" s="260" t="n"/>
      <c r="GS46" s="260" t="n"/>
      <c r="GT46" s="260" t="n"/>
      <c r="GU46" s="260" t="n"/>
      <c r="GV46" s="260" t="n"/>
      <c r="GW46" s="260" t="n"/>
      <c r="GX46" s="260" t="n"/>
      <c r="GY46" s="260" t="n"/>
      <c r="GZ46" s="260" t="n"/>
      <c r="HA46" s="260" t="n"/>
      <c r="HB46" s="260" t="n"/>
      <c r="HC46" s="260" t="n"/>
      <c r="HD46" s="260" t="n"/>
      <c r="HE46" s="260" t="n"/>
      <c r="HF46" s="260" t="n"/>
      <c r="HG46" s="260" t="n"/>
      <c r="HH46" s="260" t="n"/>
      <c r="HI46" s="260" t="n"/>
      <c r="HJ46" s="260" t="n"/>
      <c r="HK46" s="260" t="n"/>
      <c r="HL46" s="260" t="n"/>
      <c r="HM46" s="260" t="n"/>
      <c r="HN46" s="260" t="n"/>
      <c r="HO46" s="260" t="n"/>
      <c r="HP46" s="260" t="n"/>
      <c r="HQ46" s="260" t="n"/>
      <c r="HR46" s="260" t="n"/>
      <c r="HS46" s="260" t="n"/>
      <c r="HT46" s="260" t="n"/>
      <c r="HU46" s="260" t="n"/>
      <c r="HV46" s="260" t="n"/>
      <c r="HW46" s="260" t="n"/>
      <c r="HX46" s="260" t="n"/>
      <c r="HY46" s="260" t="n"/>
      <c r="HZ46" s="260" t="n"/>
      <c r="IA46" s="260" t="n"/>
      <c r="IB46" s="260" t="n"/>
      <c r="IC46" s="260" t="n"/>
      <c r="ID46" s="260" t="n"/>
      <c r="IE46" s="260" t="n"/>
    </row>
    <row r="47" ht="17.4" customFormat="1" customHeight="1" s="288">
      <c r="A47" s="289" t="inlineStr">
        <is>
          <t xml:space="preserve">2. ญล 8398 กทม.         </t>
        </is>
      </c>
      <c r="B47" s="290" t="inlineStr">
        <is>
          <t>LCB</t>
        </is>
      </c>
      <c r="C47" s="290" t="inlineStr">
        <is>
          <t>91/95</t>
        </is>
      </c>
      <c r="D47" s="1397" t="inlineStr">
        <is>
          <t>ใบแจ้งหนี้ / Fleet Card Report</t>
        </is>
      </c>
      <c r="E47" s="1397" t="inlineStr">
        <is>
          <t xml:space="preserve"> L</t>
        </is>
      </c>
      <c r="F47" s="1665">
        <f>SUM(G47:R47)</f>
        <v/>
      </c>
      <c r="G47" s="1635" t="n">
        <v>0</v>
      </c>
      <c r="H47" s="1635" t="n">
        <v>108.4</v>
      </c>
      <c r="I47" s="1635" t="n">
        <v>93.15000000000001</v>
      </c>
      <c r="J47" s="1635" t="n">
        <v>67.45999999999999</v>
      </c>
      <c r="K47" s="1635" t="n">
        <v>70.5</v>
      </c>
      <c r="L47" s="1635" t="n">
        <v>63.12</v>
      </c>
      <c r="M47" s="1635" t="n">
        <v>80.37</v>
      </c>
      <c r="N47" s="1635" t="n">
        <v>52.49</v>
      </c>
      <c r="O47" s="1635" t="n">
        <v>114.88</v>
      </c>
      <c r="P47" s="1635" t="n">
        <v>26.11</v>
      </c>
      <c r="Q47" s="1657" t="n">
        <v>64.63</v>
      </c>
      <c r="R47" s="1635" t="n">
        <v>0</v>
      </c>
      <c r="S47" s="260" t="n"/>
      <c r="T47" s="260" t="n"/>
      <c r="U47" s="260" t="n"/>
      <c r="V47" s="260" t="n"/>
      <c r="W47" s="260" t="n"/>
      <c r="X47" s="260" t="n"/>
      <c r="Y47" s="260" t="n"/>
      <c r="Z47" s="260" t="n"/>
      <c r="AA47" s="260" t="n"/>
      <c r="AB47" s="260" t="n"/>
      <c r="AC47" s="260" t="n"/>
      <c r="AD47" s="260" t="n"/>
      <c r="AE47" s="260" t="n"/>
      <c r="AF47" s="260" t="n"/>
      <c r="AG47" s="260" t="n"/>
      <c r="AH47" s="260" t="n"/>
      <c r="AI47" s="260" t="n"/>
      <c r="AJ47" s="260" t="n"/>
      <c r="AK47" s="260" t="n"/>
      <c r="AL47" s="260" t="n"/>
      <c r="AM47" s="260" t="n"/>
      <c r="AN47" s="260" t="n"/>
      <c r="AO47" s="260" t="n"/>
      <c r="AP47" s="260" t="n"/>
      <c r="AQ47" s="260" t="n"/>
      <c r="AR47" s="260" t="n"/>
      <c r="AS47" s="260" t="n"/>
      <c r="AT47" s="260" t="n"/>
      <c r="AU47" s="260" t="n"/>
      <c r="AV47" s="260" t="n"/>
      <c r="AW47" s="260" t="n"/>
      <c r="AX47" s="260" t="n"/>
      <c r="AY47" s="260" t="n"/>
      <c r="AZ47" s="260" t="n"/>
      <c r="BA47" s="260" t="n"/>
      <c r="BB47" s="260" t="n"/>
      <c r="BC47" s="260" t="n"/>
      <c r="BD47" s="260" t="n"/>
      <c r="BE47" s="260" t="n"/>
      <c r="BF47" s="260" t="n"/>
      <c r="BG47" s="260" t="n"/>
      <c r="BH47" s="260" t="n"/>
      <c r="BI47" s="260" t="n"/>
      <c r="BJ47" s="260" t="n"/>
      <c r="BK47" s="260" t="n"/>
      <c r="BL47" s="260" t="n"/>
      <c r="BM47" s="260" t="n"/>
      <c r="BN47" s="260" t="n"/>
      <c r="BO47" s="260" t="n"/>
      <c r="BP47" s="260" t="n"/>
      <c r="BQ47" s="260" t="n"/>
      <c r="BR47" s="260" t="n"/>
      <c r="BS47" s="260" t="n"/>
      <c r="BT47" s="260" t="n"/>
      <c r="BU47" s="260" t="n"/>
      <c r="BV47" s="260" t="n"/>
      <c r="BW47" s="260" t="n"/>
      <c r="BX47" s="260" t="n"/>
      <c r="BY47" s="260" t="n"/>
      <c r="BZ47" s="260" t="n"/>
      <c r="CA47" s="260" t="n"/>
      <c r="CB47" s="260" t="n"/>
      <c r="CC47" s="260" t="n"/>
      <c r="CD47" s="260" t="n"/>
      <c r="CE47" s="260" t="n"/>
      <c r="CF47" s="260" t="n"/>
      <c r="CG47" s="260" t="n"/>
      <c r="CH47" s="260" t="n"/>
      <c r="CI47" s="260" t="n"/>
      <c r="CJ47" s="260" t="n"/>
      <c r="CK47" s="260" t="n"/>
      <c r="CL47" s="260" t="n"/>
      <c r="CM47" s="260" t="n"/>
      <c r="CN47" s="260" t="n"/>
      <c r="CO47" s="260" t="n"/>
      <c r="CP47" s="260" t="n"/>
      <c r="CQ47" s="260" t="n"/>
      <c r="CR47" s="260" t="n"/>
      <c r="CS47" s="260" t="n"/>
      <c r="CT47" s="260" t="n"/>
      <c r="CU47" s="260" t="n"/>
      <c r="CV47" s="260" t="n"/>
      <c r="CW47" s="260" t="n"/>
      <c r="CX47" s="260" t="n"/>
      <c r="CY47" s="260" t="n"/>
      <c r="CZ47" s="260" t="n"/>
      <c r="DA47" s="260" t="n"/>
      <c r="DB47" s="260" t="n"/>
      <c r="DC47" s="260" t="n"/>
      <c r="DD47" s="260" t="n"/>
      <c r="DE47" s="260" t="n"/>
      <c r="DF47" s="260" t="n"/>
      <c r="DG47" s="260" t="n"/>
      <c r="DH47" s="260" t="n"/>
      <c r="DI47" s="260" t="n"/>
      <c r="DJ47" s="260" t="n"/>
      <c r="DK47" s="260" t="n"/>
      <c r="DL47" s="260" t="n"/>
      <c r="DM47" s="260" t="n"/>
      <c r="DN47" s="260" t="n"/>
      <c r="DO47" s="260" t="n"/>
      <c r="DP47" s="260" t="n"/>
      <c r="DQ47" s="260" t="n"/>
      <c r="DR47" s="260" t="n"/>
      <c r="DS47" s="260" t="n"/>
      <c r="DT47" s="260" t="n"/>
      <c r="DU47" s="260" t="n"/>
      <c r="DV47" s="260" t="n"/>
      <c r="DW47" s="260" t="n"/>
      <c r="DX47" s="260" t="n"/>
      <c r="DY47" s="260" t="n"/>
      <c r="DZ47" s="260" t="n"/>
      <c r="EA47" s="260" t="n"/>
      <c r="EB47" s="260" t="n"/>
      <c r="EC47" s="260" t="n"/>
      <c r="ED47" s="260" t="n"/>
      <c r="EE47" s="260" t="n"/>
      <c r="EF47" s="260" t="n"/>
      <c r="EG47" s="260" t="n"/>
      <c r="EH47" s="260" t="n"/>
      <c r="EI47" s="260" t="n"/>
      <c r="EJ47" s="260" t="n"/>
      <c r="EK47" s="260" t="n"/>
      <c r="EL47" s="260" t="n"/>
      <c r="EM47" s="260" t="n"/>
      <c r="EN47" s="260" t="n"/>
      <c r="EO47" s="260" t="n"/>
      <c r="EP47" s="260" t="n"/>
      <c r="EQ47" s="260" t="n"/>
      <c r="ER47" s="260" t="n"/>
      <c r="ES47" s="260" t="n"/>
      <c r="ET47" s="260" t="n"/>
      <c r="EU47" s="260" t="n"/>
      <c r="EV47" s="260" t="n"/>
      <c r="EW47" s="260" t="n"/>
      <c r="EX47" s="260" t="n"/>
      <c r="EY47" s="260" t="n"/>
      <c r="EZ47" s="260" t="n"/>
      <c r="FA47" s="260" t="n"/>
      <c r="FB47" s="260" t="n"/>
      <c r="FC47" s="260" t="n"/>
      <c r="FD47" s="260" t="n"/>
      <c r="FE47" s="260" t="n"/>
      <c r="FF47" s="260" t="n"/>
      <c r="FG47" s="260" t="n"/>
      <c r="FH47" s="260" t="n"/>
      <c r="FI47" s="260" t="n"/>
      <c r="FJ47" s="260" t="n"/>
      <c r="FK47" s="260" t="n"/>
      <c r="FL47" s="260" t="n"/>
      <c r="FM47" s="260" t="n"/>
      <c r="FN47" s="260" t="n"/>
      <c r="FO47" s="260" t="n"/>
      <c r="FP47" s="260" t="n"/>
      <c r="FQ47" s="260" t="n"/>
      <c r="FR47" s="260" t="n"/>
      <c r="FS47" s="260" t="n"/>
      <c r="FT47" s="260" t="n"/>
      <c r="FU47" s="260" t="n"/>
      <c r="FV47" s="260" t="n"/>
      <c r="FW47" s="260" t="n"/>
      <c r="FX47" s="260" t="n"/>
      <c r="FY47" s="260" t="n"/>
      <c r="FZ47" s="260" t="n"/>
      <c r="GA47" s="260" t="n"/>
      <c r="GB47" s="260" t="n"/>
      <c r="GC47" s="260" t="n"/>
      <c r="GD47" s="260" t="n"/>
      <c r="GE47" s="260" t="n"/>
      <c r="GF47" s="260" t="n"/>
      <c r="GG47" s="260" t="n"/>
      <c r="GH47" s="260" t="n"/>
      <c r="GI47" s="260" t="n"/>
      <c r="GJ47" s="260" t="n"/>
      <c r="GK47" s="260" t="n"/>
      <c r="GL47" s="260" t="n"/>
      <c r="GM47" s="260" t="n"/>
      <c r="GN47" s="260" t="n"/>
      <c r="GO47" s="260" t="n"/>
      <c r="GP47" s="260" t="n"/>
      <c r="GQ47" s="260" t="n"/>
      <c r="GR47" s="260" t="n"/>
      <c r="GS47" s="260" t="n"/>
      <c r="GT47" s="260" t="n"/>
      <c r="GU47" s="260" t="n"/>
      <c r="GV47" s="260" t="n"/>
      <c r="GW47" s="260" t="n"/>
      <c r="GX47" s="260" t="n"/>
      <c r="GY47" s="260" t="n"/>
      <c r="GZ47" s="260" t="n"/>
      <c r="HA47" s="260" t="n"/>
      <c r="HB47" s="260" t="n"/>
      <c r="HC47" s="260" t="n"/>
      <c r="HD47" s="260" t="n"/>
      <c r="HE47" s="260" t="n"/>
      <c r="HF47" s="260" t="n"/>
      <c r="HG47" s="260" t="n"/>
      <c r="HH47" s="260" t="n"/>
      <c r="HI47" s="260" t="n"/>
      <c r="HJ47" s="260" t="n"/>
      <c r="HK47" s="260" t="n"/>
      <c r="HL47" s="260" t="n"/>
      <c r="HM47" s="260" t="n"/>
      <c r="HN47" s="260" t="n"/>
      <c r="HO47" s="260" t="n"/>
      <c r="HP47" s="260" t="n"/>
      <c r="HQ47" s="260" t="n"/>
      <c r="HR47" s="260" t="n"/>
      <c r="HS47" s="260" t="n"/>
      <c r="HT47" s="260" t="n"/>
      <c r="HU47" s="260" t="n"/>
      <c r="HV47" s="260" t="n"/>
      <c r="HW47" s="260" t="n"/>
      <c r="HX47" s="260" t="n"/>
      <c r="HY47" s="260" t="n"/>
      <c r="HZ47" s="260" t="n"/>
      <c r="IA47" s="260" t="n"/>
      <c r="IB47" s="260" t="n"/>
      <c r="IC47" s="260" t="n"/>
      <c r="ID47" s="260" t="n"/>
      <c r="IE47" s="260" t="n"/>
    </row>
    <row r="48" ht="17.4" customFormat="1" customHeight="1" s="288">
      <c r="A48" s="289" t="n"/>
      <c r="B48" s="290" t="n"/>
      <c r="C48" s="290" t="inlineStr">
        <is>
          <t>E20</t>
        </is>
      </c>
      <c r="D48" s="1397" t="n"/>
      <c r="E48" s="1397" t="n"/>
      <c r="F48" s="1665">
        <f>SUM(G48:R48)</f>
        <v/>
      </c>
      <c r="G48" s="1635" t="n">
        <v>0</v>
      </c>
      <c r="H48" s="1635" t="n">
        <v>0</v>
      </c>
      <c r="I48" s="1635" t="n">
        <v>0</v>
      </c>
      <c r="J48" s="1635" t="n">
        <v>0</v>
      </c>
      <c r="K48" s="1635" t="n">
        <v>0</v>
      </c>
      <c r="L48" s="1635" t="n">
        <v>0</v>
      </c>
      <c r="M48" s="1635" t="n">
        <v>0</v>
      </c>
      <c r="N48" s="1635" t="n">
        <v>0</v>
      </c>
      <c r="O48" s="1635" t="n">
        <v>0</v>
      </c>
      <c r="P48" s="1635" t="n">
        <v>0</v>
      </c>
      <c r="Q48" s="1657" t="n">
        <v>0</v>
      </c>
      <c r="R48" s="1635" t="n">
        <v>0</v>
      </c>
      <c r="S48" s="260" t="n"/>
      <c r="T48" s="260" t="n"/>
      <c r="U48" s="260" t="n"/>
      <c r="V48" s="260" t="n"/>
      <c r="W48" s="260" t="n"/>
      <c r="X48" s="260" t="n"/>
      <c r="Y48" s="260" t="n"/>
      <c r="Z48" s="260" t="n"/>
      <c r="AA48" s="260" t="n"/>
      <c r="AB48" s="260" t="n"/>
      <c r="AC48" s="260" t="n"/>
      <c r="AD48" s="260" t="n"/>
      <c r="AE48" s="260" t="n"/>
      <c r="AF48" s="260" t="n"/>
      <c r="AG48" s="260" t="n"/>
      <c r="AH48" s="260" t="n"/>
      <c r="AI48" s="260" t="n"/>
      <c r="AJ48" s="260" t="n"/>
      <c r="AK48" s="260" t="n"/>
      <c r="AL48" s="260" t="n"/>
      <c r="AM48" s="260" t="n"/>
      <c r="AN48" s="260" t="n"/>
      <c r="AO48" s="260" t="n"/>
      <c r="AP48" s="260" t="n"/>
      <c r="AQ48" s="260" t="n"/>
      <c r="AR48" s="260" t="n"/>
      <c r="AS48" s="260" t="n"/>
      <c r="AT48" s="260" t="n"/>
      <c r="AU48" s="260" t="n"/>
      <c r="AV48" s="260" t="n"/>
      <c r="AW48" s="260" t="n"/>
      <c r="AX48" s="260" t="n"/>
      <c r="AY48" s="260" t="n"/>
      <c r="AZ48" s="260" t="n"/>
      <c r="BA48" s="260" t="n"/>
      <c r="BB48" s="260" t="n"/>
      <c r="BC48" s="260" t="n"/>
      <c r="BD48" s="260" t="n"/>
      <c r="BE48" s="260" t="n"/>
      <c r="BF48" s="260" t="n"/>
      <c r="BG48" s="260" t="n"/>
      <c r="BH48" s="260" t="n"/>
      <c r="BI48" s="260" t="n"/>
      <c r="BJ48" s="260" t="n"/>
      <c r="BK48" s="260" t="n"/>
      <c r="BL48" s="260" t="n"/>
      <c r="BM48" s="260" t="n"/>
      <c r="BN48" s="260" t="n"/>
      <c r="BO48" s="260" t="n"/>
      <c r="BP48" s="260" t="n"/>
      <c r="BQ48" s="260" t="n"/>
      <c r="BR48" s="260" t="n"/>
      <c r="BS48" s="260" t="n"/>
      <c r="BT48" s="260" t="n"/>
      <c r="BU48" s="260" t="n"/>
      <c r="BV48" s="260" t="n"/>
      <c r="BW48" s="260" t="n"/>
      <c r="BX48" s="260" t="n"/>
      <c r="BY48" s="260" t="n"/>
      <c r="BZ48" s="260" t="n"/>
      <c r="CA48" s="260" t="n"/>
      <c r="CB48" s="260" t="n"/>
      <c r="CC48" s="260" t="n"/>
      <c r="CD48" s="260" t="n"/>
      <c r="CE48" s="260" t="n"/>
      <c r="CF48" s="260" t="n"/>
      <c r="CG48" s="260" t="n"/>
      <c r="CH48" s="260" t="n"/>
      <c r="CI48" s="260" t="n"/>
      <c r="CJ48" s="260" t="n"/>
      <c r="CK48" s="260" t="n"/>
      <c r="CL48" s="260" t="n"/>
      <c r="CM48" s="260" t="n"/>
      <c r="CN48" s="260" t="n"/>
      <c r="CO48" s="260" t="n"/>
      <c r="CP48" s="260" t="n"/>
      <c r="CQ48" s="260" t="n"/>
      <c r="CR48" s="260" t="n"/>
      <c r="CS48" s="260" t="n"/>
      <c r="CT48" s="260" t="n"/>
      <c r="CU48" s="260" t="n"/>
      <c r="CV48" s="260" t="n"/>
      <c r="CW48" s="260" t="n"/>
      <c r="CX48" s="260" t="n"/>
      <c r="CY48" s="260" t="n"/>
      <c r="CZ48" s="260" t="n"/>
      <c r="DA48" s="260" t="n"/>
      <c r="DB48" s="260" t="n"/>
      <c r="DC48" s="260" t="n"/>
      <c r="DD48" s="260" t="n"/>
      <c r="DE48" s="260" t="n"/>
      <c r="DF48" s="260" t="n"/>
      <c r="DG48" s="260" t="n"/>
      <c r="DH48" s="260" t="n"/>
      <c r="DI48" s="260" t="n"/>
      <c r="DJ48" s="260" t="n"/>
      <c r="DK48" s="260" t="n"/>
      <c r="DL48" s="260" t="n"/>
      <c r="DM48" s="260" t="n"/>
      <c r="DN48" s="260" t="n"/>
      <c r="DO48" s="260" t="n"/>
      <c r="DP48" s="260" t="n"/>
      <c r="DQ48" s="260" t="n"/>
      <c r="DR48" s="260" t="n"/>
      <c r="DS48" s="260" t="n"/>
      <c r="DT48" s="260" t="n"/>
      <c r="DU48" s="260" t="n"/>
      <c r="DV48" s="260" t="n"/>
      <c r="DW48" s="260" t="n"/>
      <c r="DX48" s="260" t="n"/>
      <c r="DY48" s="260" t="n"/>
      <c r="DZ48" s="260" t="n"/>
      <c r="EA48" s="260" t="n"/>
      <c r="EB48" s="260" t="n"/>
      <c r="EC48" s="260" t="n"/>
      <c r="ED48" s="260" t="n"/>
      <c r="EE48" s="260" t="n"/>
      <c r="EF48" s="260" t="n"/>
      <c r="EG48" s="260" t="n"/>
      <c r="EH48" s="260" t="n"/>
      <c r="EI48" s="260" t="n"/>
      <c r="EJ48" s="260" t="n"/>
      <c r="EK48" s="260" t="n"/>
      <c r="EL48" s="260" t="n"/>
      <c r="EM48" s="260" t="n"/>
      <c r="EN48" s="260" t="n"/>
      <c r="EO48" s="260" t="n"/>
      <c r="EP48" s="260" t="n"/>
      <c r="EQ48" s="260" t="n"/>
      <c r="ER48" s="260" t="n"/>
      <c r="ES48" s="260" t="n"/>
      <c r="ET48" s="260" t="n"/>
      <c r="EU48" s="260" t="n"/>
      <c r="EV48" s="260" t="n"/>
      <c r="EW48" s="260" t="n"/>
      <c r="EX48" s="260" t="n"/>
      <c r="EY48" s="260" t="n"/>
      <c r="EZ48" s="260" t="n"/>
      <c r="FA48" s="260" t="n"/>
      <c r="FB48" s="260" t="n"/>
      <c r="FC48" s="260" t="n"/>
      <c r="FD48" s="260" t="n"/>
      <c r="FE48" s="260" t="n"/>
      <c r="FF48" s="260" t="n"/>
      <c r="FG48" s="260" t="n"/>
      <c r="FH48" s="260" t="n"/>
      <c r="FI48" s="260" t="n"/>
      <c r="FJ48" s="260" t="n"/>
      <c r="FK48" s="260" t="n"/>
      <c r="FL48" s="260" t="n"/>
      <c r="FM48" s="260" t="n"/>
      <c r="FN48" s="260" t="n"/>
      <c r="FO48" s="260" t="n"/>
      <c r="FP48" s="260" t="n"/>
      <c r="FQ48" s="260" t="n"/>
      <c r="FR48" s="260" t="n"/>
      <c r="FS48" s="260" t="n"/>
      <c r="FT48" s="260" t="n"/>
      <c r="FU48" s="260" t="n"/>
      <c r="FV48" s="260" t="n"/>
      <c r="FW48" s="260" t="n"/>
      <c r="FX48" s="260" t="n"/>
      <c r="FY48" s="260" t="n"/>
      <c r="FZ48" s="260" t="n"/>
      <c r="GA48" s="260" t="n"/>
      <c r="GB48" s="260" t="n"/>
      <c r="GC48" s="260" t="n"/>
      <c r="GD48" s="260" t="n"/>
      <c r="GE48" s="260" t="n"/>
      <c r="GF48" s="260" t="n"/>
      <c r="GG48" s="260" t="n"/>
      <c r="GH48" s="260" t="n"/>
      <c r="GI48" s="260" t="n"/>
      <c r="GJ48" s="260" t="n"/>
      <c r="GK48" s="260" t="n"/>
      <c r="GL48" s="260" t="n"/>
      <c r="GM48" s="260" t="n"/>
      <c r="GN48" s="260" t="n"/>
      <c r="GO48" s="260" t="n"/>
      <c r="GP48" s="260" t="n"/>
      <c r="GQ48" s="260" t="n"/>
      <c r="GR48" s="260" t="n"/>
      <c r="GS48" s="260" t="n"/>
      <c r="GT48" s="260" t="n"/>
      <c r="GU48" s="260" t="n"/>
      <c r="GV48" s="260" t="n"/>
      <c r="GW48" s="260" t="n"/>
      <c r="GX48" s="260" t="n"/>
      <c r="GY48" s="260" t="n"/>
      <c r="GZ48" s="260" t="n"/>
      <c r="HA48" s="260" t="n"/>
      <c r="HB48" s="260" t="n"/>
      <c r="HC48" s="260" t="n"/>
      <c r="HD48" s="260" t="n"/>
      <c r="HE48" s="260" t="n"/>
      <c r="HF48" s="260" t="n"/>
      <c r="HG48" s="260" t="n"/>
      <c r="HH48" s="260" t="n"/>
      <c r="HI48" s="260" t="n"/>
      <c r="HJ48" s="260" t="n"/>
      <c r="HK48" s="260" t="n"/>
      <c r="HL48" s="260" t="n"/>
      <c r="HM48" s="260" t="n"/>
      <c r="HN48" s="260" t="n"/>
      <c r="HO48" s="260" t="n"/>
      <c r="HP48" s="260" t="n"/>
      <c r="HQ48" s="260" t="n"/>
      <c r="HR48" s="260" t="n"/>
      <c r="HS48" s="260" t="n"/>
      <c r="HT48" s="260" t="n"/>
      <c r="HU48" s="260" t="n"/>
      <c r="HV48" s="260" t="n"/>
      <c r="HW48" s="260" t="n"/>
      <c r="HX48" s="260" t="n"/>
      <c r="HY48" s="260" t="n"/>
      <c r="HZ48" s="260" t="n"/>
      <c r="IA48" s="260" t="n"/>
      <c r="IB48" s="260" t="n"/>
      <c r="IC48" s="260" t="n"/>
      <c r="ID48" s="260" t="n"/>
      <c r="IE48" s="260" t="n"/>
    </row>
    <row r="49" ht="17.4" customFormat="1" customHeight="1" s="288">
      <c r="A49" s="289" t="inlineStr">
        <is>
          <t xml:space="preserve">3. 6กฉ-3489 กทม       </t>
        </is>
      </c>
      <c r="B49" s="290" t="inlineStr">
        <is>
          <t>BKK</t>
        </is>
      </c>
      <c r="C49" s="290" t="inlineStr">
        <is>
          <t>91/95</t>
        </is>
      </c>
      <c r="D49" s="1397" t="inlineStr">
        <is>
          <t>ใบแจ้งหนี้ / Fleet Card Report</t>
        </is>
      </c>
      <c r="E49" s="1397" t="inlineStr">
        <is>
          <t xml:space="preserve"> L</t>
        </is>
      </c>
      <c r="F49" s="1665">
        <f>SUM(G49:R49)</f>
        <v/>
      </c>
      <c r="G49" s="1635" t="n">
        <v>112.94</v>
      </c>
      <c r="H49" s="1635" t="n">
        <v>47.24</v>
      </c>
      <c r="I49" s="1635" t="n">
        <v>93.05</v>
      </c>
      <c r="J49" s="1635" t="n">
        <v>24.01</v>
      </c>
      <c r="K49" s="1635" t="n">
        <v>0</v>
      </c>
      <c r="L49" s="1635" t="n">
        <v>0</v>
      </c>
      <c r="M49" s="1635" t="n">
        <v>0</v>
      </c>
      <c r="N49" s="1635" t="n">
        <v>0</v>
      </c>
      <c r="O49" s="1635" t="n">
        <v>0</v>
      </c>
      <c r="P49" s="1635" t="n">
        <v>0</v>
      </c>
      <c r="Q49" s="1657" t="n">
        <v>0</v>
      </c>
      <c r="R49" s="1635" t="n">
        <v>0</v>
      </c>
      <c r="S49" s="260" t="n"/>
      <c r="T49" s="260" t="n"/>
      <c r="U49" s="260" t="n"/>
      <c r="V49" s="260" t="n"/>
      <c r="W49" s="260" t="n"/>
      <c r="X49" s="260" t="n"/>
      <c r="Y49" s="260" t="n"/>
      <c r="Z49" s="260" t="n"/>
      <c r="AA49" s="260" t="n"/>
      <c r="AB49" s="260" t="n"/>
      <c r="AC49" s="260" t="n"/>
      <c r="AD49" s="260" t="n"/>
      <c r="AE49" s="260" t="n"/>
      <c r="AF49" s="260" t="n"/>
      <c r="AG49" s="260" t="n"/>
      <c r="AH49" s="260" t="n"/>
      <c r="AI49" s="260" t="n"/>
      <c r="AJ49" s="260" t="n"/>
      <c r="AK49" s="260" t="n"/>
      <c r="AL49" s="260" t="n"/>
      <c r="AM49" s="260" t="n"/>
      <c r="AN49" s="260" t="n"/>
      <c r="AO49" s="260" t="n"/>
      <c r="AP49" s="260" t="n"/>
      <c r="AQ49" s="260" t="n"/>
      <c r="AR49" s="260" t="n"/>
      <c r="AS49" s="260" t="n"/>
      <c r="AT49" s="260" t="n"/>
      <c r="AU49" s="260" t="n"/>
      <c r="AV49" s="260" t="n"/>
      <c r="AW49" s="260" t="n"/>
      <c r="AX49" s="260" t="n"/>
      <c r="AY49" s="260" t="n"/>
      <c r="AZ49" s="260" t="n"/>
      <c r="BA49" s="260" t="n"/>
      <c r="BB49" s="260" t="n"/>
      <c r="BC49" s="260" t="n"/>
      <c r="BD49" s="260" t="n"/>
      <c r="BE49" s="260" t="n"/>
      <c r="BF49" s="260" t="n"/>
      <c r="BG49" s="260" t="n"/>
      <c r="BH49" s="260" t="n"/>
      <c r="BI49" s="260" t="n"/>
      <c r="BJ49" s="260" t="n"/>
      <c r="BK49" s="260" t="n"/>
      <c r="BL49" s="260" t="n"/>
      <c r="BM49" s="260" t="n"/>
      <c r="BN49" s="260" t="n"/>
      <c r="BO49" s="260" t="n"/>
      <c r="BP49" s="260" t="n"/>
      <c r="BQ49" s="260" t="n"/>
      <c r="BR49" s="260" t="n"/>
      <c r="BS49" s="260" t="n"/>
      <c r="BT49" s="260" t="n"/>
      <c r="BU49" s="260" t="n"/>
      <c r="BV49" s="260" t="n"/>
      <c r="BW49" s="260" t="n"/>
      <c r="BX49" s="260" t="n"/>
      <c r="BY49" s="260" t="n"/>
      <c r="BZ49" s="260" t="n"/>
      <c r="CA49" s="260" t="n"/>
      <c r="CB49" s="260" t="n"/>
      <c r="CC49" s="260" t="n"/>
      <c r="CD49" s="260" t="n"/>
      <c r="CE49" s="260" t="n"/>
      <c r="CF49" s="260" t="n"/>
      <c r="CG49" s="260" t="n"/>
      <c r="CH49" s="260" t="n"/>
      <c r="CI49" s="260" t="n"/>
      <c r="CJ49" s="260" t="n"/>
      <c r="CK49" s="260" t="n"/>
      <c r="CL49" s="260" t="n"/>
      <c r="CM49" s="260" t="n"/>
      <c r="CN49" s="260" t="n"/>
      <c r="CO49" s="260" t="n"/>
      <c r="CP49" s="260" t="n"/>
      <c r="CQ49" s="260" t="n"/>
      <c r="CR49" s="260" t="n"/>
      <c r="CS49" s="260" t="n"/>
      <c r="CT49" s="260" t="n"/>
      <c r="CU49" s="260" t="n"/>
      <c r="CV49" s="260" t="n"/>
      <c r="CW49" s="260" t="n"/>
      <c r="CX49" s="260" t="n"/>
      <c r="CY49" s="260" t="n"/>
      <c r="CZ49" s="260" t="n"/>
      <c r="DA49" s="260" t="n"/>
      <c r="DB49" s="260" t="n"/>
      <c r="DC49" s="260" t="n"/>
      <c r="DD49" s="260" t="n"/>
      <c r="DE49" s="260" t="n"/>
      <c r="DF49" s="260" t="n"/>
      <c r="DG49" s="260" t="n"/>
      <c r="DH49" s="260" t="n"/>
      <c r="DI49" s="260" t="n"/>
      <c r="DJ49" s="260" t="n"/>
      <c r="DK49" s="260" t="n"/>
      <c r="DL49" s="260" t="n"/>
      <c r="DM49" s="260" t="n"/>
      <c r="DN49" s="260" t="n"/>
      <c r="DO49" s="260" t="n"/>
      <c r="DP49" s="260" t="n"/>
      <c r="DQ49" s="260" t="n"/>
      <c r="DR49" s="260" t="n"/>
      <c r="DS49" s="260" t="n"/>
      <c r="DT49" s="260" t="n"/>
      <c r="DU49" s="260" t="n"/>
      <c r="DV49" s="260" t="n"/>
      <c r="DW49" s="260" t="n"/>
      <c r="DX49" s="260" t="n"/>
      <c r="DY49" s="260" t="n"/>
      <c r="DZ49" s="260" t="n"/>
      <c r="EA49" s="260" t="n"/>
      <c r="EB49" s="260" t="n"/>
      <c r="EC49" s="260" t="n"/>
      <c r="ED49" s="260" t="n"/>
      <c r="EE49" s="260" t="n"/>
      <c r="EF49" s="260" t="n"/>
      <c r="EG49" s="260" t="n"/>
      <c r="EH49" s="260" t="n"/>
      <c r="EI49" s="260" t="n"/>
      <c r="EJ49" s="260" t="n"/>
      <c r="EK49" s="260" t="n"/>
      <c r="EL49" s="260" t="n"/>
      <c r="EM49" s="260" t="n"/>
      <c r="EN49" s="260" t="n"/>
      <c r="EO49" s="260" t="n"/>
      <c r="EP49" s="260" t="n"/>
      <c r="EQ49" s="260" t="n"/>
      <c r="ER49" s="260" t="n"/>
      <c r="ES49" s="260" t="n"/>
      <c r="ET49" s="260" t="n"/>
      <c r="EU49" s="260" t="n"/>
      <c r="EV49" s="260" t="n"/>
      <c r="EW49" s="260" t="n"/>
      <c r="EX49" s="260" t="n"/>
      <c r="EY49" s="260" t="n"/>
      <c r="EZ49" s="260" t="n"/>
      <c r="FA49" s="260" t="n"/>
      <c r="FB49" s="260" t="n"/>
      <c r="FC49" s="260" t="n"/>
      <c r="FD49" s="260" t="n"/>
      <c r="FE49" s="260" t="n"/>
      <c r="FF49" s="260" t="n"/>
      <c r="FG49" s="260" t="n"/>
      <c r="FH49" s="260" t="n"/>
      <c r="FI49" s="260" t="n"/>
      <c r="FJ49" s="260" t="n"/>
      <c r="FK49" s="260" t="n"/>
      <c r="FL49" s="260" t="n"/>
      <c r="FM49" s="260" t="n"/>
      <c r="FN49" s="260" t="n"/>
      <c r="FO49" s="260" t="n"/>
      <c r="FP49" s="260" t="n"/>
      <c r="FQ49" s="260" t="n"/>
      <c r="FR49" s="260" t="n"/>
      <c r="FS49" s="260" t="n"/>
      <c r="FT49" s="260" t="n"/>
      <c r="FU49" s="260" t="n"/>
      <c r="FV49" s="260" t="n"/>
      <c r="FW49" s="260" t="n"/>
      <c r="FX49" s="260" t="n"/>
      <c r="FY49" s="260" t="n"/>
      <c r="FZ49" s="260" t="n"/>
      <c r="GA49" s="260" t="n"/>
      <c r="GB49" s="260" t="n"/>
      <c r="GC49" s="260" t="n"/>
      <c r="GD49" s="260" t="n"/>
      <c r="GE49" s="260" t="n"/>
      <c r="GF49" s="260" t="n"/>
      <c r="GG49" s="260" t="n"/>
      <c r="GH49" s="260" t="n"/>
      <c r="GI49" s="260" t="n"/>
      <c r="GJ49" s="260" t="n"/>
      <c r="GK49" s="260" t="n"/>
      <c r="GL49" s="260" t="n"/>
      <c r="GM49" s="260" t="n"/>
      <c r="GN49" s="260" t="n"/>
      <c r="GO49" s="260" t="n"/>
      <c r="GP49" s="260" t="n"/>
      <c r="GQ49" s="260" t="n"/>
      <c r="GR49" s="260" t="n"/>
      <c r="GS49" s="260" t="n"/>
      <c r="GT49" s="260" t="n"/>
      <c r="GU49" s="260" t="n"/>
      <c r="GV49" s="260" t="n"/>
      <c r="GW49" s="260" t="n"/>
      <c r="GX49" s="260" t="n"/>
      <c r="GY49" s="260" t="n"/>
      <c r="GZ49" s="260" t="n"/>
      <c r="HA49" s="260" t="n"/>
      <c r="HB49" s="260" t="n"/>
      <c r="HC49" s="260" t="n"/>
      <c r="HD49" s="260" t="n"/>
      <c r="HE49" s="260" t="n"/>
      <c r="HF49" s="260" t="n"/>
      <c r="HG49" s="260" t="n"/>
      <c r="HH49" s="260" t="n"/>
      <c r="HI49" s="260" t="n"/>
      <c r="HJ49" s="260" t="n"/>
      <c r="HK49" s="260" t="n"/>
      <c r="HL49" s="260" t="n"/>
      <c r="HM49" s="260" t="n"/>
      <c r="HN49" s="260" t="n"/>
      <c r="HO49" s="260" t="n"/>
      <c r="HP49" s="260" t="n"/>
      <c r="HQ49" s="260" t="n"/>
      <c r="HR49" s="260" t="n"/>
      <c r="HS49" s="260" t="n"/>
      <c r="HT49" s="260" t="n"/>
      <c r="HU49" s="260" t="n"/>
      <c r="HV49" s="260" t="n"/>
      <c r="HW49" s="260" t="n"/>
      <c r="HX49" s="260" t="n"/>
      <c r="HY49" s="260" t="n"/>
      <c r="HZ49" s="260" t="n"/>
      <c r="IA49" s="260" t="n"/>
      <c r="IB49" s="260" t="n"/>
      <c r="IC49" s="260" t="n"/>
      <c r="ID49" s="260" t="n"/>
      <c r="IE49" s="260" t="n"/>
    </row>
    <row r="50" ht="17.4" customFormat="1" customHeight="1" s="288">
      <c r="A50" s="289" t="n"/>
      <c r="B50" s="290" t="n"/>
      <c r="C50" s="290" t="inlineStr">
        <is>
          <t>E20</t>
        </is>
      </c>
      <c r="D50" s="1397" t="n"/>
      <c r="E50" s="1397" t="n"/>
      <c r="F50" s="1665">
        <f>SUM(G50:R50)</f>
        <v/>
      </c>
      <c r="G50" s="1635" t="n">
        <v>0</v>
      </c>
      <c r="H50" s="1635" t="n">
        <v>0</v>
      </c>
      <c r="I50" s="1635" t="n">
        <v>0</v>
      </c>
      <c r="J50" s="1635" t="n">
        <v>0</v>
      </c>
      <c r="K50" s="1635" t="n">
        <v>0</v>
      </c>
      <c r="L50" s="1635" t="n">
        <v>0</v>
      </c>
      <c r="M50" s="1635" t="n">
        <v>0</v>
      </c>
      <c r="N50" s="1635" t="n"/>
      <c r="O50" s="1635" t="n">
        <v>0</v>
      </c>
      <c r="P50" s="1635" t="n">
        <v>0</v>
      </c>
      <c r="Q50" s="1657" t="n">
        <v>0</v>
      </c>
      <c r="R50" s="1635" t="n">
        <v>0</v>
      </c>
      <c r="S50" s="260" t="n"/>
      <c r="T50" s="260" t="n"/>
      <c r="U50" s="260" t="n"/>
      <c r="V50" s="260" t="n"/>
      <c r="W50" s="260" t="n"/>
      <c r="X50" s="260" t="n"/>
      <c r="Y50" s="260" t="n"/>
      <c r="Z50" s="260" t="n"/>
      <c r="AA50" s="260" t="n"/>
      <c r="AB50" s="260" t="n"/>
      <c r="AC50" s="260" t="n"/>
      <c r="AD50" s="260" t="n"/>
      <c r="AE50" s="260" t="n"/>
      <c r="AF50" s="260" t="n"/>
      <c r="AG50" s="260" t="n"/>
      <c r="AH50" s="260" t="n"/>
      <c r="AI50" s="260" t="n"/>
      <c r="AJ50" s="260" t="n"/>
      <c r="AK50" s="260" t="n"/>
      <c r="AL50" s="260" t="n"/>
      <c r="AM50" s="260" t="n"/>
      <c r="AN50" s="260" t="n"/>
      <c r="AO50" s="260" t="n"/>
      <c r="AP50" s="260" t="n"/>
      <c r="AQ50" s="260" t="n"/>
      <c r="AR50" s="260" t="n"/>
      <c r="AS50" s="260" t="n"/>
      <c r="AT50" s="260" t="n"/>
      <c r="AU50" s="260" t="n"/>
      <c r="AV50" s="260" t="n"/>
      <c r="AW50" s="260" t="n"/>
      <c r="AX50" s="260" t="n"/>
      <c r="AY50" s="260" t="n"/>
      <c r="AZ50" s="260" t="n"/>
      <c r="BA50" s="260" t="n"/>
      <c r="BB50" s="260" t="n"/>
      <c r="BC50" s="260" t="n"/>
      <c r="BD50" s="260" t="n"/>
      <c r="BE50" s="260" t="n"/>
      <c r="BF50" s="260" t="n"/>
      <c r="BG50" s="260" t="n"/>
      <c r="BH50" s="260" t="n"/>
      <c r="BI50" s="260" t="n"/>
      <c r="BJ50" s="260" t="n"/>
      <c r="BK50" s="260" t="n"/>
      <c r="BL50" s="260" t="n"/>
      <c r="BM50" s="260" t="n"/>
      <c r="BN50" s="260" t="n"/>
      <c r="BO50" s="260" t="n"/>
      <c r="BP50" s="260" t="n"/>
      <c r="BQ50" s="260" t="n"/>
      <c r="BR50" s="260" t="n"/>
      <c r="BS50" s="260" t="n"/>
      <c r="BT50" s="260" t="n"/>
      <c r="BU50" s="260" t="n"/>
      <c r="BV50" s="260" t="n"/>
      <c r="BW50" s="260" t="n"/>
      <c r="BX50" s="260" t="n"/>
      <c r="BY50" s="260" t="n"/>
      <c r="BZ50" s="260" t="n"/>
      <c r="CA50" s="260" t="n"/>
      <c r="CB50" s="260" t="n"/>
      <c r="CC50" s="260" t="n"/>
      <c r="CD50" s="260" t="n"/>
      <c r="CE50" s="260" t="n"/>
      <c r="CF50" s="260" t="n"/>
      <c r="CG50" s="260" t="n"/>
      <c r="CH50" s="260" t="n"/>
      <c r="CI50" s="260" t="n"/>
      <c r="CJ50" s="260" t="n"/>
      <c r="CK50" s="260" t="n"/>
      <c r="CL50" s="260" t="n"/>
      <c r="CM50" s="260" t="n"/>
      <c r="CN50" s="260" t="n"/>
      <c r="CO50" s="260" t="n"/>
      <c r="CP50" s="260" t="n"/>
      <c r="CQ50" s="260" t="n"/>
      <c r="CR50" s="260" t="n"/>
      <c r="CS50" s="260" t="n"/>
      <c r="CT50" s="260" t="n"/>
      <c r="CU50" s="260" t="n"/>
      <c r="CV50" s="260" t="n"/>
      <c r="CW50" s="260" t="n"/>
      <c r="CX50" s="260" t="n"/>
      <c r="CY50" s="260" t="n"/>
      <c r="CZ50" s="260" t="n"/>
      <c r="DA50" s="260" t="n"/>
      <c r="DB50" s="260" t="n"/>
      <c r="DC50" s="260" t="n"/>
      <c r="DD50" s="260" t="n"/>
      <c r="DE50" s="260" t="n"/>
      <c r="DF50" s="260" t="n"/>
      <c r="DG50" s="260" t="n"/>
      <c r="DH50" s="260" t="n"/>
      <c r="DI50" s="260" t="n"/>
      <c r="DJ50" s="260" t="n"/>
      <c r="DK50" s="260" t="n"/>
      <c r="DL50" s="260" t="n"/>
      <c r="DM50" s="260" t="n"/>
      <c r="DN50" s="260" t="n"/>
      <c r="DO50" s="260" t="n"/>
      <c r="DP50" s="260" t="n"/>
      <c r="DQ50" s="260" t="n"/>
      <c r="DR50" s="260" t="n"/>
      <c r="DS50" s="260" t="n"/>
      <c r="DT50" s="260" t="n"/>
      <c r="DU50" s="260" t="n"/>
      <c r="DV50" s="260" t="n"/>
      <c r="DW50" s="260" t="n"/>
      <c r="DX50" s="260" t="n"/>
      <c r="DY50" s="260" t="n"/>
      <c r="DZ50" s="260" t="n"/>
      <c r="EA50" s="260" t="n"/>
      <c r="EB50" s="260" t="n"/>
      <c r="EC50" s="260" t="n"/>
      <c r="ED50" s="260" t="n"/>
      <c r="EE50" s="260" t="n"/>
      <c r="EF50" s="260" t="n"/>
      <c r="EG50" s="260" t="n"/>
      <c r="EH50" s="260" t="n"/>
      <c r="EI50" s="260" t="n"/>
      <c r="EJ50" s="260" t="n"/>
      <c r="EK50" s="260" t="n"/>
      <c r="EL50" s="260" t="n"/>
      <c r="EM50" s="260" t="n"/>
      <c r="EN50" s="260" t="n"/>
      <c r="EO50" s="260" t="n"/>
      <c r="EP50" s="260" t="n"/>
      <c r="EQ50" s="260" t="n"/>
      <c r="ER50" s="260" t="n"/>
      <c r="ES50" s="260" t="n"/>
      <c r="ET50" s="260" t="n"/>
      <c r="EU50" s="260" t="n"/>
      <c r="EV50" s="260" t="n"/>
      <c r="EW50" s="260" t="n"/>
      <c r="EX50" s="260" t="n"/>
      <c r="EY50" s="260" t="n"/>
      <c r="EZ50" s="260" t="n"/>
      <c r="FA50" s="260" t="n"/>
      <c r="FB50" s="260" t="n"/>
      <c r="FC50" s="260" t="n"/>
      <c r="FD50" s="260" t="n"/>
      <c r="FE50" s="260" t="n"/>
      <c r="FF50" s="260" t="n"/>
      <c r="FG50" s="260" t="n"/>
      <c r="FH50" s="260" t="n"/>
      <c r="FI50" s="260" t="n"/>
      <c r="FJ50" s="260" t="n"/>
      <c r="FK50" s="260" t="n"/>
      <c r="FL50" s="260" t="n"/>
      <c r="FM50" s="260" t="n"/>
      <c r="FN50" s="260" t="n"/>
      <c r="FO50" s="260" t="n"/>
      <c r="FP50" s="260" t="n"/>
      <c r="FQ50" s="260" t="n"/>
      <c r="FR50" s="260" t="n"/>
      <c r="FS50" s="260" t="n"/>
      <c r="FT50" s="260" t="n"/>
      <c r="FU50" s="260" t="n"/>
      <c r="FV50" s="260" t="n"/>
      <c r="FW50" s="260" t="n"/>
      <c r="FX50" s="260" t="n"/>
      <c r="FY50" s="260" t="n"/>
      <c r="FZ50" s="260" t="n"/>
      <c r="GA50" s="260" t="n"/>
      <c r="GB50" s="260" t="n"/>
      <c r="GC50" s="260" t="n"/>
      <c r="GD50" s="260" t="n"/>
      <c r="GE50" s="260" t="n"/>
      <c r="GF50" s="260" t="n"/>
      <c r="GG50" s="260" t="n"/>
      <c r="GH50" s="260" t="n"/>
      <c r="GI50" s="260" t="n"/>
      <c r="GJ50" s="260" t="n"/>
      <c r="GK50" s="260" t="n"/>
      <c r="GL50" s="260" t="n"/>
      <c r="GM50" s="260" t="n"/>
      <c r="GN50" s="260" t="n"/>
      <c r="GO50" s="260" t="n"/>
      <c r="GP50" s="260" t="n"/>
      <c r="GQ50" s="260" t="n"/>
      <c r="GR50" s="260" t="n"/>
      <c r="GS50" s="260" t="n"/>
      <c r="GT50" s="260" t="n"/>
      <c r="GU50" s="260" t="n"/>
      <c r="GV50" s="260" t="n"/>
      <c r="GW50" s="260" t="n"/>
      <c r="GX50" s="260" t="n"/>
      <c r="GY50" s="260" t="n"/>
      <c r="GZ50" s="260" t="n"/>
      <c r="HA50" s="260" t="n"/>
      <c r="HB50" s="260" t="n"/>
      <c r="HC50" s="260" t="n"/>
      <c r="HD50" s="260" t="n"/>
      <c r="HE50" s="260" t="n"/>
      <c r="HF50" s="260" t="n"/>
      <c r="HG50" s="260" t="n"/>
      <c r="HH50" s="260" t="n"/>
      <c r="HI50" s="260" t="n"/>
      <c r="HJ50" s="260" t="n"/>
      <c r="HK50" s="260" t="n"/>
      <c r="HL50" s="260" t="n"/>
      <c r="HM50" s="260" t="n"/>
      <c r="HN50" s="260" t="n"/>
      <c r="HO50" s="260" t="n"/>
      <c r="HP50" s="260" t="n"/>
      <c r="HQ50" s="260" t="n"/>
      <c r="HR50" s="260" t="n"/>
      <c r="HS50" s="260" t="n"/>
      <c r="HT50" s="260" t="n"/>
      <c r="HU50" s="260" t="n"/>
      <c r="HV50" s="260" t="n"/>
      <c r="HW50" s="260" t="n"/>
      <c r="HX50" s="260" t="n"/>
      <c r="HY50" s="260" t="n"/>
      <c r="HZ50" s="260" t="n"/>
      <c r="IA50" s="260" t="n"/>
      <c r="IB50" s="260" t="n"/>
      <c r="IC50" s="260" t="n"/>
      <c r="ID50" s="260" t="n"/>
      <c r="IE50" s="260" t="n"/>
    </row>
    <row r="51" ht="17.4" customFormat="1" customHeight="1" s="288">
      <c r="A51" s="289" t="inlineStr">
        <is>
          <t xml:space="preserve">4. 5กม-3489 กทม   </t>
        </is>
      </c>
      <c r="B51" s="290" t="inlineStr">
        <is>
          <t>BKK</t>
        </is>
      </c>
      <c r="C51" s="290" t="inlineStr">
        <is>
          <t>91/95</t>
        </is>
      </c>
      <c r="D51" s="1397" t="inlineStr">
        <is>
          <t>ใบแจ้งหนี้ / Fleet Card Report</t>
        </is>
      </c>
      <c r="E51" s="1397" t="inlineStr">
        <is>
          <t xml:space="preserve"> L</t>
        </is>
      </c>
      <c r="F51" s="1665">
        <f>SUM(G51:R51)</f>
        <v/>
      </c>
      <c r="G51" s="1635" t="n">
        <v>79.2</v>
      </c>
      <c r="H51" s="1635" t="n">
        <v>141.26</v>
      </c>
      <c r="I51" s="1635" t="n">
        <v>104.74</v>
      </c>
      <c r="J51" s="1635" t="n">
        <v>60.07</v>
      </c>
      <c r="K51" s="1635" t="n">
        <v>89.98999999999999</v>
      </c>
      <c r="L51" s="1635" t="n">
        <v>95.23</v>
      </c>
      <c r="M51" s="1635" t="n">
        <v>138.12</v>
      </c>
      <c r="N51" s="1635" t="n">
        <v>51.64</v>
      </c>
      <c r="O51" s="1635" t="n">
        <v>79.06</v>
      </c>
      <c r="P51" s="1635" t="n">
        <v>132.35</v>
      </c>
      <c r="Q51" s="1657" t="n">
        <v>149.24</v>
      </c>
      <c r="R51" s="1635" t="n">
        <v>90.77</v>
      </c>
      <c r="S51" s="260" t="n"/>
      <c r="T51" s="260" t="n"/>
      <c r="U51" s="260" t="n"/>
      <c r="V51" s="260" t="n"/>
      <c r="W51" s="260" t="n"/>
      <c r="X51" s="260" t="n"/>
      <c r="Y51" s="260" t="n"/>
      <c r="Z51" s="260" t="n"/>
      <c r="AA51" s="260" t="n"/>
      <c r="AB51" s="260" t="n"/>
      <c r="AC51" s="260" t="n"/>
      <c r="AD51" s="260" t="n"/>
      <c r="AE51" s="260" t="n"/>
      <c r="AF51" s="260" t="n"/>
      <c r="AG51" s="260" t="n"/>
      <c r="AH51" s="260" t="n"/>
      <c r="AI51" s="260" t="n"/>
      <c r="AJ51" s="260" t="n"/>
      <c r="AK51" s="260" t="n"/>
      <c r="AL51" s="260" t="n"/>
      <c r="AM51" s="260" t="n"/>
      <c r="AN51" s="260" t="n"/>
      <c r="AO51" s="260" t="n"/>
      <c r="AP51" s="260" t="n"/>
      <c r="AQ51" s="260" t="n"/>
      <c r="AR51" s="260" t="n"/>
      <c r="AS51" s="260" t="n"/>
      <c r="AT51" s="260" t="n"/>
      <c r="AU51" s="260" t="n"/>
      <c r="AV51" s="260" t="n"/>
      <c r="AW51" s="260" t="n"/>
      <c r="AX51" s="260" t="n"/>
      <c r="AY51" s="260" t="n"/>
      <c r="AZ51" s="260" t="n"/>
      <c r="BA51" s="260" t="n"/>
      <c r="BB51" s="260" t="n"/>
      <c r="BC51" s="260" t="n"/>
      <c r="BD51" s="260" t="n"/>
      <c r="BE51" s="260" t="n"/>
      <c r="BF51" s="260" t="n"/>
      <c r="BG51" s="260" t="n"/>
      <c r="BH51" s="260" t="n"/>
      <c r="BI51" s="260" t="n"/>
      <c r="BJ51" s="260" t="n"/>
      <c r="BK51" s="260" t="n"/>
      <c r="BL51" s="260" t="n"/>
      <c r="BM51" s="260" t="n"/>
      <c r="BN51" s="260" t="n"/>
      <c r="BO51" s="260" t="n"/>
      <c r="BP51" s="260" t="n"/>
      <c r="BQ51" s="260" t="n"/>
      <c r="BR51" s="260" t="n"/>
      <c r="BS51" s="260" t="n"/>
      <c r="BT51" s="260" t="n"/>
      <c r="BU51" s="260" t="n"/>
      <c r="BV51" s="260" t="n"/>
      <c r="BW51" s="260" t="n"/>
      <c r="BX51" s="260" t="n"/>
      <c r="BY51" s="260" t="n"/>
      <c r="BZ51" s="260" t="n"/>
      <c r="CA51" s="260" t="n"/>
      <c r="CB51" s="260" t="n"/>
      <c r="CC51" s="260" t="n"/>
      <c r="CD51" s="260" t="n"/>
      <c r="CE51" s="260" t="n"/>
      <c r="CF51" s="260" t="n"/>
      <c r="CG51" s="260" t="n"/>
      <c r="CH51" s="260" t="n"/>
      <c r="CI51" s="260" t="n"/>
      <c r="CJ51" s="260" t="n"/>
      <c r="CK51" s="260" t="n"/>
      <c r="CL51" s="260" t="n"/>
      <c r="CM51" s="260" t="n"/>
      <c r="CN51" s="260" t="n"/>
      <c r="CO51" s="260" t="n"/>
      <c r="CP51" s="260" t="n"/>
      <c r="CQ51" s="260" t="n"/>
      <c r="CR51" s="260" t="n"/>
      <c r="CS51" s="260" t="n"/>
      <c r="CT51" s="260" t="n"/>
      <c r="CU51" s="260" t="n"/>
      <c r="CV51" s="260" t="n"/>
      <c r="CW51" s="260" t="n"/>
      <c r="CX51" s="260" t="n"/>
      <c r="CY51" s="260" t="n"/>
      <c r="CZ51" s="260" t="n"/>
      <c r="DA51" s="260" t="n"/>
      <c r="DB51" s="260" t="n"/>
      <c r="DC51" s="260" t="n"/>
      <c r="DD51" s="260" t="n"/>
      <c r="DE51" s="260" t="n"/>
      <c r="DF51" s="260" t="n"/>
      <c r="DG51" s="260" t="n"/>
      <c r="DH51" s="260" t="n"/>
      <c r="DI51" s="260" t="n"/>
      <c r="DJ51" s="260" t="n"/>
      <c r="DK51" s="260" t="n"/>
      <c r="DL51" s="260" t="n"/>
      <c r="DM51" s="260" t="n"/>
      <c r="DN51" s="260" t="n"/>
      <c r="DO51" s="260" t="n"/>
      <c r="DP51" s="260" t="n"/>
      <c r="DQ51" s="260" t="n"/>
      <c r="DR51" s="260" t="n"/>
      <c r="DS51" s="260" t="n"/>
      <c r="DT51" s="260" t="n"/>
      <c r="DU51" s="260" t="n"/>
      <c r="DV51" s="260" t="n"/>
      <c r="DW51" s="260" t="n"/>
      <c r="DX51" s="260" t="n"/>
      <c r="DY51" s="260" t="n"/>
      <c r="DZ51" s="260" t="n"/>
      <c r="EA51" s="260" t="n"/>
      <c r="EB51" s="260" t="n"/>
      <c r="EC51" s="260" t="n"/>
      <c r="ED51" s="260" t="n"/>
      <c r="EE51" s="260" t="n"/>
      <c r="EF51" s="260" t="n"/>
      <c r="EG51" s="260" t="n"/>
      <c r="EH51" s="260" t="n"/>
      <c r="EI51" s="260" t="n"/>
      <c r="EJ51" s="260" t="n"/>
      <c r="EK51" s="260" t="n"/>
      <c r="EL51" s="260" t="n"/>
      <c r="EM51" s="260" t="n"/>
      <c r="EN51" s="260" t="n"/>
      <c r="EO51" s="260" t="n"/>
      <c r="EP51" s="260" t="n"/>
      <c r="EQ51" s="260" t="n"/>
      <c r="ER51" s="260" t="n"/>
      <c r="ES51" s="260" t="n"/>
      <c r="ET51" s="260" t="n"/>
      <c r="EU51" s="260" t="n"/>
      <c r="EV51" s="260" t="n"/>
      <c r="EW51" s="260" t="n"/>
      <c r="EX51" s="260" t="n"/>
      <c r="EY51" s="260" t="n"/>
      <c r="EZ51" s="260" t="n"/>
      <c r="FA51" s="260" t="n"/>
      <c r="FB51" s="260" t="n"/>
      <c r="FC51" s="260" t="n"/>
      <c r="FD51" s="260" t="n"/>
      <c r="FE51" s="260" t="n"/>
      <c r="FF51" s="260" t="n"/>
      <c r="FG51" s="260" t="n"/>
      <c r="FH51" s="260" t="n"/>
      <c r="FI51" s="260" t="n"/>
      <c r="FJ51" s="260" t="n"/>
      <c r="FK51" s="260" t="n"/>
      <c r="FL51" s="260" t="n"/>
      <c r="FM51" s="260" t="n"/>
      <c r="FN51" s="260" t="n"/>
      <c r="FO51" s="260" t="n"/>
      <c r="FP51" s="260" t="n"/>
      <c r="FQ51" s="260" t="n"/>
      <c r="FR51" s="260" t="n"/>
      <c r="FS51" s="260" t="n"/>
      <c r="FT51" s="260" t="n"/>
      <c r="FU51" s="260" t="n"/>
      <c r="FV51" s="260" t="n"/>
      <c r="FW51" s="260" t="n"/>
      <c r="FX51" s="260" t="n"/>
      <c r="FY51" s="260" t="n"/>
      <c r="FZ51" s="260" t="n"/>
      <c r="GA51" s="260" t="n"/>
      <c r="GB51" s="260" t="n"/>
      <c r="GC51" s="260" t="n"/>
      <c r="GD51" s="260" t="n"/>
      <c r="GE51" s="260" t="n"/>
      <c r="GF51" s="260" t="n"/>
      <c r="GG51" s="260" t="n"/>
      <c r="GH51" s="260" t="n"/>
      <c r="GI51" s="260" t="n"/>
      <c r="GJ51" s="260" t="n"/>
      <c r="GK51" s="260" t="n"/>
      <c r="GL51" s="260" t="n"/>
      <c r="GM51" s="260" t="n"/>
      <c r="GN51" s="260" t="n"/>
      <c r="GO51" s="260" t="n"/>
      <c r="GP51" s="260" t="n"/>
      <c r="GQ51" s="260" t="n"/>
      <c r="GR51" s="260" t="n"/>
      <c r="GS51" s="260" t="n"/>
      <c r="GT51" s="260" t="n"/>
      <c r="GU51" s="260" t="n"/>
      <c r="GV51" s="260" t="n"/>
      <c r="GW51" s="260" t="n"/>
      <c r="GX51" s="260" t="n"/>
      <c r="GY51" s="260" t="n"/>
      <c r="GZ51" s="260" t="n"/>
      <c r="HA51" s="260" t="n"/>
      <c r="HB51" s="260" t="n"/>
      <c r="HC51" s="260" t="n"/>
      <c r="HD51" s="260" t="n"/>
      <c r="HE51" s="260" t="n"/>
      <c r="HF51" s="260" t="n"/>
      <c r="HG51" s="260" t="n"/>
      <c r="HH51" s="260" t="n"/>
      <c r="HI51" s="260" t="n"/>
      <c r="HJ51" s="260" t="n"/>
      <c r="HK51" s="260" t="n"/>
      <c r="HL51" s="260" t="n"/>
      <c r="HM51" s="260" t="n"/>
      <c r="HN51" s="260" t="n"/>
      <c r="HO51" s="260" t="n"/>
      <c r="HP51" s="260" t="n"/>
      <c r="HQ51" s="260" t="n"/>
      <c r="HR51" s="260" t="n"/>
      <c r="HS51" s="260" t="n"/>
      <c r="HT51" s="260" t="n"/>
      <c r="HU51" s="260" t="n"/>
      <c r="HV51" s="260" t="n"/>
      <c r="HW51" s="260" t="n"/>
      <c r="HX51" s="260" t="n"/>
      <c r="HY51" s="260" t="n"/>
      <c r="HZ51" s="260" t="n"/>
      <c r="IA51" s="260" t="n"/>
      <c r="IB51" s="260" t="n"/>
      <c r="IC51" s="260" t="n"/>
      <c r="ID51" s="260" t="n"/>
      <c r="IE51" s="260" t="n"/>
    </row>
    <row r="52" ht="17.4" customFormat="1" customHeight="1" s="288">
      <c r="A52" s="289" t="n"/>
      <c r="B52" s="290" t="n"/>
      <c r="C52" s="290" t="inlineStr">
        <is>
          <t>E20</t>
        </is>
      </c>
      <c r="D52" s="1397" t="n"/>
      <c r="E52" s="1397" t="n"/>
      <c r="F52" s="1665">
        <f>SUM(G52:R52)</f>
        <v/>
      </c>
      <c r="G52" s="1635" t="n">
        <v>0</v>
      </c>
      <c r="H52" s="1635" t="n">
        <v>0</v>
      </c>
      <c r="I52" s="1635" t="n">
        <v>0</v>
      </c>
      <c r="J52" s="1635" t="n">
        <v>0</v>
      </c>
      <c r="K52" s="1635" t="n">
        <v>0</v>
      </c>
      <c r="L52" s="1635" t="n">
        <v>0</v>
      </c>
      <c r="M52" s="1635" t="n">
        <v>0</v>
      </c>
      <c r="N52" s="1635" t="n">
        <v>0</v>
      </c>
      <c r="O52" s="1635" t="n">
        <v>0</v>
      </c>
      <c r="P52" s="1635" t="n">
        <v>0</v>
      </c>
      <c r="Q52" s="1657" t="n">
        <v>0</v>
      </c>
      <c r="R52" s="1635" t="n">
        <v>0</v>
      </c>
      <c r="S52" s="260" t="n"/>
      <c r="T52" s="260" t="n"/>
      <c r="U52" s="260" t="n"/>
      <c r="V52" s="260" t="n"/>
      <c r="W52" s="260" t="n"/>
      <c r="X52" s="260" t="n"/>
      <c r="Y52" s="260" t="n"/>
      <c r="Z52" s="260" t="n"/>
      <c r="AA52" s="260" t="n"/>
      <c r="AB52" s="260" t="n"/>
      <c r="AC52" s="260" t="n"/>
      <c r="AD52" s="260" t="n"/>
      <c r="AE52" s="260" t="n"/>
      <c r="AF52" s="260" t="n"/>
      <c r="AG52" s="260" t="n"/>
      <c r="AH52" s="260" t="n"/>
      <c r="AI52" s="260" t="n"/>
      <c r="AJ52" s="260" t="n"/>
      <c r="AK52" s="260" t="n"/>
      <c r="AL52" s="260" t="n"/>
      <c r="AM52" s="260" t="n"/>
      <c r="AN52" s="260" t="n"/>
      <c r="AO52" s="260" t="n"/>
      <c r="AP52" s="260" t="n"/>
      <c r="AQ52" s="260" t="n"/>
      <c r="AR52" s="260" t="n"/>
      <c r="AS52" s="260" t="n"/>
      <c r="AT52" s="260" t="n"/>
      <c r="AU52" s="260" t="n"/>
      <c r="AV52" s="260" t="n"/>
      <c r="AW52" s="260" t="n"/>
      <c r="AX52" s="260" t="n"/>
      <c r="AY52" s="260" t="n"/>
      <c r="AZ52" s="260" t="n"/>
      <c r="BA52" s="260" t="n"/>
      <c r="BB52" s="260" t="n"/>
      <c r="BC52" s="260" t="n"/>
      <c r="BD52" s="260" t="n"/>
      <c r="BE52" s="260" t="n"/>
      <c r="BF52" s="260" t="n"/>
      <c r="BG52" s="260" t="n"/>
      <c r="BH52" s="260" t="n"/>
      <c r="BI52" s="260" t="n"/>
      <c r="BJ52" s="260" t="n"/>
      <c r="BK52" s="260" t="n"/>
      <c r="BL52" s="260" t="n"/>
      <c r="BM52" s="260" t="n"/>
      <c r="BN52" s="260" t="n"/>
      <c r="BO52" s="260" t="n"/>
      <c r="BP52" s="260" t="n"/>
      <c r="BQ52" s="260" t="n"/>
      <c r="BR52" s="260" t="n"/>
      <c r="BS52" s="260" t="n"/>
      <c r="BT52" s="260" t="n"/>
      <c r="BU52" s="260" t="n"/>
      <c r="BV52" s="260" t="n"/>
      <c r="BW52" s="260" t="n"/>
      <c r="BX52" s="260" t="n"/>
      <c r="BY52" s="260" t="n"/>
      <c r="BZ52" s="260" t="n"/>
      <c r="CA52" s="260" t="n"/>
      <c r="CB52" s="260" t="n"/>
      <c r="CC52" s="260" t="n"/>
      <c r="CD52" s="260" t="n"/>
      <c r="CE52" s="260" t="n"/>
      <c r="CF52" s="260" t="n"/>
      <c r="CG52" s="260" t="n"/>
      <c r="CH52" s="260" t="n"/>
      <c r="CI52" s="260" t="n"/>
      <c r="CJ52" s="260" t="n"/>
      <c r="CK52" s="260" t="n"/>
      <c r="CL52" s="260" t="n"/>
      <c r="CM52" s="260" t="n"/>
      <c r="CN52" s="260" t="n"/>
      <c r="CO52" s="260" t="n"/>
      <c r="CP52" s="260" t="n"/>
      <c r="CQ52" s="260" t="n"/>
      <c r="CR52" s="260" t="n"/>
      <c r="CS52" s="260" t="n"/>
      <c r="CT52" s="260" t="n"/>
      <c r="CU52" s="260" t="n"/>
      <c r="CV52" s="260" t="n"/>
      <c r="CW52" s="260" t="n"/>
      <c r="CX52" s="260" t="n"/>
      <c r="CY52" s="260" t="n"/>
      <c r="CZ52" s="260" t="n"/>
      <c r="DA52" s="260" t="n"/>
      <c r="DB52" s="260" t="n"/>
      <c r="DC52" s="260" t="n"/>
      <c r="DD52" s="260" t="n"/>
      <c r="DE52" s="260" t="n"/>
      <c r="DF52" s="260" t="n"/>
      <c r="DG52" s="260" t="n"/>
      <c r="DH52" s="260" t="n"/>
      <c r="DI52" s="260" t="n"/>
      <c r="DJ52" s="260" t="n"/>
      <c r="DK52" s="260" t="n"/>
      <c r="DL52" s="260" t="n"/>
      <c r="DM52" s="260" t="n"/>
      <c r="DN52" s="260" t="n"/>
      <c r="DO52" s="260" t="n"/>
      <c r="DP52" s="260" t="n"/>
      <c r="DQ52" s="260" t="n"/>
      <c r="DR52" s="260" t="n"/>
      <c r="DS52" s="260" t="n"/>
      <c r="DT52" s="260" t="n"/>
      <c r="DU52" s="260" t="n"/>
      <c r="DV52" s="260" t="n"/>
      <c r="DW52" s="260" t="n"/>
      <c r="DX52" s="260" t="n"/>
      <c r="DY52" s="260" t="n"/>
      <c r="DZ52" s="260" t="n"/>
      <c r="EA52" s="260" t="n"/>
      <c r="EB52" s="260" t="n"/>
      <c r="EC52" s="260" t="n"/>
      <c r="ED52" s="260" t="n"/>
      <c r="EE52" s="260" t="n"/>
      <c r="EF52" s="260" t="n"/>
      <c r="EG52" s="260" t="n"/>
      <c r="EH52" s="260" t="n"/>
      <c r="EI52" s="260" t="n"/>
      <c r="EJ52" s="260" t="n"/>
      <c r="EK52" s="260" t="n"/>
      <c r="EL52" s="260" t="n"/>
      <c r="EM52" s="260" t="n"/>
      <c r="EN52" s="260" t="n"/>
      <c r="EO52" s="260" t="n"/>
      <c r="EP52" s="260" t="n"/>
      <c r="EQ52" s="260" t="n"/>
      <c r="ER52" s="260" t="n"/>
      <c r="ES52" s="260" t="n"/>
      <c r="ET52" s="260" t="n"/>
      <c r="EU52" s="260" t="n"/>
      <c r="EV52" s="260" t="n"/>
      <c r="EW52" s="260" t="n"/>
      <c r="EX52" s="260" t="n"/>
      <c r="EY52" s="260" t="n"/>
      <c r="EZ52" s="260" t="n"/>
      <c r="FA52" s="260" t="n"/>
      <c r="FB52" s="260" t="n"/>
      <c r="FC52" s="260" t="n"/>
      <c r="FD52" s="260" t="n"/>
      <c r="FE52" s="260" t="n"/>
      <c r="FF52" s="260" t="n"/>
      <c r="FG52" s="260" t="n"/>
      <c r="FH52" s="260" t="n"/>
      <c r="FI52" s="260" t="n"/>
      <c r="FJ52" s="260" t="n"/>
      <c r="FK52" s="260" t="n"/>
      <c r="FL52" s="260" t="n"/>
      <c r="FM52" s="260" t="n"/>
      <c r="FN52" s="260" t="n"/>
      <c r="FO52" s="260" t="n"/>
      <c r="FP52" s="260" t="n"/>
      <c r="FQ52" s="260" t="n"/>
      <c r="FR52" s="260" t="n"/>
      <c r="FS52" s="260" t="n"/>
      <c r="FT52" s="260" t="n"/>
      <c r="FU52" s="260" t="n"/>
      <c r="FV52" s="260" t="n"/>
      <c r="FW52" s="260" t="n"/>
      <c r="FX52" s="260" t="n"/>
      <c r="FY52" s="260" t="n"/>
      <c r="FZ52" s="260" t="n"/>
      <c r="GA52" s="260" t="n"/>
      <c r="GB52" s="260" t="n"/>
      <c r="GC52" s="260" t="n"/>
      <c r="GD52" s="260" t="n"/>
      <c r="GE52" s="260" t="n"/>
      <c r="GF52" s="260" t="n"/>
      <c r="GG52" s="260" t="n"/>
      <c r="GH52" s="260" t="n"/>
      <c r="GI52" s="260" t="n"/>
      <c r="GJ52" s="260" t="n"/>
      <c r="GK52" s="260" t="n"/>
      <c r="GL52" s="260" t="n"/>
      <c r="GM52" s="260" t="n"/>
      <c r="GN52" s="260" t="n"/>
      <c r="GO52" s="260" t="n"/>
      <c r="GP52" s="260" t="n"/>
      <c r="GQ52" s="260" t="n"/>
      <c r="GR52" s="260" t="n"/>
      <c r="GS52" s="260" t="n"/>
      <c r="GT52" s="260" t="n"/>
      <c r="GU52" s="260" t="n"/>
      <c r="GV52" s="260" t="n"/>
      <c r="GW52" s="260" t="n"/>
      <c r="GX52" s="260" t="n"/>
      <c r="GY52" s="260" t="n"/>
      <c r="GZ52" s="260" t="n"/>
      <c r="HA52" s="260" t="n"/>
      <c r="HB52" s="260" t="n"/>
      <c r="HC52" s="260" t="n"/>
      <c r="HD52" s="260" t="n"/>
      <c r="HE52" s="260" t="n"/>
      <c r="HF52" s="260" t="n"/>
      <c r="HG52" s="260" t="n"/>
      <c r="HH52" s="260" t="n"/>
      <c r="HI52" s="260" t="n"/>
      <c r="HJ52" s="260" t="n"/>
      <c r="HK52" s="260" t="n"/>
      <c r="HL52" s="260" t="n"/>
      <c r="HM52" s="260" t="n"/>
      <c r="HN52" s="260" t="n"/>
      <c r="HO52" s="260" t="n"/>
      <c r="HP52" s="260" t="n"/>
      <c r="HQ52" s="260" t="n"/>
      <c r="HR52" s="260" t="n"/>
      <c r="HS52" s="260" t="n"/>
      <c r="HT52" s="260" t="n"/>
      <c r="HU52" s="260" t="n"/>
      <c r="HV52" s="260" t="n"/>
      <c r="HW52" s="260" t="n"/>
      <c r="HX52" s="260" t="n"/>
      <c r="HY52" s="260" t="n"/>
      <c r="HZ52" s="260" t="n"/>
      <c r="IA52" s="260" t="n"/>
      <c r="IB52" s="260" t="n"/>
      <c r="IC52" s="260" t="n"/>
      <c r="ID52" s="260" t="n"/>
      <c r="IE52" s="260" t="n"/>
    </row>
    <row r="53" ht="17.4" customFormat="1" customHeight="1" s="288">
      <c r="A53" s="289" t="inlineStr">
        <is>
          <t xml:space="preserve">5. ฮต-6531 กทม.   </t>
        </is>
      </c>
      <c r="B53" s="290" t="inlineStr">
        <is>
          <t>BKK</t>
        </is>
      </c>
      <c r="C53" s="290" t="inlineStr">
        <is>
          <t>91/95</t>
        </is>
      </c>
      <c r="D53" s="1397" t="inlineStr">
        <is>
          <t>ใบแจ้งหนี้ / Fleet Card Report</t>
        </is>
      </c>
      <c r="E53" s="1397" t="inlineStr">
        <is>
          <t xml:space="preserve"> L</t>
        </is>
      </c>
      <c r="F53" s="1665">
        <f>SUM(G53:R53)</f>
        <v/>
      </c>
      <c r="G53" s="1635" t="n">
        <v>306.98</v>
      </c>
      <c r="H53" s="1635" t="n">
        <v>0</v>
      </c>
      <c r="I53" s="1635" t="n">
        <v>48.9</v>
      </c>
      <c r="J53" s="1635" t="n">
        <v>46.06</v>
      </c>
      <c r="K53" s="1635" t="n">
        <v>39.88</v>
      </c>
      <c r="L53" s="1635" t="n">
        <v>131.12</v>
      </c>
      <c r="M53" s="1635" t="n">
        <v>38.52</v>
      </c>
      <c r="N53" s="1635" t="n">
        <v>80.16</v>
      </c>
      <c r="O53" s="1635" t="n">
        <v>66.09</v>
      </c>
      <c r="P53" s="1635" t="n">
        <v>0</v>
      </c>
      <c r="Q53" s="1657" t="n">
        <v>66.64</v>
      </c>
      <c r="R53" s="1635" t="n">
        <v>0</v>
      </c>
      <c r="S53" s="260" t="n"/>
      <c r="T53" s="260" t="n"/>
      <c r="U53" s="260" t="n"/>
      <c r="V53" s="260" t="n"/>
      <c r="W53" s="260" t="n"/>
      <c r="X53" s="260" t="n"/>
      <c r="Y53" s="260" t="n"/>
      <c r="Z53" s="260" t="n"/>
      <c r="AA53" s="260" t="n"/>
      <c r="AB53" s="260" t="n"/>
      <c r="AC53" s="260" t="n"/>
      <c r="AD53" s="260" t="n"/>
      <c r="AE53" s="260" t="n"/>
      <c r="AF53" s="260" t="n"/>
      <c r="AG53" s="260" t="n"/>
      <c r="AH53" s="260" t="n"/>
      <c r="AI53" s="260" t="n"/>
      <c r="AJ53" s="260" t="n"/>
      <c r="AK53" s="260" t="n"/>
      <c r="AL53" s="260" t="n"/>
      <c r="AM53" s="260" t="n"/>
      <c r="AN53" s="260" t="n"/>
      <c r="AO53" s="260" t="n"/>
      <c r="AP53" s="260" t="n"/>
      <c r="AQ53" s="260" t="n"/>
      <c r="AR53" s="260" t="n"/>
      <c r="AS53" s="260" t="n"/>
      <c r="AT53" s="260" t="n"/>
      <c r="AU53" s="260" t="n"/>
      <c r="AV53" s="260" t="n"/>
      <c r="AW53" s="260" t="n"/>
      <c r="AX53" s="260" t="n"/>
      <c r="AY53" s="260" t="n"/>
      <c r="AZ53" s="260" t="n"/>
      <c r="BA53" s="260" t="n"/>
      <c r="BB53" s="260" t="n"/>
      <c r="BC53" s="260" t="n"/>
      <c r="BD53" s="260" t="n"/>
      <c r="BE53" s="260" t="n"/>
      <c r="BF53" s="260" t="n"/>
      <c r="BG53" s="260" t="n"/>
      <c r="BH53" s="260" t="n"/>
      <c r="BI53" s="260" t="n"/>
      <c r="BJ53" s="260" t="n"/>
      <c r="BK53" s="260" t="n"/>
      <c r="BL53" s="260" t="n"/>
      <c r="BM53" s="260" t="n"/>
      <c r="BN53" s="260" t="n"/>
      <c r="BO53" s="260" t="n"/>
      <c r="BP53" s="260" t="n"/>
      <c r="BQ53" s="260" t="n"/>
      <c r="BR53" s="260" t="n"/>
      <c r="BS53" s="260" t="n"/>
      <c r="BT53" s="260" t="n"/>
      <c r="BU53" s="260" t="n"/>
      <c r="BV53" s="260" t="n"/>
      <c r="BW53" s="260" t="n"/>
      <c r="BX53" s="260" t="n"/>
      <c r="BY53" s="260" t="n"/>
      <c r="BZ53" s="260" t="n"/>
      <c r="CA53" s="260" t="n"/>
      <c r="CB53" s="260" t="n"/>
      <c r="CC53" s="260" t="n"/>
      <c r="CD53" s="260" t="n"/>
      <c r="CE53" s="260" t="n"/>
      <c r="CF53" s="260" t="n"/>
      <c r="CG53" s="260" t="n"/>
      <c r="CH53" s="260" t="n"/>
      <c r="CI53" s="260" t="n"/>
      <c r="CJ53" s="260" t="n"/>
      <c r="CK53" s="260" t="n"/>
      <c r="CL53" s="260" t="n"/>
      <c r="CM53" s="260" t="n"/>
      <c r="CN53" s="260" t="n"/>
      <c r="CO53" s="260" t="n"/>
      <c r="CP53" s="260" t="n"/>
      <c r="CQ53" s="260" t="n"/>
      <c r="CR53" s="260" t="n"/>
      <c r="CS53" s="260" t="n"/>
      <c r="CT53" s="260" t="n"/>
      <c r="CU53" s="260" t="n"/>
      <c r="CV53" s="260" t="n"/>
      <c r="CW53" s="260" t="n"/>
      <c r="CX53" s="260" t="n"/>
      <c r="CY53" s="260" t="n"/>
      <c r="CZ53" s="260" t="n"/>
      <c r="DA53" s="260" t="n"/>
      <c r="DB53" s="260" t="n"/>
      <c r="DC53" s="260" t="n"/>
      <c r="DD53" s="260" t="n"/>
      <c r="DE53" s="260" t="n"/>
      <c r="DF53" s="260" t="n"/>
      <c r="DG53" s="260" t="n"/>
      <c r="DH53" s="260" t="n"/>
      <c r="DI53" s="260" t="n"/>
      <c r="DJ53" s="260" t="n"/>
      <c r="DK53" s="260" t="n"/>
      <c r="DL53" s="260" t="n"/>
      <c r="DM53" s="260" t="n"/>
      <c r="DN53" s="260" t="n"/>
      <c r="DO53" s="260" t="n"/>
      <c r="DP53" s="260" t="n"/>
      <c r="DQ53" s="260" t="n"/>
      <c r="DR53" s="260" t="n"/>
      <c r="DS53" s="260" t="n"/>
      <c r="DT53" s="260" t="n"/>
      <c r="DU53" s="260" t="n"/>
      <c r="DV53" s="260" t="n"/>
      <c r="DW53" s="260" t="n"/>
      <c r="DX53" s="260" t="n"/>
      <c r="DY53" s="260" t="n"/>
      <c r="DZ53" s="260" t="n"/>
      <c r="EA53" s="260" t="n"/>
      <c r="EB53" s="260" t="n"/>
      <c r="EC53" s="260" t="n"/>
      <c r="ED53" s="260" t="n"/>
      <c r="EE53" s="260" t="n"/>
      <c r="EF53" s="260" t="n"/>
      <c r="EG53" s="260" t="n"/>
      <c r="EH53" s="260" t="n"/>
      <c r="EI53" s="260" t="n"/>
      <c r="EJ53" s="260" t="n"/>
      <c r="EK53" s="260" t="n"/>
      <c r="EL53" s="260" t="n"/>
      <c r="EM53" s="260" t="n"/>
      <c r="EN53" s="260" t="n"/>
      <c r="EO53" s="260" t="n"/>
      <c r="EP53" s="260" t="n"/>
      <c r="EQ53" s="260" t="n"/>
      <c r="ER53" s="260" t="n"/>
      <c r="ES53" s="260" t="n"/>
      <c r="ET53" s="260" t="n"/>
      <c r="EU53" s="260" t="n"/>
      <c r="EV53" s="260" t="n"/>
      <c r="EW53" s="260" t="n"/>
      <c r="EX53" s="260" t="n"/>
      <c r="EY53" s="260" t="n"/>
      <c r="EZ53" s="260" t="n"/>
      <c r="FA53" s="260" t="n"/>
      <c r="FB53" s="260" t="n"/>
      <c r="FC53" s="260" t="n"/>
      <c r="FD53" s="260" t="n"/>
      <c r="FE53" s="260" t="n"/>
      <c r="FF53" s="260" t="n"/>
      <c r="FG53" s="260" t="n"/>
      <c r="FH53" s="260" t="n"/>
      <c r="FI53" s="260" t="n"/>
      <c r="FJ53" s="260" t="n"/>
      <c r="FK53" s="260" t="n"/>
      <c r="FL53" s="260" t="n"/>
      <c r="FM53" s="260" t="n"/>
      <c r="FN53" s="260" t="n"/>
      <c r="FO53" s="260" t="n"/>
      <c r="FP53" s="260" t="n"/>
      <c r="FQ53" s="260" t="n"/>
      <c r="FR53" s="260" t="n"/>
      <c r="FS53" s="260" t="n"/>
      <c r="FT53" s="260" t="n"/>
      <c r="FU53" s="260" t="n"/>
      <c r="FV53" s="260" t="n"/>
      <c r="FW53" s="260" t="n"/>
      <c r="FX53" s="260" t="n"/>
      <c r="FY53" s="260" t="n"/>
      <c r="FZ53" s="260" t="n"/>
      <c r="GA53" s="260" t="n"/>
      <c r="GB53" s="260" t="n"/>
      <c r="GC53" s="260" t="n"/>
      <c r="GD53" s="260" t="n"/>
      <c r="GE53" s="260" t="n"/>
      <c r="GF53" s="260" t="n"/>
      <c r="GG53" s="260" t="n"/>
      <c r="GH53" s="260" t="n"/>
      <c r="GI53" s="260" t="n"/>
      <c r="GJ53" s="260" t="n"/>
      <c r="GK53" s="260" t="n"/>
      <c r="GL53" s="260" t="n"/>
      <c r="GM53" s="260" t="n"/>
      <c r="GN53" s="260" t="n"/>
      <c r="GO53" s="260" t="n"/>
      <c r="GP53" s="260" t="n"/>
      <c r="GQ53" s="260" t="n"/>
      <c r="GR53" s="260" t="n"/>
      <c r="GS53" s="260" t="n"/>
      <c r="GT53" s="260" t="n"/>
      <c r="GU53" s="260" t="n"/>
      <c r="GV53" s="260" t="n"/>
      <c r="GW53" s="260" t="n"/>
      <c r="GX53" s="260" t="n"/>
      <c r="GY53" s="260" t="n"/>
      <c r="GZ53" s="260" t="n"/>
      <c r="HA53" s="260" t="n"/>
      <c r="HB53" s="260" t="n"/>
      <c r="HC53" s="260" t="n"/>
      <c r="HD53" s="260" t="n"/>
      <c r="HE53" s="260" t="n"/>
      <c r="HF53" s="260" t="n"/>
      <c r="HG53" s="260" t="n"/>
      <c r="HH53" s="260" t="n"/>
      <c r="HI53" s="260" t="n"/>
      <c r="HJ53" s="260" t="n"/>
      <c r="HK53" s="260" t="n"/>
      <c r="HL53" s="260" t="n"/>
      <c r="HM53" s="260" t="n"/>
      <c r="HN53" s="260" t="n"/>
      <c r="HO53" s="260" t="n"/>
      <c r="HP53" s="260" t="n"/>
      <c r="HQ53" s="260" t="n"/>
      <c r="HR53" s="260" t="n"/>
      <c r="HS53" s="260" t="n"/>
      <c r="HT53" s="260" t="n"/>
      <c r="HU53" s="260" t="n"/>
      <c r="HV53" s="260" t="n"/>
      <c r="HW53" s="260" t="n"/>
      <c r="HX53" s="260" t="n"/>
      <c r="HY53" s="260" t="n"/>
      <c r="HZ53" s="260" t="n"/>
      <c r="IA53" s="260" t="n"/>
      <c r="IB53" s="260" t="n"/>
      <c r="IC53" s="260" t="n"/>
      <c r="ID53" s="260" t="n"/>
      <c r="IE53" s="260" t="n"/>
    </row>
    <row r="54" ht="17.4" customFormat="1" customHeight="1" s="288">
      <c r="A54" s="289" t="n"/>
      <c r="B54" s="290" t="n"/>
      <c r="C54" s="290" t="inlineStr">
        <is>
          <t>E20</t>
        </is>
      </c>
      <c r="D54" s="1397" t="n"/>
      <c r="E54" s="1397" t="n"/>
      <c r="F54" s="1665">
        <f>SUM(G54:R54)</f>
        <v/>
      </c>
      <c r="G54" s="1635" t="n">
        <v>0</v>
      </c>
      <c r="H54" s="1635" t="n">
        <v>0</v>
      </c>
      <c r="I54" s="1635" t="n">
        <v>0</v>
      </c>
      <c r="J54" s="1635" t="n">
        <v>0</v>
      </c>
      <c r="K54" s="1635" t="n">
        <v>0</v>
      </c>
      <c r="L54" s="1635" t="n">
        <v>0</v>
      </c>
      <c r="M54" s="1635" t="n">
        <v>0</v>
      </c>
      <c r="N54" s="1635" t="n">
        <v>0</v>
      </c>
      <c r="O54" s="1635" t="n">
        <v>0</v>
      </c>
      <c r="P54" s="1635" t="n">
        <v>0</v>
      </c>
      <c r="Q54" s="1657" t="n">
        <v>0</v>
      </c>
      <c r="R54" s="1635" t="n">
        <v>0</v>
      </c>
      <c r="S54" s="260" t="n"/>
      <c r="T54" s="260" t="n"/>
      <c r="U54" s="260" t="n"/>
      <c r="V54" s="260" t="n"/>
      <c r="W54" s="260" t="n"/>
      <c r="X54" s="260" t="n"/>
      <c r="Y54" s="260" t="n"/>
      <c r="Z54" s="260" t="n"/>
      <c r="AA54" s="260" t="n"/>
      <c r="AB54" s="260" t="n"/>
      <c r="AC54" s="260" t="n"/>
      <c r="AD54" s="260" t="n"/>
      <c r="AE54" s="260" t="n"/>
      <c r="AF54" s="260" t="n"/>
      <c r="AG54" s="260" t="n"/>
      <c r="AH54" s="260" t="n"/>
      <c r="AI54" s="260" t="n"/>
      <c r="AJ54" s="260" t="n"/>
      <c r="AK54" s="260" t="n"/>
      <c r="AL54" s="260" t="n"/>
      <c r="AM54" s="260" t="n"/>
      <c r="AN54" s="260" t="n"/>
      <c r="AO54" s="260" t="n"/>
      <c r="AP54" s="260" t="n"/>
      <c r="AQ54" s="260" t="n"/>
      <c r="AR54" s="260" t="n"/>
      <c r="AS54" s="260" t="n"/>
      <c r="AT54" s="260" t="n"/>
      <c r="AU54" s="260" t="n"/>
      <c r="AV54" s="260" t="n"/>
      <c r="AW54" s="260" t="n"/>
      <c r="AX54" s="260" t="n"/>
      <c r="AY54" s="260" t="n"/>
      <c r="AZ54" s="260" t="n"/>
      <c r="BA54" s="260" t="n"/>
      <c r="BB54" s="260" t="n"/>
      <c r="BC54" s="260" t="n"/>
      <c r="BD54" s="260" t="n"/>
      <c r="BE54" s="260" t="n"/>
      <c r="BF54" s="260" t="n"/>
      <c r="BG54" s="260" t="n"/>
      <c r="BH54" s="260" t="n"/>
      <c r="BI54" s="260" t="n"/>
      <c r="BJ54" s="260" t="n"/>
      <c r="BK54" s="260" t="n"/>
      <c r="BL54" s="260" t="n"/>
      <c r="BM54" s="260" t="n"/>
      <c r="BN54" s="260" t="n"/>
      <c r="BO54" s="260" t="n"/>
      <c r="BP54" s="260" t="n"/>
      <c r="BQ54" s="260" t="n"/>
      <c r="BR54" s="260" t="n"/>
      <c r="BS54" s="260" t="n"/>
      <c r="BT54" s="260" t="n"/>
      <c r="BU54" s="260" t="n"/>
      <c r="BV54" s="260" t="n"/>
      <c r="BW54" s="260" t="n"/>
      <c r="BX54" s="260" t="n"/>
      <c r="BY54" s="260" t="n"/>
      <c r="BZ54" s="260" t="n"/>
      <c r="CA54" s="260" t="n"/>
      <c r="CB54" s="260" t="n"/>
      <c r="CC54" s="260" t="n"/>
      <c r="CD54" s="260" t="n"/>
      <c r="CE54" s="260" t="n"/>
      <c r="CF54" s="260" t="n"/>
      <c r="CG54" s="260" t="n"/>
      <c r="CH54" s="260" t="n"/>
      <c r="CI54" s="260" t="n"/>
      <c r="CJ54" s="260" t="n"/>
      <c r="CK54" s="260" t="n"/>
      <c r="CL54" s="260" t="n"/>
      <c r="CM54" s="260" t="n"/>
      <c r="CN54" s="260" t="n"/>
      <c r="CO54" s="260" t="n"/>
      <c r="CP54" s="260" t="n"/>
      <c r="CQ54" s="260" t="n"/>
      <c r="CR54" s="260" t="n"/>
      <c r="CS54" s="260" t="n"/>
      <c r="CT54" s="260" t="n"/>
      <c r="CU54" s="260" t="n"/>
      <c r="CV54" s="260" t="n"/>
      <c r="CW54" s="260" t="n"/>
      <c r="CX54" s="260" t="n"/>
      <c r="CY54" s="260" t="n"/>
      <c r="CZ54" s="260" t="n"/>
      <c r="DA54" s="260" t="n"/>
      <c r="DB54" s="260" t="n"/>
      <c r="DC54" s="260" t="n"/>
      <c r="DD54" s="260" t="n"/>
      <c r="DE54" s="260" t="n"/>
      <c r="DF54" s="260" t="n"/>
      <c r="DG54" s="260" t="n"/>
      <c r="DH54" s="260" t="n"/>
      <c r="DI54" s="260" t="n"/>
      <c r="DJ54" s="260" t="n"/>
      <c r="DK54" s="260" t="n"/>
      <c r="DL54" s="260" t="n"/>
      <c r="DM54" s="260" t="n"/>
      <c r="DN54" s="260" t="n"/>
      <c r="DO54" s="260" t="n"/>
      <c r="DP54" s="260" t="n"/>
      <c r="DQ54" s="260" t="n"/>
      <c r="DR54" s="260" t="n"/>
      <c r="DS54" s="260" t="n"/>
      <c r="DT54" s="260" t="n"/>
      <c r="DU54" s="260" t="n"/>
      <c r="DV54" s="260" t="n"/>
      <c r="DW54" s="260" t="n"/>
      <c r="DX54" s="260" t="n"/>
      <c r="DY54" s="260" t="n"/>
      <c r="DZ54" s="260" t="n"/>
      <c r="EA54" s="260" t="n"/>
      <c r="EB54" s="260" t="n"/>
      <c r="EC54" s="260" t="n"/>
      <c r="ED54" s="260" t="n"/>
      <c r="EE54" s="260" t="n"/>
      <c r="EF54" s="260" t="n"/>
      <c r="EG54" s="260" t="n"/>
      <c r="EH54" s="260" t="n"/>
      <c r="EI54" s="260" t="n"/>
      <c r="EJ54" s="260" t="n"/>
      <c r="EK54" s="260" t="n"/>
      <c r="EL54" s="260" t="n"/>
      <c r="EM54" s="260" t="n"/>
      <c r="EN54" s="260" t="n"/>
      <c r="EO54" s="260" t="n"/>
      <c r="EP54" s="260" t="n"/>
      <c r="EQ54" s="260" t="n"/>
      <c r="ER54" s="260" t="n"/>
      <c r="ES54" s="260" t="n"/>
      <c r="ET54" s="260" t="n"/>
      <c r="EU54" s="260" t="n"/>
      <c r="EV54" s="260" t="n"/>
      <c r="EW54" s="260" t="n"/>
      <c r="EX54" s="260" t="n"/>
      <c r="EY54" s="260" t="n"/>
      <c r="EZ54" s="260" t="n"/>
      <c r="FA54" s="260" t="n"/>
      <c r="FB54" s="260" t="n"/>
      <c r="FC54" s="260" t="n"/>
      <c r="FD54" s="260" t="n"/>
      <c r="FE54" s="260" t="n"/>
      <c r="FF54" s="260" t="n"/>
      <c r="FG54" s="260" t="n"/>
      <c r="FH54" s="260" t="n"/>
      <c r="FI54" s="260" t="n"/>
      <c r="FJ54" s="260" t="n"/>
      <c r="FK54" s="260" t="n"/>
      <c r="FL54" s="260" t="n"/>
      <c r="FM54" s="260" t="n"/>
      <c r="FN54" s="260" t="n"/>
      <c r="FO54" s="260" t="n"/>
      <c r="FP54" s="260" t="n"/>
      <c r="FQ54" s="260" t="n"/>
      <c r="FR54" s="260" t="n"/>
      <c r="FS54" s="260" t="n"/>
      <c r="FT54" s="260" t="n"/>
      <c r="FU54" s="260" t="n"/>
      <c r="FV54" s="260" t="n"/>
      <c r="FW54" s="260" t="n"/>
      <c r="FX54" s="260" t="n"/>
      <c r="FY54" s="260" t="n"/>
      <c r="FZ54" s="260" t="n"/>
      <c r="GA54" s="260" t="n"/>
      <c r="GB54" s="260" t="n"/>
      <c r="GC54" s="260" t="n"/>
      <c r="GD54" s="260" t="n"/>
      <c r="GE54" s="260" t="n"/>
      <c r="GF54" s="260" t="n"/>
      <c r="GG54" s="260" t="n"/>
      <c r="GH54" s="260" t="n"/>
      <c r="GI54" s="260" t="n"/>
      <c r="GJ54" s="260" t="n"/>
      <c r="GK54" s="260" t="n"/>
      <c r="GL54" s="260" t="n"/>
      <c r="GM54" s="260" t="n"/>
      <c r="GN54" s="260" t="n"/>
      <c r="GO54" s="260" t="n"/>
      <c r="GP54" s="260" t="n"/>
      <c r="GQ54" s="260" t="n"/>
      <c r="GR54" s="260" t="n"/>
      <c r="GS54" s="260" t="n"/>
      <c r="GT54" s="260" t="n"/>
      <c r="GU54" s="260" t="n"/>
      <c r="GV54" s="260" t="n"/>
      <c r="GW54" s="260" t="n"/>
      <c r="GX54" s="260" t="n"/>
      <c r="GY54" s="260" t="n"/>
      <c r="GZ54" s="260" t="n"/>
      <c r="HA54" s="260" t="n"/>
      <c r="HB54" s="260" t="n"/>
      <c r="HC54" s="260" t="n"/>
      <c r="HD54" s="260" t="n"/>
      <c r="HE54" s="260" t="n"/>
      <c r="HF54" s="260" t="n"/>
      <c r="HG54" s="260" t="n"/>
      <c r="HH54" s="260" t="n"/>
      <c r="HI54" s="260" t="n"/>
      <c r="HJ54" s="260" t="n"/>
      <c r="HK54" s="260" t="n"/>
      <c r="HL54" s="260" t="n"/>
      <c r="HM54" s="260" t="n"/>
      <c r="HN54" s="260" t="n"/>
      <c r="HO54" s="260" t="n"/>
      <c r="HP54" s="260" t="n"/>
      <c r="HQ54" s="260" t="n"/>
      <c r="HR54" s="260" t="n"/>
      <c r="HS54" s="260" t="n"/>
      <c r="HT54" s="260" t="n"/>
      <c r="HU54" s="260" t="n"/>
      <c r="HV54" s="260" t="n"/>
      <c r="HW54" s="260" t="n"/>
      <c r="HX54" s="260" t="n"/>
      <c r="HY54" s="260" t="n"/>
      <c r="HZ54" s="260" t="n"/>
      <c r="IA54" s="260" t="n"/>
      <c r="IB54" s="260" t="n"/>
      <c r="IC54" s="260" t="n"/>
      <c r="ID54" s="260" t="n"/>
      <c r="IE54" s="260" t="n"/>
    </row>
    <row r="55" ht="17.4" customFormat="1" customHeight="1" s="288">
      <c r="A55" s="289" t="inlineStr">
        <is>
          <t xml:space="preserve">6. 4 กฬ-8072 กทม.    </t>
        </is>
      </c>
      <c r="B55" s="290" t="inlineStr">
        <is>
          <t>BKK</t>
        </is>
      </c>
      <c r="C55" s="290" t="inlineStr">
        <is>
          <t>91/95</t>
        </is>
      </c>
      <c r="D55" s="1397" t="inlineStr">
        <is>
          <t>ใบแจ้งหนี้ / Fleet Card Report</t>
        </is>
      </c>
      <c r="E55" s="1397" t="inlineStr">
        <is>
          <t xml:space="preserve"> L</t>
        </is>
      </c>
      <c r="F55" s="1665">
        <f>SUM(G55:R55)</f>
        <v/>
      </c>
      <c r="G55" s="1635" t="n">
        <v>175.81</v>
      </c>
      <c r="H55" s="1635" t="n">
        <v>154.17</v>
      </c>
      <c r="I55" s="1635" t="n">
        <v>81.72</v>
      </c>
      <c r="J55" s="1635" t="n">
        <v>0</v>
      </c>
      <c r="K55" s="1635" t="n">
        <v>0</v>
      </c>
      <c r="L55" s="1635" t="n">
        <v>0</v>
      </c>
      <c r="M55" s="1635" t="n">
        <v>0</v>
      </c>
      <c r="N55" s="1635" t="n">
        <v>0</v>
      </c>
      <c r="O55" s="1635" t="n">
        <v>0</v>
      </c>
      <c r="P55" s="1635" t="n">
        <v>0</v>
      </c>
      <c r="Q55" s="1657" t="n">
        <v>0</v>
      </c>
      <c r="R55" s="1635" t="n">
        <v>0</v>
      </c>
      <c r="S55" s="260" t="n"/>
      <c r="T55" s="260" t="n"/>
      <c r="U55" s="260" t="n"/>
      <c r="V55" s="260" t="n"/>
      <c r="W55" s="260" t="n"/>
      <c r="X55" s="260" t="n"/>
      <c r="Y55" s="260" t="n"/>
      <c r="Z55" s="260" t="n"/>
      <c r="AA55" s="260" t="n"/>
      <c r="AB55" s="260" t="n"/>
      <c r="AC55" s="260" t="n"/>
      <c r="AD55" s="260" t="n"/>
      <c r="AE55" s="260" t="n"/>
      <c r="AF55" s="260" t="n"/>
      <c r="AG55" s="260" t="n"/>
      <c r="AH55" s="260" t="n"/>
      <c r="AI55" s="260" t="n"/>
      <c r="AJ55" s="260" t="n"/>
      <c r="AK55" s="260" t="n"/>
      <c r="AL55" s="260" t="n"/>
      <c r="AM55" s="260" t="n"/>
      <c r="AN55" s="260" t="n"/>
      <c r="AO55" s="260" t="n"/>
      <c r="AP55" s="260" t="n"/>
      <c r="AQ55" s="260" t="n"/>
      <c r="AR55" s="260" t="n"/>
      <c r="AS55" s="260" t="n"/>
      <c r="AT55" s="260" t="n"/>
      <c r="AU55" s="260" t="n"/>
      <c r="AV55" s="260" t="n"/>
      <c r="AW55" s="260" t="n"/>
      <c r="AX55" s="260" t="n"/>
      <c r="AY55" s="260" t="n"/>
      <c r="AZ55" s="260" t="n"/>
      <c r="BA55" s="260" t="n"/>
      <c r="BB55" s="260" t="n"/>
      <c r="BC55" s="260" t="n"/>
      <c r="BD55" s="260" t="n"/>
      <c r="BE55" s="260" t="n"/>
      <c r="BF55" s="260" t="n"/>
      <c r="BG55" s="260" t="n"/>
      <c r="BH55" s="260" t="n"/>
      <c r="BI55" s="260" t="n"/>
      <c r="BJ55" s="260" t="n"/>
      <c r="BK55" s="260" t="n"/>
      <c r="BL55" s="260" t="n"/>
      <c r="BM55" s="260" t="n"/>
      <c r="BN55" s="260" t="n"/>
      <c r="BO55" s="260" t="n"/>
      <c r="BP55" s="260" t="n"/>
      <c r="BQ55" s="260" t="n"/>
      <c r="BR55" s="260" t="n"/>
      <c r="BS55" s="260" t="n"/>
      <c r="BT55" s="260" t="n"/>
      <c r="BU55" s="260" t="n"/>
      <c r="BV55" s="260" t="n"/>
      <c r="BW55" s="260" t="n"/>
      <c r="BX55" s="260" t="n"/>
      <c r="BY55" s="260" t="n"/>
      <c r="BZ55" s="260" t="n"/>
      <c r="CA55" s="260" t="n"/>
      <c r="CB55" s="260" t="n"/>
      <c r="CC55" s="260" t="n"/>
      <c r="CD55" s="260" t="n"/>
      <c r="CE55" s="260" t="n"/>
      <c r="CF55" s="260" t="n"/>
      <c r="CG55" s="260" t="n"/>
      <c r="CH55" s="260" t="n"/>
      <c r="CI55" s="260" t="n"/>
      <c r="CJ55" s="260" t="n"/>
      <c r="CK55" s="260" t="n"/>
      <c r="CL55" s="260" t="n"/>
      <c r="CM55" s="260" t="n"/>
      <c r="CN55" s="260" t="n"/>
      <c r="CO55" s="260" t="n"/>
      <c r="CP55" s="260" t="n"/>
      <c r="CQ55" s="260" t="n"/>
      <c r="CR55" s="260" t="n"/>
      <c r="CS55" s="260" t="n"/>
      <c r="CT55" s="260" t="n"/>
      <c r="CU55" s="260" t="n"/>
      <c r="CV55" s="260" t="n"/>
      <c r="CW55" s="260" t="n"/>
      <c r="CX55" s="260" t="n"/>
      <c r="CY55" s="260" t="n"/>
      <c r="CZ55" s="260" t="n"/>
      <c r="DA55" s="260" t="n"/>
      <c r="DB55" s="260" t="n"/>
      <c r="DC55" s="260" t="n"/>
      <c r="DD55" s="260" t="n"/>
      <c r="DE55" s="260" t="n"/>
      <c r="DF55" s="260" t="n"/>
      <c r="DG55" s="260" t="n"/>
      <c r="DH55" s="260" t="n"/>
      <c r="DI55" s="260" t="n"/>
      <c r="DJ55" s="260" t="n"/>
      <c r="DK55" s="260" t="n"/>
      <c r="DL55" s="260" t="n"/>
      <c r="DM55" s="260" t="n"/>
      <c r="DN55" s="260" t="n"/>
      <c r="DO55" s="260" t="n"/>
      <c r="DP55" s="260" t="n"/>
      <c r="DQ55" s="260" t="n"/>
      <c r="DR55" s="260" t="n"/>
      <c r="DS55" s="260" t="n"/>
      <c r="DT55" s="260" t="n"/>
      <c r="DU55" s="260" t="n"/>
      <c r="DV55" s="260" t="n"/>
      <c r="DW55" s="260" t="n"/>
      <c r="DX55" s="260" t="n"/>
      <c r="DY55" s="260" t="n"/>
      <c r="DZ55" s="260" t="n"/>
      <c r="EA55" s="260" t="n"/>
      <c r="EB55" s="260" t="n"/>
      <c r="EC55" s="260" t="n"/>
      <c r="ED55" s="260" t="n"/>
      <c r="EE55" s="260" t="n"/>
      <c r="EF55" s="260" t="n"/>
      <c r="EG55" s="260" t="n"/>
      <c r="EH55" s="260" t="n"/>
      <c r="EI55" s="260" t="n"/>
      <c r="EJ55" s="260" t="n"/>
      <c r="EK55" s="260" t="n"/>
      <c r="EL55" s="260" t="n"/>
      <c r="EM55" s="260" t="n"/>
      <c r="EN55" s="260" t="n"/>
      <c r="EO55" s="260" t="n"/>
      <c r="EP55" s="260" t="n"/>
      <c r="EQ55" s="260" t="n"/>
      <c r="ER55" s="260" t="n"/>
      <c r="ES55" s="260" t="n"/>
      <c r="ET55" s="260" t="n"/>
      <c r="EU55" s="260" t="n"/>
      <c r="EV55" s="260" t="n"/>
      <c r="EW55" s="260" t="n"/>
      <c r="EX55" s="260" t="n"/>
      <c r="EY55" s="260" t="n"/>
      <c r="EZ55" s="260" t="n"/>
      <c r="FA55" s="260" t="n"/>
      <c r="FB55" s="260" t="n"/>
      <c r="FC55" s="260" t="n"/>
      <c r="FD55" s="260" t="n"/>
      <c r="FE55" s="260" t="n"/>
      <c r="FF55" s="260" t="n"/>
      <c r="FG55" s="260" t="n"/>
      <c r="FH55" s="260" t="n"/>
      <c r="FI55" s="260" t="n"/>
      <c r="FJ55" s="260" t="n"/>
      <c r="FK55" s="260" t="n"/>
      <c r="FL55" s="260" t="n"/>
      <c r="FM55" s="260" t="n"/>
      <c r="FN55" s="260" t="n"/>
      <c r="FO55" s="260" t="n"/>
      <c r="FP55" s="260" t="n"/>
      <c r="FQ55" s="260" t="n"/>
      <c r="FR55" s="260" t="n"/>
      <c r="FS55" s="260" t="n"/>
      <c r="FT55" s="260" t="n"/>
      <c r="FU55" s="260" t="n"/>
      <c r="FV55" s="260" t="n"/>
      <c r="FW55" s="260" t="n"/>
      <c r="FX55" s="260" t="n"/>
      <c r="FY55" s="260" t="n"/>
      <c r="FZ55" s="260" t="n"/>
      <c r="GA55" s="260" t="n"/>
      <c r="GB55" s="260" t="n"/>
      <c r="GC55" s="260" t="n"/>
      <c r="GD55" s="260" t="n"/>
      <c r="GE55" s="260" t="n"/>
      <c r="GF55" s="260" t="n"/>
      <c r="GG55" s="260" t="n"/>
      <c r="GH55" s="260" t="n"/>
      <c r="GI55" s="260" t="n"/>
      <c r="GJ55" s="260" t="n"/>
      <c r="GK55" s="260" t="n"/>
      <c r="GL55" s="260" t="n"/>
      <c r="GM55" s="260" t="n"/>
      <c r="GN55" s="260" t="n"/>
      <c r="GO55" s="260" t="n"/>
      <c r="GP55" s="260" t="n"/>
      <c r="GQ55" s="260" t="n"/>
      <c r="GR55" s="260" t="n"/>
      <c r="GS55" s="260" t="n"/>
      <c r="GT55" s="260" t="n"/>
      <c r="GU55" s="260" t="n"/>
      <c r="GV55" s="260" t="n"/>
      <c r="GW55" s="260" t="n"/>
      <c r="GX55" s="260" t="n"/>
      <c r="GY55" s="260" t="n"/>
      <c r="GZ55" s="260" t="n"/>
      <c r="HA55" s="260" t="n"/>
      <c r="HB55" s="260" t="n"/>
      <c r="HC55" s="260" t="n"/>
      <c r="HD55" s="260" t="n"/>
      <c r="HE55" s="260" t="n"/>
      <c r="HF55" s="260" t="n"/>
      <c r="HG55" s="260" t="n"/>
      <c r="HH55" s="260" t="n"/>
      <c r="HI55" s="260" t="n"/>
      <c r="HJ55" s="260" t="n"/>
      <c r="HK55" s="260" t="n"/>
      <c r="HL55" s="260" t="n"/>
      <c r="HM55" s="260" t="n"/>
      <c r="HN55" s="260" t="n"/>
      <c r="HO55" s="260" t="n"/>
      <c r="HP55" s="260" t="n"/>
      <c r="HQ55" s="260" t="n"/>
      <c r="HR55" s="260" t="n"/>
      <c r="HS55" s="260" t="n"/>
      <c r="HT55" s="260" t="n"/>
      <c r="HU55" s="260" t="n"/>
      <c r="HV55" s="260" t="n"/>
      <c r="HW55" s="260" t="n"/>
      <c r="HX55" s="260" t="n"/>
      <c r="HY55" s="260" t="n"/>
      <c r="HZ55" s="260" t="n"/>
      <c r="IA55" s="260" t="n"/>
      <c r="IB55" s="260" t="n"/>
      <c r="IC55" s="260" t="n"/>
      <c r="ID55" s="260" t="n"/>
      <c r="IE55" s="260" t="n"/>
    </row>
    <row r="56" ht="17.4" customFormat="1" customHeight="1" s="288">
      <c r="A56" s="289" t="n"/>
      <c r="B56" s="290" t="n"/>
      <c r="C56" s="290" t="inlineStr">
        <is>
          <t>E20</t>
        </is>
      </c>
      <c r="D56" s="1397" t="n"/>
      <c r="E56" s="1397" t="n"/>
      <c r="F56" s="1665">
        <f>SUM(G56:R56)</f>
        <v/>
      </c>
      <c r="G56" s="1635" t="n">
        <v>0</v>
      </c>
      <c r="H56" s="1635" t="n">
        <v>0</v>
      </c>
      <c r="I56" s="1635" t="n">
        <v>0</v>
      </c>
      <c r="J56" s="1635" t="n"/>
      <c r="K56" s="1635" t="n">
        <v>0</v>
      </c>
      <c r="L56" s="1635" t="n">
        <v>0</v>
      </c>
      <c r="M56" s="1635" t="n">
        <v>0</v>
      </c>
      <c r="N56" s="1635" t="n"/>
      <c r="O56" s="1635" t="n">
        <v>0</v>
      </c>
      <c r="P56" s="1635" t="n">
        <v>0</v>
      </c>
      <c r="Q56" s="1657" t="n">
        <v>0</v>
      </c>
      <c r="R56" s="1635" t="n">
        <v>0</v>
      </c>
      <c r="S56" s="260" t="n"/>
      <c r="T56" s="260" t="n"/>
      <c r="U56" s="260" t="n"/>
      <c r="V56" s="260" t="n"/>
      <c r="W56" s="260" t="n"/>
      <c r="X56" s="260" t="n"/>
      <c r="Y56" s="260" t="n"/>
      <c r="Z56" s="260" t="n"/>
      <c r="AA56" s="260" t="n"/>
      <c r="AB56" s="260" t="n"/>
      <c r="AC56" s="260" t="n"/>
      <c r="AD56" s="260" t="n"/>
      <c r="AE56" s="260" t="n"/>
      <c r="AF56" s="260" t="n"/>
      <c r="AG56" s="260" t="n"/>
      <c r="AH56" s="260" t="n"/>
      <c r="AI56" s="260" t="n"/>
      <c r="AJ56" s="260" t="n"/>
      <c r="AK56" s="260" t="n"/>
      <c r="AL56" s="260" t="n"/>
      <c r="AM56" s="260" t="n"/>
      <c r="AN56" s="260" t="n"/>
      <c r="AO56" s="260" t="n"/>
      <c r="AP56" s="260" t="n"/>
      <c r="AQ56" s="260" t="n"/>
      <c r="AR56" s="260" t="n"/>
      <c r="AS56" s="260" t="n"/>
      <c r="AT56" s="260" t="n"/>
      <c r="AU56" s="260" t="n"/>
      <c r="AV56" s="260" t="n"/>
      <c r="AW56" s="260" t="n"/>
      <c r="AX56" s="260" t="n"/>
      <c r="AY56" s="260" t="n"/>
      <c r="AZ56" s="260" t="n"/>
      <c r="BA56" s="260" t="n"/>
      <c r="BB56" s="260" t="n"/>
      <c r="BC56" s="260" t="n"/>
      <c r="BD56" s="260" t="n"/>
      <c r="BE56" s="260" t="n"/>
      <c r="BF56" s="260" t="n"/>
      <c r="BG56" s="260" t="n"/>
      <c r="BH56" s="260" t="n"/>
      <c r="BI56" s="260" t="n"/>
      <c r="BJ56" s="260" t="n"/>
      <c r="BK56" s="260" t="n"/>
      <c r="BL56" s="260" t="n"/>
      <c r="BM56" s="260" t="n"/>
      <c r="BN56" s="260" t="n"/>
      <c r="BO56" s="260" t="n"/>
      <c r="BP56" s="260" t="n"/>
      <c r="BQ56" s="260" t="n"/>
      <c r="BR56" s="260" t="n"/>
      <c r="BS56" s="260" t="n"/>
      <c r="BT56" s="260" t="n"/>
      <c r="BU56" s="260" t="n"/>
      <c r="BV56" s="260" t="n"/>
      <c r="BW56" s="260" t="n"/>
      <c r="BX56" s="260" t="n"/>
      <c r="BY56" s="260" t="n"/>
      <c r="BZ56" s="260" t="n"/>
      <c r="CA56" s="260" t="n"/>
      <c r="CB56" s="260" t="n"/>
      <c r="CC56" s="260" t="n"/>
      <c r="CD56" s="260" t="n"/>
      <c r="CE56" s="260" t="n"/>
      <c r="CF56" s="260" t="n"/>
      <c r="CG56" s="260" t="n"/>
      <c r="CH56" s="260" t="n"/>
      <c r="CI56" s="260" t="n"/>
      <c r="CJ56" s="260" t="n"/>
      <c r="CK56" s="260" t="n"/>
      <c r="CL56" s="260" t="n"/>
      <c r="CM56" s="260" t="n"/>
      <c r="CN56" s="260" t="n"/>
      <c r="CO56" s="260" t="n"/>
      <c r="CP56" s="260" t="n"/>
      <c r="CQ56" s="260" t="n"/>
      <c r="CR56" s="260" t="n"/>
      <c r="CS56" s="260" t="n"/>
      <c r="CT56" s="260" t="n"/>
      <c r="CU56" s="260" t="n"/>
      <c r="CV56" s="260" t="n"/>
      <c r="CW56" s="260" t="n"/>
      <c r="CX56" s="260" t="n"/>
      <c r="CY56" s="260" t="n"/>
      <c r="CZ56" s="260" t="n"/>
      <c r="DA56" s="260" t="n"/>
      <c r="DB56" s="260" t="n"/>
      <c r="DC56" s="260" t="n"/>
      <c r="DD56" s="260" t="n"/>
      <c r="DE56" s="260" t="n"/>
      <c r="DF56" s="260" t="n"/>
      <c r="DG56" s="260" t="n"/>
      <c r="DH56" s="260" t="n"/>
      <c r="DI56" s="260" t="n"/>
      <c r="DJ56" s="260" t="n"/>
      <c r="DK56" s="260" t="n"/>
      <c r="DL56" s="260" t="n"/>
      <c r="DM56" s="260" t="n"/>
      <c r="DN56" s="260" t="n"/>
      <c r="DO56" s="260" t="n"/>
      <c r="DP56" s="260" t="n"/>
      <c r="DQ56" s="260" t="n"/>
      <c r="DR56" s="260" t="n"/>
      <c r="DS56" s="260" t="n"/>
      <c r="DT56" s="260" t="n"/>
      <c r="DU56" s="260" t="n"/>
      <c r="DV56" s="260" t="n"/>
      <c r="DW56" s="260" t="n"/>
      <c r="DX56" s="260" t="n"/>
      <c r="DY56" s="260" t="n"/>
      <c r="DZ56" s="260" t="n"/>
      <c r="EA56" s="260" t="n"/>
      <c r="EB56" s="260" t="n"/>
      <c r="EC56" s="260" t="n"/>
      <c r="ED56" s="260" t="n"/>
      <c r="EE56" s="260" t="n"/>
      <c r="EF56" s="260" t="n"/>
      <c r="EG56" s="260" t="n"/>
      <c r="EH56" s="260" t="n"/>
      <c r="EI56" s="260" t="n"/>
      <c r="EJ56" s="260" t="n"/>
      <c r="EK56" s="260" t="n"/>
      <c r="EL56" s="260" t="n"/>
      <c r="EM56" s="260" t="n"/>
      <c r="EN56" s="260" t="n"/>
      <c r="EO56" s="260" t="n"/>
      <c r="EP56" s="260" t="n"/>
      <c r="EQ56" s="260" t="n"/>
      <c r="ER56" s="260" t="n"/>
      <c r="ES56" s="260" t="n"/>
      <c r="ET56" s="260" t="n"/>
      <c r="EU56" s="260" t="n"/>
      <c r="EV56" s="260" t="n"/>
      <c r="EW56" s="260" t="n"/>
      <c r="EX56" s="260" t="n"/>
      <c r="EY56" s="260" t="n"/>
      <c r="EZ56" s="260" t="n"/>
      <c r="FA56" s="260" t="n"/>
      <c r="FB56" s="260" t="n"/>
      <c r="FC56" s="260" t="n"/>
      <c r="FD56" s="260" t="n"/>
      <c r="FE56" s="260" t="n"/>
      <c r="FF56" s="260" t="n"/>
      <c r="FG56" s="260" t="n"/>
      <c r="FH56" s="260" t="n"/>
      <c r="FI56" s="260" t="n"/>
      <c r="FJ56" s="260" t="n"/>
      <c r="FK56" s="260" t="n"/>
      <c r="FL56" s="260" t="n"/>
      <c r="FM56" s="260" t="n"/>
      <c r="FN56" s="260" t="n"/>
      <c r="FO56" s="260" t="n"/>
      <c r="FP56" s="260" t="n"/>
      <c r="FQ56" s="260" t="n"/>
      <c r="FR56" s="260" t="n"/>
      <c r="FS56" s="260" t="n"/>
      <c r="FT56" s="260" t="n"/>
      <c r="FU56" s="260" t="n"/>
      <c r="FV56" s="260" t="n"/>
      <c r="FW56" s="260" t="n"/>
      <c r="FX56" s="260" t="n"/>
      <c r="FY56" s="260" t="n"/>
      <c r="FZ56" s="260" t="n"/>
      <c r="GA56" s="260" t="n"/>
      <c r="GB56" s="260" t="n"/>
      <c r="GC56" s="260" t="n"/>
      <c r="GD56" s="260" t="n"/>
      <c r="GE56" s="260" t="n"/>
      <c r="GF56" s="260" t="n"/>
      <c r="GG56" s="260" t="n"/>
      <c r="GH56" s="260" t="n"/>
      <c r="GI56" s="260" t="n"/>
      <c r="GJ56" s="260" t="n"/>
      <c r="GK56" s="260" t="n"/>
      <c r="GL56" s="260" t="n"/>
      <c r="GM56" s="260" t="n"/>
      <c r="GN56" s="260" t="n"/>
      <c r="GO56" s="260" t="n"/>
      <c r="GP56" s="260" t="n"/>
      <c r="GQ56" s="260" t="n"/>
      <c r="GR56" s="260" t="n"/>
      <c r="GS56" s="260" t="n"/>
      <c r="GT56" s="260" t="n"/>
      <c r="GU56" s="260" t="n"/>
      <c r="GV56" s="260" t="n"/>
      <c r="GW56" s="260" t="n"/>
      <c r="GX56" s="260" t="n"/>
      <c r="GY56" s="260" t="n"/>
      <c r="GZ56" s="260" t="n"/>
      <c r="HA56" s="260" t="n"/>
      <c r="HB56" s="260" t="n"/>
      <c r="HC56" s="260" t="n"/>
      <c r="HD56" s="260" t="n"/>
      <c r="HE56" s="260" t="n"/>
      <c r="HF56" s="260" t="n"/>
      <c r="HG56" s="260" t="n"/>
      <c r="HH56" s="260" t="n"/>
      <c r="HI56" s="260" t="n"/>
      <c r="HJ56" s="260" t="n"/>
      <c r="HK56" s="260" t="n"/>
      <c r="HL56" s="260" t="n"/>
      <c r="HM56" s="260" t="n"/>
      <c r="HN56" s="260" t="n"/>
      <c r="HO56" s="260" t="n"/>
      <c r="HP56" s="260" t="n"/>
      <c r="HQ56" s="260" t="n"/>
      <c r="HR56" s="260" t="n"/>
      <c r="HS56" s="260" t="n"/>
      <c r="HT56" s="260" t="n"/>
      <c r="HU56" s="260" t="n"/>
      <c r="HV56" s="260" t="n"/>
      <c r="HW56" s="260" t="n"/>
      <c r="HX56" s="260" t="n"/>
      <c r="HY56" s="260" t="n"/>
      <c r="HZ56" s="260" t="n"/>
      <c r="IA56" s="260" t="n"/>
      <c r="IB56" s="260" t="n"/>
      <c r="IC56" s="260" t="n"/>
      <c r="ID56" s="260" t="n"/>
      <c r="IE56" s="260" t="n"/>
    </row>
    <row r="57" ht="23.4" customFormat="1" customHeight="1" s="288">
      <c r="A57" s="282" t="inlineStr">
        <is>
          <t>น้ำมัน Diesel B7 ที่ใช้ใน Forklift</t>
        </is>
      </c>
      <c r="B57" s="282" t="n"/>
      <c r="C57" s="282" t="n"/>
      <c r="D57" s="1324" t="inlineStr">
        <is>
          <t>Fleet card</t>
        </is>
      </c>
      <c r="E57" s="296" t="inlineStr">
        <is>
          <t>L</t>
        </is>
      </c>
      <c r="F57" s="1666">
        <f>SUM(F58)</f>
        <v/>
      </c>
      <c r="Q57" s="1312" t="n"/>
      <c r="S57" s="260" t="n"/>
      <c r="T57" s="260" t="n"/>
      <c r="U57" s="260" t="n"/>
      <c r="V57" s="260" t="n"/>
      <c r="W57" s="260" t="n"/>
      <c r="X57" s="260" t="n"/>
      <c r="Y57" s="260" t="n"/>
      <c r="Z57" s="260" t="n"/>
      <c r="AA57" s="260" t="n"/>
      <c r="AB57" s="260" t="n"/>
      <c r="AC57" s="260" t="n"/>
      <c r="AD57" s="260" t="n"/>
      <c r="AE57" s="260" t="n"/>
      <c r="AF57" s="260" t="n"/>
      <c r="AG57" s="260" t="n"/>
      <c r="AH57" s="260" t="n"/>
      <c r="AI57" s="260" t="n"/>
      <c r="AJ57" s="260" t="n"/>
      <c r="AK57" s="260" t="n"/>
      <c r="AL57" s="260" t="n"/>
      <c r="AM57" s="260" t="n"/>
      <c r="AN57" s="260" t="n"/>
      <c r="AO57" s="260" t="n"/>
      <c r="AP57" s="260" t="n"/>
      <c r="AQ57" s="260" t="n"/>
      <c r="AR57" s="260" t="n"/>
      <c r="AS57" s="260" t="n"/>
      <c r="AT57" s="260" t="n"/>
      <c r="AU57" s="260" t="n"/>
      <c r="AV57" s="260" t="n"/>
      <c r="AW57" s="260" t="n"/>
      <c r="AX57" s="260" t="n"/>
      <c r="AY57" s="260" t="n"/>
      <c r="AZ57" s="260" t="n"/>
      <c r="BA57" s="260" t="n"/>
      <c r="BB57" s="260" t="n"/>
      <c r="BC57" s="260" t="n"/>
      <c r="BD57" s="260" t="n"/>
      <c r="BE57" s="260" t="n"/>
      <c r="BF57" s="260" t="n"/>
      <c r="BG57" s="260" t="n"/>
      <c r="BH57" s="260" t="n"/>
      <c r="BI57" s="260" t="n"/>
      <c r="BJ57" s="260" t="n"/>
      <c r="BK57" s="260" t="n"/>
      <c r="BL57" s="260" t="n"/>
      <c r="BM57" s="260" t="n"/>
      <c r="BN57" s="260" t="n"/>
      <c r="BO57" s="260" t="n"/>
      <c r="BP57" s="260" t="n"/>
      <c r="BQ57" s="260" t="n"/>
      <c r="BR57" s="260" t="n"/>
      <c r="BS57" s="260" t="n"/>
      <c r="BT57" s="260" t="n"/>
      <c r="BU57" s="260" t="n"/>
      <c r="BV57" s="260" t="n"/>
      <c r="BW57" s="260" t="n"/>
      <c r="BX57" s="260" t="n"/>
      <c r="BY57" s="260" t="n"/>
      <c r="BZ57" s="260" t="n"/>
      <c r="CA57" s="260" t="n"/>
      <c r="CB57" s="260" t="n"/>
      <c r="CC57" s="260" t="n"/>
      <c r="CD57" s="260" t="n"/>
      <c r="CE57" s="260" t="n"/>
      <c r="CF57" s="260" t="n"/>
      <c r="CG57" s="260" t="n"/>
      <c r="CH57" s="260" t="n"/>
      <c r="CI57" s="260" t="n"/>
      <c r="CJ57" s="260" t="n"/>
      <c r="CK57" s="260" t="n"/>
      <c r="CL57" s="260" t="n"/>
      <c r="CM57" s="260" t="n"/>
      <c r="CN57" s="260" t="n"/>
      <c r="CO57" s="260" t="n"/>
      <c r="CP57" s="260" t="n"/>
      <c r="CQ57" s="260" t="n"/>
      <c r="CR57" s="260" t="n"/>
      <c r="CS57" s="260" t="n"/>
      <c r="CT57" s="260" t="n"/>
      <c r="CU57" s="260" t="n"/>
      <c r="CV57" s="260" t="n"/>
      <c r="CW57" s="260" t="n"/>
      <c r="CX57" s="260" t="n"/>
      <c r="CY57" s="260" t="n"/>
      <c r="CZ57" s="260" t="n"/>
      <c r="DA57" s="260" t="n"/>
      <c r="DB57" s="260" t="n"/>
      <c r="DC57" s="260" t="n"/>
      <c r="DD57" s="260" t="n"/>
      <c r="DE57" s="260" t="n"/>
      <c r="DF57" s="260" t="n"/>
      <c r="DG57" s="260" t="n"/>
      <c r="DH57" s="260" t="n"/>
      <c r="DI57" s="260" t="n"/>
      <c r="DJ57" s="260" t="n"/>
      <c r="DK57" s="260" t="n"/>
      <c r="DL57" s="260" t="n"/>
      <c r="DM57" s="260" t="n"/>
      <c r="DN57" s="260" t="n"/>
      <c r="DO57" s="260" t="n"/>
      <c r="DP57" s="260" t="n"/>
      <c r="DQ57" s="260" t="n"/>
      <c r="DR57" s="260" t="n"/>
      <c r="DS57" s="260" t="n"/>
      <c r="DT57" s="260" t="n"/>
      <c r="DU57" s="260" t="n"/>
      <c r="DV57" s="260" t="n"/>
      <c r="DW57" s="260" t="n"/>
      <c r="DX57" s="260" t="n"/>
      <c r="DY57" s="260" t="n"/>
      <c r="DZ57" s="260" t="n"/>
      <c r="EA57" s="260" t="n"/>
      <c r="EB57" s="260" t="n"/>
      <c r="EC57" s="260" t="n"/>
      <c r="ED57" s="260" t="n"/>
      <c r="EE57" s="260" t="n"/>
      <c r="EF57" s="260" t="n"/>
      <c r="EG57" s="260" t="n"/>
      <c r="EH57" s="260" t="n"/>
      <c r="EI57" s="260" t="n"/>
      <c r="EJ57" s="260" t="n"/>
      <c r="EK57" s="260" t="n"/>
      <c r="EL57" s="260" t="n"/>
      <c r="EM57" s="260" t="n"/>
      <c r="EN57" s="260" t="n"/>
      <c r="EO57" s="260" t="n"/>
      <c r="EP57" s="260" t="n"/>
      <c r="EQ57" s="260" t="n"/>
      <c r="ER57" s="260" t="n"/>
      <c r="ES57" s="260" t="n"/>
      <c r="ET57" s="260" t="n"/>
      <c r="EU57" s="260" t="n"/>
      <c r="EV57" s="260" t="n"/>
      <c r="EW57" s="260" t="n"/>
      <c r="EX57" s="260" t="n"/>
      <c r="EY57" s="260" t="n"/>
      <c r="EZ57" s="260" t="n"/>
      <c r="FA57" s="260" t="n"/>
      <c r="FB57" s="260" t="n"/>
      <c r="FC57" s="260" t="n"/>
      <c r="FD57" s="260" t="n"/>
      <c r="FE57" s="260" t="n"/>
      <c r="FF57" s="260" t="n"/>
      <c r="FG57" s="260" t="n"/>
      <c r="FH57" s="260" t="n"/>
      <c r="FI57" s="260" t="n"/>
      <c r="FJ57" s="260" t="n"/>
      <c r="FK57" s="260" t="n"/>
      <c r="FL57" s="260" t="n"/>
      <c r="FM57" s="260" t="n"/>
      <c r="FN57" s="260" t="n"/>
      <c r="FO57" s="260" t="n"/>
      <c r="FP57" s="260" t="n"/>
      <c r="FQ57" s="260" t="n"/>
      <c r="FR57" s="260" t="n"/>
      <c r="FS57" s="260" t="n"/>
      <c r="FT57" s="260" t="n"/>
      <c r="FU57" s="260" t="n"/>
      <c r="FV57" s="260" t="n"/>
      <c r="FW57" s="260" t="n"/>
      <c r="FX57" s="260" t="n"/>
      <c r="FY57" s="260" t="n"/>
      <c r="FZ57" s="260" t="n"/>
      <c r="GA57" s="260" t="n"/>
      <c r="GB57" s="260" t="n"/>
      <c r="GC57" s="260" t="n"/>
      <c r="GD57" s="260" t="n"/>
      <c r="GE57" s="260" t="n"/>
      <c r="GF57" s="260" t="n"/>
      <c r="GG57" s="260" t="n"/>
      <c r="GH57" s="260" t="n"/>
      <c r="GI57" s="260" t="n"/>
      <c r="GJ57" s="260" t="n"/>
      <c r="GK57" s="260" t="n"/>
      <c r="GL57" s="260" t="n"/>
      <c r="GM57" s="260" t="n"/>
      <c r="GN57" s="260" t="n"/>
      <c r="GO57" s="260" t="n"/>
      <c r="GP57" s="260" t="n"/>
      <c r="GQ57" s="260" t="n"/>
      <c r="GR57" s="260" t="n"/>
      <c r="GS57" s="260" t="n"/>
      <c r="GT57" s="260" t="n"/>
      <c r="GU57" s="260" t="n"/>
      <c r="GV57" s="260" t="n"/>
      <c r="GW57" s="260" t="n"/>
      <c r="GX57" s="260" t="n"/>
      <c r="GY57" s="260" t="n"/>
      <c r="GZ57" s="260" t="n"/>
      <c r="HA57" s="260" t="n"/>
      <c r="HB57" s="260" t="n"/>
      <c r="HC57" s="260" t="n"/>
      <c r="HD57" s="260" t="n"/>
      <c r="HE57" s="260" t="n"/>
      <c r="HF57" s="260" t="n"/>
      <c r="HG57" s="260" t="n"/>
      <c r="HH57" s="260" t="n"/>
      <c r="HI57" s="260" t="n"/>
      <c r="HJ57" s="260" t="n"/>
      <c r="HK57" s="260" t="n"/>
      <c r="HL57" s="260" t="n"/>
      <c r="HM57" s="260" t="n"/>
      <c r="HN57" s="260" t="n"/>
      <c r="HO57" s="260" t="n"/>
      <c r="HP57" s="260" t="n"/>
      <c r="HQ57" s="260" t="n"/>
      <c r="HR57" s="260" t="n"/>
      <c r="HS57" s="260" t="n"/>
      <c r="HT57" s="260" t="n"/>
      <c r="HU57" s="260" t="n"/>
      <c r="HV57" s="260" t="n"/>
      <c r="HW57" s="260" t="n"/>
      <c r="HX57" s="260" t="n"/>
      <c r="HY57" s="260" t="n"/>
      <c r="HZ57" s="260" t="n"/>
      <c r="IA57" s="260" t="n"/>
      <c r="IB57" s="260" t="n"/>
      <c r="IC57" s="260" t="n"/>
      <c r="ID57" s="260" t="n"/>
      <c r="IE57" s="260" t="n"/>
    </row>
    <row r="58" ht="17.4" customFormat="1" customHeight="1" s="288">
      <c r="A58" s="288" t="inlineStr">
        <is>
          <t>3. รถโฟล์คลิฟท์ 3 คัน</t>
        </is>
      </c>
      <c r="B58" s="1397" t="inlineStr">
        <is>
          <t>LCB</t>
        </is>
      </c>
      <c r="C58" s="1397" t="inlineStr">
        <is>
          <t>B7</t>
        </is>
      </c>
      <c r="D58" s="1397" t="inlineStr">
        <is>
          <t>Fleet card</t>
        </is>
      </c>
      <c r="E58" s="1397" t="inlineStr">
        <is>
          <t>L</t>
        </is>
      </c>
      <c r="F58" s="1667">
        <f>SUM(G58:R58)</f>
        <v/>
      </c>
      <c r="G58" s="1660" t="n">
        <v>360</v>
      </c>
      <c r="H58" s="1660" t="n">
        <v>360</v>
      </c>
      <c r="I58" s="1660" t="n">
        <v>540</v>
      </c>
      <c r="J58" s="1660" t="n">
        <v>180</v>
      </c>
      <c r="K58" s="1660" t="n">
        <v>540</v>
      </c>
      <c r="L58" s="1660" t="n">
        <v>360</v>
      </c>
      <c r="M58" s="1660" t="n">
        <v>540</v>
      </c>
      <c r="N58" s="1660" t="n">
        <v>330</v>
      </c>
      <c r="O58" s="1660" t="n">
        <v>360</v>
      </c>
      <c r="P58" s="1660" t="n">
        <v>360</v>
      </c>
      <c r="Q58" s="1662" t="n">
        <v>360</v>
      </c>
      <c r="R58" s="1660" t="n">
        <v>360</v>
      </c>
      <c r="S58" s="260" t="n"/>
      <c r="T58" s="1668" t="n"/>
      <c r="U58" s="260" t="n"/>
      <c r="V58" s="260" t="n"/>
      <c r="W58" s="260" t="n"/>
      <c r="X58" s="260" t="n"/>
      <c r="Y58" s="260" t="n"/>
      <c r="Z58" s="260" t="n"/>
      <c r="AA58" s="260" t="n"/>
      <c r="AB58" s="260" t="n"/>
      <c r="AC58" s="260" t="n"/>
      <c r="AD58" s="260" t="n"/>
      <c r="AE58" s="260" t="n"/>
      <c r="AF58" s="260" t="n"/>
      <c r="AG58" s="260" t="n"/>
      <c r="AH58" s="260" t="n"/>
      <c r="AI58" s="260" t="n"/>
      <c r="AJ58" s="260" t="n"/>
      <c r="AK58" s="260" t="n"/>
      <c r="AL58" s="260" t="n"/>
      <c r="AM58" s="260" t="n"/>
      <c r="AN58" s="260" t="n"/>
      <c r="AO58" s="260" t="n"/>
      <c r="AP58" s="260" t="n"/>
      <c r="AQ58" s="260" t="n"/>
      <c r="AR58" s="260" t="n"/>
      <c r="AS58" s="260" t="n"/>
      <c r="AT58" s="260" t="n"/>
      <c r="AU58" s="260" t="n"/>
      <c r="AV58" s="260" t="n"/>
      <c r="AW58" s="260" t="n"/>
      <c r="AX58" s="260" t="n"/>
      <c r="AY58" s="260" t="n"/>
      <c r="AZ58" s="260" t="n"/>
      <c r="BA58" s="260" t="n"/>
      <c r="BB58" s="260" t="n"/>
      <c r="BC58" s="260" t="n"/>
      <c r="BD58" s="260" t="n"/>
      <c r="BE58" s="260" t="n"/>
      <c r="BF58" s="260" t="n"/>
      <c r="BG58" s="260" t="n"/>
      <c r="BH58" s="260" t="n"/>
      <c r="BI58" s="260" t="n"/>
      <c r="BJ58" s="260" t="n"/>
      <c r="BK58" s="260" t="n"/>
      <c r="BL58" s="260" t="n"/>
      <c r="BM58" s="260" t="n"/>
      <c r="BN58" s="260" t="n"/>
      <c r="BO58" s="260" t="n"/>
      <c r="BP58" s="260" t="n"/>
      <c r="BQ58" s="260" t="n"/>
      <c r="BR58" s="260" t="n"/>
      <c r="BS58" s="260" t="n"/>
      <c r="BT58" s="260" t="n"/>
      <c r="BU58" s="260" t="n"/>
      <c r="BV58" s="260" t="n"/>
      <c r="BW58" s="260" t="n"/>
      <c r="BX58" s="260" t="n"/>
      <c r="BY58" s="260" t="n"/>
      <c r="BZ58" s="260" t="n"/>
      <c r="CA58" s="260" t="n"/>
      <c r="CB58" s="260" t="n"/>
      <c r="CC58" s="260" t="n"/>
      <c r="CD58" s="260" t="n"/>
      <c r="CE58" s="260" t="n"/>
      <c r="CF58" s="260" t="n"/>
      <c r="CG58" s="260" t="n"/>
      <c r="CH58" s="260" t="n"/>
      <c r="CI58" s="260" t="n"/>
      <c r="CJ58" s="260" t="n"/>
      <c r="CK58" s="260" t="n"/>
      <c r="CL58" s="260" t="n"/>
      <c r="CM58" s="260" t="n"/>
      <c r="CN58" s="260" t="n"/>
      <c r="CO58" s="260" t="n"/>
      <c r="CP58" s="260" t="n"/>
      <c r="CQ58" s="260" t="n"/>
      <c r="CR58" s="260" t="n"/>
      <c r="CS58" s="260" t="n"/>
      <c r="CT58" s="260" t="n"/>
      <c r="CU58" s="260" t="n"/>
      <c r="CV58" s="260" t="n"/>
      <c r="CW58" s="260" t="n"/>
      <c r="CX58" s="260" t="n"/>
      <c r="CY58" s="260" t="n"/>
      <c r="CZ58" s="260" t="n"/>
      <c r="DA58" s="260" t="n"/>
      <c r="DB58" s="260" t="n"/>
      <c r="DC58" s="260" t="n"/>
      <c r="DD58" s="260" t="n"/>
      <c r="DE58" s="260" t="n"/>
      <c r="DF58" s="260" t="n"/>
      <c r="DG58" s="260" t="n"/>
      <c r="DH58" s="260" t="n"/>
      <c r="DI58" s="260" t="n"/>
      <c r="DJ58" s="260" t="n"/>
      <c r="DK58" s="260" t="n"/>
      <c r="DL58" s="260" t="n"/>
      <c r="DM58" s="260" t="n"/>
      <c r="DN58" s="260" t="n"/>
      <c r="DO58" s="260" t="n"/>
      <c r="DP58" s="260" t="n"/>
      <c r="DQ58" s="260" t="n"/>
      <c r="DR58" s="260" t="n"/>
      <c r="DS58" s="260" t="n"/>
      <c r="DT58" s="260" t="n"/>
      <c r="DU58" s="260" t="n"/>
      <c r="DV58" s="260" t="n"/>
      <c r="DW58" s="260" t="n"/>
      <c r="DX58" s="260" t="n"/>
      <c r="DY58" s="260" t="n"/>
      <c r="DZ58" s="260" t="n"/>
      <c r="EA58" s="260" t="n"/>
      <c r="EB58" s="260" t="n"/>
      <c r="EC58" s="260" t="n"/>
      <c r="ED58" s="260" t="n"/>
      <c r="EE58" s="260" t="n"/>
      <c r="EF58" s="260" t="n"/>
      <c r="EG58" s="260" t="n"/>
      <c r="EH58" s="260" t="n"/>
      <c r="EI58" s="260" t="n"/>
      <c r="EJ58" s="260" t="n"/>
      <c r="EK58" s="260" t="n"/>
      <c r="EL58" s="260" t="n"/>
      <c r="EM58" s="260" t="n"/>
      <c r="EN58" s="260" t="n"/>
      <c r="EO58" s="260" t="n"/>
      <c r="EP58" s="260" t="n"/>
      <c r="EQ58" s="260" t="n"/>
      <c r="ER58" s="260" t="n"/>
      <c r="ES58" s="260" t="n"/>
      <c r="ET58" s="260" t="n"/>
      <c r="EU58" s="260" t="n"/>
      <c r="EV58" s="260" t="n"/>
      <c r="EW58" s="260" t="n"/>
      <c r="EX58" s="260" t="n"/>
      <c r="EY58" s="260" t="n"/>
      <c r="EZ58" s="260" t="n"/>
      <c r="FA58" s="260" t="n"/>
      <c r="FB58" s="260" t="n"/>
      <c r="FC58" s="260" t="n"/>
      <c r="FD58" s="260" t="n"/>
      <c r="FE58" s="260" t="n"/>
      <c r="FF58" s="260" t="n"/>
      <c r="FG58" s="260" t="n"/>
      <c r="FH58" s="260" t="n"/>
      <c r="FI58" s="260" t="n"/>
      <c r="FJ58" s="260" t="n"/>
      <c r="FK58" s="260" t="n"/>
      <c r="FL58" s="260" t="n"/>
      <c r="FM58" s="260" t="n"/>
      <c r="FN58" s="260" t="n"/>
      <c r="FO58" s="260" t="n"/>
      <c r="FP58" s="260" t="n"/>
      <c r="FQ58" s="260" t="n"/>
      <c r="FR58" s="260" t="n"/>
      <c r="FS58" s="260" t="n"/>
      <c r="FT58" s="260" t="n"/>
      <c r="FU58" s="260" t="n"/>
      <c r="FV58" s="260" t="n"/>
      <c r="FW58" s="260" t="n"/>
      <c r="FX58" s="260" t="n"/>
      <c r="FY58" s="260" t="n"/>
      <c r="FZ58" s="260" t="n"/>
      <c r="GA58" s="260" t="n"/>
      <c r="GB58" s="260" t="n"/>
      <c r="GC58" s="260" t="n"/>
      <c r="GD58" s="260" t="n"/>
      <c r="GE58" s="260" t="n"/>
      <c r="GF58" s="260" t="n"/>
      <c r="GG58" s="260" t="n"/>
      <c r="GH58" s="260" t="n"/>
      <c r="GI58" s="260" t="n"/>
      <c r="GJ58" s="260" t="n"/>
      <c r="GK58" s="260" t="n"/>
      <c r="GL58" s="260" t="n"/>
      <c r="GM58" s="260" t="n"/>
      <c r="GN58" s="260" t="n"/>
      <c r="GO58" s="260" t="n"/>
      <c r="GP58" s="260" t="n"/>
      <c r="GQ58" s="260" t="n"/>
      <c r="GR58" s="260" t="n"/>
      <c r="GS58" s="260" t="n"/>
      <c r="GT58" s="260" t="n"/>
      <c r="GU58" s="260" t="n"/>
      <c r="GV58" s="260" t="n"/>
      <c r="GW58" s="260" t="n"/>
      <c r="GX58" s="260" t="n"/>
      <c r="GY58" s="260" t="n"/>
      <c r="GZ58" s="260" t="n"/>
      <c r="HA58" s="260" t="n"/>
      <c r="HB58" s="260" t="n"/>
      <c r="HC58" s="260" t="n"/>
      <c r="HD58" s="260" t="n"/>
      <c r="HE58" s="260" t="n"/>
      <c r="HF58" s="260" t="n"/>
      <c r="HG58" s="260" t="n"/>
      <c r="HH58" s="260" t="n"/>
      <c r="HI58" s="260" t="n"/>
      <c r="HJ58" s="260" t="n"/>
      <c r="HK58" s="260" t="n"/>
      <c r="HL58" s="260" t="n"/>
      <c r="HM58" s="260" t="n"/>
      <c r="HN58" s="260" t="n"/>
      <c r="HO58" s="260" t="n"/>
      <c r="HP58" s="260" t="n"/>
      <c r="HQ58" s="260" t="n"/>
      <c r="HR58" s="260" t="n"/>
      <c r="HS58" s="260" t="n"/>
      <c r="HT58" s="260" t="n"/>
      <c r="HU58" s="260" t="n"/>
      <c r="HV58" s="260" t="n"/>
      <c r="HW58" s="260" t="n"/>
      <c r="HX58" s="260" t="n"/>
      <c r="HY58" s="260" t="n"/>
      <c r="HZ58" s="260" t="n"/>
      <c r="IA58" s="260" t="n"/>
      <c r="IB58" s="260" t="n"/>
      <c r="IC58" s="260" t="n"/>
      <c r="ID58" s="260" t="n"/>
      <c r="IE58" s="260" t="n"/>
    </row>
    <row r="59" ht="21" customHeight="1"/>
    <row r="60" ht="21" customHeight="1">
      <c r="A60" s="302" t="n"/>
      <c r="B60" s="302" t="n"/>
      <c r="C60" s="302" t="n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</sheetData>
  <mergeCells count="19">
    <mergeCell ref="F3:F4"/>
    <mergeCell ref="B11:B12"/>
    <mergeCell ref="D11:D12"/>
    <mergeCell ref="A6:B6"/>
    <mergeCell ref="A7:B7"/>
    <mergeCell ref="A3:B4"/>
    <mergeCell ref="D3:D4"/>
    <mergeCell ref="C11:C12"/>
    <mergeCell ref="E11:E12"/>
    <mergeCell ref="A5:B5"/>
    <mergeCell ref="A8:B8"/>
    <mergeCell ref="F11:F12"/>
    <mergeCell ref="H3:I3"/>
    <mergeCell ref="C3:C4"/>
    <mergeCell ref="G11:R11"/>
    <mergeCell ref="E3:E4"/>
    <mergeCell ref="A9:B9"/>
    <mergeCell ref="A11:A12"/>
    <mergeCell ref="K3:L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K10" sqref="K10"/>
    </sheetView>
  </sheetViews>
  <sheetFormatPr baseColWidth="8" defaultRowHeight="13.8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R32"/>
  <sheetViews>
    <sheetView workbookViewId="0">
      <selection activeCell="A1" sqref="A1:Q9"/>
    </sheetView>
  </sheetViews>
  <sheetFormatPr baseColWidth="8" defaultRowHeight="13.8"/>
  <cols>
    <col width="53.796875" customWidth="1" min="1" max="1"/>
    <col width="15.59765625" customWidth="1" min="2" max="2"/>
    <col width="18.69921875" customWidth="1" min="3" max="3"/>
    <col width="17.8984375" customWidth="1" min="5" max="5"/>
  </cols>
  <sheetData>
    <row r="1" ht="15" customHeight="1">
      <c r="A1" s="311" t="inlineStr">
        <is>
          <t>สารทำความเย็น</t>
        </is>
      </c>
      <c r="B1" s="311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28" t="n"/>
      <c r="P1" s="228" t="n"/>
      <c r="Q1" s="228" t="n"/>
      <c r="R1" s="228" t="n"/>
    </row>
    <row r="2">
      <c r="A2" s="1288" t="inlineStr">
        <is>
          <t>เครื่องที่ใช้</t>
        </is>
      </c>
      <c r="B2" s="1288" t="inlineStr">
        <is>
          <t>สถานที่</t>
        </is>
      </c>
      <c r="C2" s="1288" t="inlineStr">
        <is>
          <t>หลักฐาน</t>
        </is>
      </c>
      <c r="D2" s="1288" t="inlineStr">
        <is>
          <t xml:space="preserve">หน่วย </t>
        </is>
      </c>
      <c r="E2" s="1288" t="inlineStr">
        <is>
          <t>รวม</t>
        </is>
      </c>
      <c r="F2" s="1288" t="inlineStr">
        <is>
          <t>ปริมาณการใช้แต่ละเดือน/2566</t>
        </is>
      </c>
      <c r="G2" s="1415" t="n"/>
      <c r="H2" s="1415" t="n"/>
      <c r="I2" s="1415" t="n"/>
      <c r="J2" s="1415" t="n"/>
      <c r="K2" s="1415" t="n"/>
      <c r="L2" s="1415" t="n"/>
      <c r="M2" s="1415" t="n"/>
      <c r="N2" s="1415" t="n"/>
      <c r="O2" s="1415" t="n"/>
      <c r="P2" s="1415" t="n"/>
      <c r="Q2" s="1416" t="n"/>
      <c r="R2" s="228" t="n"/>
    </row>
    <row r="3">
      <c r="A3" s="1417" t="n"/>
      <c r="B3" s="1417" t="n"/>
      <c r="C3" s="1417" t="n"/>
      <c r="D3" s="1417" t="n"/>
      <c r="E3" s="1417" t="n"/>
      <c r="F3" s="1288" t="n">
        <v>1</v>
      </c>
      <c r="G3" s="1288" t="n">
        <v>2</v>
      </c>
      <c r="H3" s="1288" t="n">
        <v>3</v>
      </c>
      <c r="I3" s="1288" t="n">
        <v>4</v>
      </c>
      <c r="J3" s="1288" t="n">
        <v>5</v>
      </c>
      <c r="K3" s="1288" t="n">
        <v>6</v>
      </c>
      <c r="L3" s="1288" t="n">
        <v>7</v>
      </c>
      <c r="M3" s="1288" t="n">
        <v>8</v>
      </c>
      <c r="N3" s="1288" t="n">
        <v>9</v>
      </c>
      <c r="O3" s="1288" t="n">
        <v>10</v>
      </c>
      <c r="P3" s="1288" t="n">
        <v>11</v>
      </c>
      <c r="Q3" s="1288" t="n">
        <v>12</v>
      </c>
      <c r="R3" s="228" t="n"/>
    </row>
    <row r="4" ht="16.8" customHeight="1">
      <c r="A4" s="288" t="inlineStr">
        <is>
          <t>สารทำความเย็น R-22  Chiller/เครื่องปรับอากาศ/Air dryer</t>
        </is>
      </c>
      <c r="B4" s="1397" t="inlineStr">
        <is>
          <t>LCB</t>
        </is>
      </c>
      <c r="C4" s="1300" t="inlineStr">
        <is>
          <t>ใบกำกับภาษี/ใบส่งซ่อม</t>
        </is>
      </c>
      <c r="D4" s="1397" t="inlineStr">
        <is>
          <t>kg</t>
        </is>
      </c>
      <c r="E4" s="1669">
        <f>SUM(F4:Q4)</f>
        <v/>
      </c>
      <c r="F4" s="1670">
        <f>F5*13.6</f>
        <v/>
      </c>
      <c r="G4" s="1670" t="n">
        <v>0</v>
      </c>
      <c r="H4" s="1670" t="n">
        <v>0</v>
      </c>
      <c r="I4" s="1670" t="n">
        <v>0</v>
      </c>
      <c r="J4" s="1670" t="n">
        <v>0</v>
      </c>
      <c r="K4" s="1670" t="n">
        <v>0</v>
      </c>
      <c r="L4" s="1670" t="n">
        <v>0</v>
      </c>
      <c r="M4" s="1670">
        <f>M5*13.6</f>
        <v/>
      </c>
      <c r="N4" s="1670">
        <f>N5*13.6</f>
        <v/>
      </c>
      <c r="O4" s="1670" t="n">
        <v>0</v>
      </c>
      <c r="P4" s="1670">
        <f>8+13</f>
        <v/>
      </c>
      <c r="Q4" s="1670" t="n">
        <v>0</v>
      </c>
      <c r="R4" s="228" t="n"/>
    </row>
    <row r="5" ht="16.8" customHeight="1">
      <c r="A5" s="288" t="n"/>
      <c r="B5" s="1397" t="n"/>
      <c r="C5" s="1300" t="n"/>
      <c r="D5" s="1397" t="inlineStr">
        <is>
          <t>ถัง</t>
        </is>
      </c>
      <c r="E5" s="1671">
        <f>SUM(F5:Q5)</f>
        <v/>
      </c>
      <c r="F5" s="1670" t="n">
        <v>2</v>
      </c>
      <c r="G5" s="1670" t="n">
        <v>0</v>
      </c>
      <c r="H5" s="1670" t="n">
        <v>0</v>
      </c>
      <c r="I5" s="1670" t="n">
        <v>0</v>
      </c>
      <c r="J5" s="1670" t="n">
        <v>0</v>
      </c>
      <c r="K5" s="1670" t="n">
        <v>0</v>
      </c>
      <c r="L5" s="1670" t="n">
        <v>0</v>
      </c>
      <c r="M5" s="1670" t="n">
        <v>2</v>
      </c>
      <c r="N5" s="1670" t="n">
        <v>2</v>
      </c>
      <c r="O5" s="1670" t="n">
        <v>0</v>
      </c>
      <c r="P5" s="1670" t="n">
        <v>0</v>
      </c>
      <c r="Q5" s="1670" t="n">
        <v>0</v>
      </c>
      <c r="R5" s="228" t="n"/>
    </row>
    <row r="6" ht="16.8" customHeight="1">
      <c r="A6" s="288" t="inlineStr">
        <is>
          <t>สารทำความเย็น R-32 -ครื่องปรับอากาศ</t>
        </is>
      </c>
      <c r="B6" s="1397" t="inlineStr">
        <is>
          <t>LCB, BKK</t>
        </is>
      </c>
      <c r="C6" s="1300" t="inlineStr">
        <is>
          <t>ใบกำกับภาษี/เอกสาร PM</t>
        </is>
      </c>
      <c r="D6" s="1397" t="inlineStr">
        <is>
          <t>kg</t>
        </is>
      </c>
      <c r="E6" s="1669">
        <f>SUM(F6:Q6)</f>
        <v/>
      </c>
      <c r="F6" s="1670" t="n">
        <v>0</v>
      </c>
      <c r="G6" s="1670" t="n">
        <v>0</v>
      </c>
      <c r="H6" s="1670">
        <f>(1.6*0.03)+(1.6*0.8)+(0.85*0.03)+(0.85*0.8)</f>
        <v/>
      </c>
      <c r="I6" s="1670" t="n">
        <v>0</v>
      </c>
      <c r="J6" s="1670" t="n">
        <v>0</v>
      </c>
      <c r="K6" s="1670" t="n">
        <v>0</v>
      </c>
      <c r="L6" s="1670" t="n">
        <v>0</v>
      </c>
      <c r="M6" s="1670">
        <f>(0.85*0.03)+(0.85*0.8)</f>
        <v/>
      </c>
      <c r="N6" s="1670" t="n"/>
      <c r="O6" s="1670" t="n">
        <v>0</v>
      </c>
      <c r="P6" s="1670" t="n">
        <v>0</v>
      </c>
      <c r="Q6" s="1670" t="n">
        <v>0</v>
      </c>
      <c r="R6" s="228" t="n"/>
    </row>
    <row r="7" ht="16.8" customHeight="1">
      <c r="A7" s="843" t="inlineStr">
        <is>
          <t>สารทำความเย็น R-410a - เครื่องปรับอากาศ</t>
        </is>
      </c>
      <c r="B7" s="1397" t="inlineStr">
        <is>
          <t>LCB, BKK</t>
        </is>
      </c>
      <c r="C7" s="1300" t="inlineStr">
        <is>
          <t>ใบกำกับภาษี/เอกสาร PM</t>
        </is>
      </c>
      <c r="D7" s="1397" t="inlineStr">
        <is>
          <t>kg</t>
        </is>
      </c>
      <c r="E7" s="1669">
        <f>SUM(F7:Q7)</f>
        <v/>
      </c>
      <c r="F7" s="1670" t="n">
        <v>0</v>
      </c>
      <c r="G7" s="1670" t="n">
        <v>0</v>
      </c>
      <c r="H7" s="1670" t="n">
        <v>0</v>
      </c>
      <c r="I7" s="1670" t="n">
        <v>0</v>
      </c>
      <c r="J7" s="1670" t="n">
        <v>0</v>
      </c>
      <c r="K7" s="1670" t="n">
        <v>0</v>
      </c>
      <c r="L7" s="1670" t="n">
        <v>0</v>
      </c>
      <c r="M7" s="1670" t="n">
        <v>0</v>
      </c>
      <c r="N7" s="1670" t="n">
        <v>0</v>
      </c>
      <c r="O7" s="1670" t="n">
        <v>0</v>
      </c>
      <c r="P7" s="1670" t="n">
        <v>0</v>
      </c>
      <c r="Q7" s="1670" t="n">
        <v>0</v>
      </c>
      <c r="R7" s="461" t="n"/>
    </row>
    <row r="8" ht="16.8" customHeight="1">
      <c r="A8" s="843" t="inlineStr">
        <is>
          <t>สารทำความเย็น R-134a - ตู้แอร์ระบายความร้อน</t>
        </is>
      </c>
      <c r="B8" s="1397" t="inlineStr">
        <is>
          <t>LCB</t>
        </is>
      </c>
      <c r="C8" s="1300" t="inlineStr">
        <is>
          <t>ใบกำกับภาษี/เอกสาร PM</t>
        </is>
      </c>
      <c r="D8" s="1397" t="inlineStr">
        <is>
          <t>kg</t>
        </is>
      </c>
      <c r="E8" s="1669">
        <f>SUM(F8:Q8)</f>
        <v/>
      </c>
      <c r="F8" s="1670" t="n">
        <v>0</v>
      </c>
      <c r="G8" s="1670" t="n">
        <v>0</v>
      </c>
      <c r="H8" s="1670" t="n">
        <v>0</v>
      </c>
      <c r="I8" s="1670" t="n">
        <v>0</v>
      </c>
      <c r="J8" s="1670" t="n">
        <v>0</v>
      </c>
      <c r="K8" s="1670" t="n">
        <v>0</v>
      </c>
      <c r="L8" s="1670" t="n">
        <v>0</v>
      </c>
      <c r="M8" s="1670" t="n">
        <v>0</v>
      </c>
      <c r="N8" s="1670" t="n">
        <v>0</v>
      </c>
      <c r="O8" s="1670" t="n">
        <v>0</v>
      </c>
      <c r="P8" s="1670" t="n">
        <v>0</v>
      </c>
      <c r="Q8" s="1670" t="n">
        <v>0</v>
      </c>
      <c r="R8" s="228" t="n"/>
    </row>
    <row r="9" ht="16.8" customHeight="1">
      <c r="A9" s="843" t="inlineStr">
        <is>
          <t>สารทำความเย็น R-407c - Air dryer/Chiller</t>
        </is>
      </c>
      <c r="B9" s="1397" t="inlineStr">
        <is>
          <t>LCB</t>
        </is>
      </c>
      <c r="C9" s="1300" t="inlineStr">
        <is>
          <t>ใบกำกับภาษี/เอกสาร PM</t>
        </is>
      </c>
      <c r="D9" s="1397" t="inlineStr">
        <is>
          <t>kg</t>
        </is>
      </c>
      <c r="E9" s="1669">
        <f>SUM(F9:Q9)</f>
        <v/>
      </c>
      <c r="F9" s="1670" t="n">
        <v>0</v>
      </c>
      <c r="G9" s="1670" t="n">
        <v>0</v>
      </c>
      <c r="H9" s="1670" t="n">
        <v>0</v>
      </c>
      <c r="I9" s="1670" t="n">
        <v>0</v>
      </c>
      <c r="J9" s="1670" t="n">
        <v>0</v>
      </c>
      <c r="K9" s="1670" t="n">
        <v>0</v>
      </c>
      <c r="L9" s="1670" t="n">
        <v>0</v>
      </c>
      <c r="M9" s="1670" t="n">
        <v>0</v>
      </c>
      <c r="N9" s="1670" t="n">
        <v>0</v>
      </c>
      <c r="O9" s="1670" t="n">
        <v>0</v>
      </c>
      <c r="P9" s="1670" t="n">
        <v>0</v>
      </c>
      <c r="Q9" s="1670" t="n">
        <v>0</v>
      </c>
      <c r="R9" s="228" t="n"/>
    </row>
    <row r="12">
      <c r="A12" s="225" t="inlineStr">
        <is>
          <t>R 22 ซื้อสำรอง สำหรับฉุกเฉิน แต่ซ่อมจะเป็นจ้างเหมาภายนอก</t>
        </is>
      </c>
    </row>
    <row r="13">
      <c r="A13" s="225" t="inlineStr">
        <is>
          <t>R 32, R410 a, R134a, R407C จ้างเหมา</t>
        </is>
      </c>
    </row>
    <row r="14">
      <c r="A14" s="225" t="inlineStr">
        <is>
          <t>BKK มีเครื่องปรับอากาศไม่ได้ใช้งาน  นานหรือยัง</t>
        </is>
      </c>
    </row>
    <row r="15">
      <c r="A15" s="225" t="inlineStr">
        <is>
          <t>Chiller โรงงาน 1 -หายไป 1 ตัว</t>
        </is>
      </c>
    </row>
    <row r="16">
      <c r="A16" s="225" t="inlineStr">
        <is>
          <t>ไม่เห็น PM ของ Cooling โรง 3</t>
        </is>
      </c>
    </row>
    <row r="17">
      <c r="A17" s="225" t="inlineStr">
        <is>
          <t>AC -LCB ไม่มีการะบุชนิดสารทำความเย็น</t>
        </is>
      </c>
    </row>
    <row r="32">
      <c r="A32" t="inlineStr">
        <is>
          <t>a</t>
        </is>
      </c>
    </row>
  </sheetData>
  <mergeCells count="6">
    <mergeCell ref="C2:C3"/>
    <mergeCell ref="B2:B3"/>
    <mergeCell ref="A2:A3"/>
    <mergeCell ref="D2:D3"/>
    <mergeCell ref="F2:Q2"/>
    <mergeCell ref="E2:E3"/>
  </mergeCell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2:Q7"/>
  <sheetViews>
    <sheetView workbookViewId="0">
      <selection activeCell="E18" sqref="E18"/>
    </sheetView>
  </sheetViews>
  <sheetFormatPr baseColWidth="8" defaultRowHeight="13.8"/>
  <cols>
    <col width="24.8984375" customWidth="1" min="1" max="1"/>
    <col width="18.296875" customWidth="1" min="2" max="2"/>
    <col width="17.8984375" customWidth="1" min="3" max="3"/>
    <col width="17.19921875" customWidth="1" min="5" max="5"/>
  </cols>
  <sheetData>
    <row r="2" ht="19.2" customHeight="1">
      <c r="A2" s="1672" t="inlineStr">
        <is>
          <t>แหล่งการปล่อยก๊าซเรือนกระจก</t>
        </is>
      </c>
      <c r="B2" s="1672" t="inlineStr">
        <is>
          <t>Location</t>
        </is>
      </c>
      <c r="C2" s="1672" t="inlineStr">
        <is>
          <t>หลักฐาน</t>
        </is>
      </c>
      <c r="D2" s="1288" t="inlineStr">
        <is>
          <t xml:space="preserve">หน่วย </t>
        </is>
      </c>
      <c r="E2" s="1288" t="n"/>
      <c r="F2" s="1288" t="inlineStr">
        <is>
          <t>ปริมาณการใช้แต่ละเดือน/2566</t>
        </is>
      </c>
      <c r="G2" s="1415" t="n"/>
      <c r="H2" s="1415" t="n"/>
      <c r="I2" s="1415" t="n"/>
      <c r="J2" s="1415" t="n"/>
      <c r="K2" s="1415" t="n"/>
      <c r="L2" s="1415" t="n"/>
      <c r="M2" s="1415" t="n"/>
      <c r="N2" s="1415" t="n"/>
      <c r="O2" s="1415" t="n"/>
      <c r="P2" s="1415" t="n"/>
      <c r="Q2" s="1416" t="n"/>
    </row>
    <row r="3" ht="19.2" customHeight="1">
      <c r="A3" s="1417" t="n"/>
      <c r="B3" s="1417" t="n"/>
      <c r="C3" s="1417" t="n"/>
      <c r="D3" s="1417" t="n"/>
      <c r="E3" s="1288" t="inlineStr">
        <is>
          <t>รวม</t>
        </is>
      </c>
      <c r="F3" s="1288" t="n">
        <v>1</v>
      </c>
      <c r="G3" s="1288" t="n">
        <v>2</v>
      </c>
      <c r="H3" s="1288" t="n">
        <v>3</v>
      </c>
      <c r="I3" s="1288" t="n">
        <v>4</v>
      </c>
      <c r="J3" s="1288" t="n">
        <v>5</v>
      </c>
      <c r="K3" s="1288" t="n">
        <v>6</v>
      </c>
      <c r="L3" s="1288" t="n">
        <v>7</v>
      </c>
      <c r="M3" s="1288" t="n">
        <v>8</v>
      </c>
      <c r="N3" s="1288" t="n">
        <v>9</v>
      </c>
      <c r="O3" s="1288" t="n">
        <v>10</v>
      </c>
      <c r="P3" s="1288" t="n">
        <v>11</v>
      </c>
      <c r="Q3" s="1288" t="n">
        <v>12</v>
      </c>
    </row>
    <row r="4" ht="33.6" customHeight="1">
      <c r="A4" s="453" t="inlineStr">
        <is>
          <t>สารดับเพลิง CO2</t>
        </is>
      </c>
      <c r="B4" s="835" t="inlineStr">
        <is>
          <t>LCB/BKK</t>
        </is>
      </c>
      <c r="C4" s="453" t="inlineStr">
        <is>
          <t>ใบสั่งซื้อ/เอกสาร PM</t>
        </is>
      </c>
      <c r="D4" s="454" t="inlineStr">
        <is>
          <t xml:space="preserve">Kg </t>
        </is>
      </c>
      <c r="E4" s="1673">
        <f>SUM(E5,E7,E9)</f>
        <v/>
      </c>
      <c r="F4" s="1674" t="n">
        <v>0</v>
      </c>
      <c r="G4" s="1674" t="n">
        <v>0</v>
      </c>
      <c r="H4" s="1674" t="n">
        <v>0</v>
      </c>
      <c r="I4" s="1674" t="n">
        <v>0</v>
      </c>
      <c r="J4" s="1674" t="n">
        <v>0</v>
      </c>
      <c r="K4" s="1674" t="n">
        <v>0</v>
      </c>
      <c r="L4" s="1674" t="n">
        <v>0</v>
      </c>
      <c r="M4" s="1674" t="n">
        <v>0</v>
      </c>
      <c r="N4" s="1674" t="n">
        <v>0</v>
      </c>
      <c r="O4" s="1674" t="n">
        <v>0</v>
      </c>
      <c r="P4" s="1674" t="n">
        <v>0</v>
      </c>
      <c r="Q4" s="1674" t="n">
        <v>0</v>
      </c>
    </row>
    <row r="5" ht="26.4" customHeight="1">
      <c r="A5" s="844" t="inlineStr">
        <is>
          <t>สารดับเพลิง HCFC-123</t>
        </is>
      </c>
      <c r="B5" s="1398" t="inlineStr">
        <is>
          <t>LCB/BKK (ห้อง Server)</t>
        </is>
      </c>
      <c r="C5" s="453" t="inlineStr">
        <is>
          <t>ใบสั่งซื้อ/เอกสาร PM</t>
        </is>
      </c>
      <c r="D5" s="454" t="inlineStr">
        <is>
          <t xml:space="preserve">Kg </t>
        </is>
      </c>
      <c r="E5" s="1673">
        <f>SUM(E6,E8,E10)</f>
        <v/>
      </c>
      <c r="F5" s="1674" t="n">
        <v>0</v>
      </c>
      <c r="G5" s="1674" t="n">
        <v>0</v>
      </c>
      <c r="H5" s="1674" t="n">
        <v>0</v>
      </c>
      <c r="I5" s="1674" t="n">
        <v>0</v>
      </c>
      <c r="J5" s="1674" t="n">
        <v>0</v>
      </c>
      <c r="K5" s="1674" t="n">
        <v>0</v>
      </c>
      <c r="L5" s="1674" t="n">
        <v>0</v>
      </c>
      <c r="M5" s="1674" t="n">
        <v>0</v>
      </c>
      <c r="N5" s="1674" t="n">
        <v>0</v>
      </c>
      <c r="O5" s="1674" t="n">
        <v>0</v>
      </c>
      <c r="P5" s="1674" t="n">
        <v>0</v>
      </c>
      <c r="Q5" s="1674" t="n">
        <v>0</v>
      </c>
    </row>
    <row r="7" ht="17.4" customHeight="1">
      <c r="A7" s="837" t="n"/>
    </row>
  </sheetData>
  <mergeCells count="5">
    <mergeCell ref="D2:D3"/>
    <mergeCell ref="A2:A3"/>
    <mergeCell ref="B2:B3"/>
    <mergeCell ref="C2:C3"/>
    <mergeCell ref="F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I78"/>
  <sheetViews>
    <sheetView topLeftCell="A62" workbookViewId="0">
      <selection activeCell="A66" sqref="A66:F78"/>
    </sheetView>
  </sheetViews>
  <sheetFormatPr baseColWidth="8" defaultColWidth="14.3984375" defaultRowHeight="15" customHeight="1"/>
  <cols>
    <col width="19.59765625" customWidth="1" style="228" min="1" max="7"/>
    <col width="13.3984375" customWidth="1" style="228" min="8" max="10"/>
    <col width="8.796875" customWidth="1" style="228" min="11" max="26"/>
    <col width="14.3984375" customWidth="1" style="228" min="27" max="16384"/>
  </cols>
  <sheetData>
    <row r="1" ht="24" customHeight="1">
      <c r="A1" s="311" t="inlineStr">
        <is>
          <t># 1 จำนวนพนักงานโรงงานแหลมฉบัง</t>
        </is>
      </c>
    </row>
    <row r="2" ht="21" customHeight="1">
      <c r="A2" s="312" t="n"/>
      <c r="B2" s="1322" t="inlineStr">
        <is>
          <t>รูปแบบการทำงานแบบ 6 วันต่อสัปดาห์</t>
        </is>
      </c>
      <c r="C2" s="1639" t="n"/>
      <c r="D2" s="1639" t="n"/>
      <c r="E2" s="1639" t="n"/>
      <c r="F2" s="1639" t="n"/>
      <c r="G2" s="1639" t="n"/>
      <c r="H2" s="1324" t="inlineStr">
        <is>
          <t>TOW</t>
        </is>
      </c>
      <c r="I2" s="1325" t="inlineStr">
        <is>
          <t>CH4 emission จาก Septic</t>
        </is>
      </c>
    </row>
    <row r="3" ht="27" customHeight="1">
      <c r="A3" s="313" t="inlineStr">
        <is>
          <t>เดือน</t>
        </is>
      </c>
      <c r="B3" s="314" t="inlineStr">
        <is>
          <t>จำนวนพนักงานที่ส่งประกันสังคม
(1)</t>
        </is>
      </c>
      <c r="C3" s="315" t="inlineStr">
        <is>
          <t>จำนวนวันทั้งหมดประจำเดือน (2)</t>
        </is>
      </c>
      <c r="D3" s="315" t="inlineStr">
        <is>
          <t>จำนวนวันหยุดราชการ
(of Year) (3)</t>
        </is>
      </c>
      <c r="E3" s="315" t="inlineStr">
        <is>
          <t>จำนวนวันหยุดประจำเดือน (of Month) (3)</t>
        </is>
      </c>
      <c r="F3" s="315" t="inlineStr">
        <is>
          <t>No. of Working days (4) ((2)-(3))</t>
        </is>
      </c>
      <c r="G3" s="316" t="inlineStr">
        <is>
          <t>Man-day (1)*(4)</t>
        </is>
      </c>
      <c r="H3" s="1417" t="n"/>
      <c r="I3" s="1417" t="n"/>
    </row>
    <row r="4" ht="21" customHeight="1">
      <c r="A4" s="1675" t="inlineStr">
        <is>
          <t>ม.ค.</t>
        </is>
      </c>
      <c r="B4" s="318" t="n">
        <v>939</v>
      </c>
      <c r="C4" s="318" t="n">
        <v>31</v>
      </c>
      <c r="D4" s="318" t="n">
        <v>2</v>
      </c>
      <c r="E4" s="318" t="n">
        <v>5</v>
      </c>
      <c r="F4" s="318">
        <f>C4-D4-E4</f>
        <v/>
      </c>
      <c r="G4" s="1676">
        <f>B4*F4</f>
        <v/>
      </c>
      <c r="H4" s="1677">
        <f>G4*0.001*$B$76*$B$78</f>
        <v/>
      </c>
      <c r="I4" s="1677">
        <f>($B$68*$B$70*$B$71)*(H4-$B$72-$B$73)</f>
        <v/>
      </c>
    </row>
    <row r="5" ht="21" customHeight="1">
      <c r="A5" s="1675" t="inlineStr">
        <is>
          <t>ก.พ.</t>
        </is>
      </c>
      <c r="B5" s="310" t="n">
        <v>928</v>
      </c>
      <c r="C5" s="310" t="n">
        <v>28</v>
      </c>
      <c r="D5" s="310" t="n">
        <v>0</v>
      </c>
      <c r="E5" s="310" t="n">
        <v>4</v>
      </c>
      <c r="F5" s="321">
        <f>C5-D5-E5</f>
        <v/>
      </c>
      <c r="G5" s="1678">
        <f>B5*F5</f>
        <v/>
      </c>
      <c r="H5" s="1670">
        <f>G5*0.001*$B$76*$B$78</f>
        <v/>
      </c>
      <c r="I5" s="1670">
        <f>($B$68*$B$70*$B$71)*(H5-$B$72-$B$73)</f>
        <v/>
      </c>
    </row>
    <row r="6" ht="21" customHeight="1">
      <c r="A6" s="1675" t="inlineStr">
        <is>
          <t>มี.ค.</t>
        </is>
      </c>
      <c r="B6" s="318" t="n">
        <v>894</v>
      </c>
      <c r="C6" s="318" t="n">
        <v>31</v>
      </c>
      <c r="D6" s="318" t="n">
        <v>0</v>
      </c>
      <c r="E6" s="318" t="n">
        <v>4</v>
      </c>
      <c r="F6" s="318">
        <f>C6-D6-E6</f>
        <v/>
      </c>
      <c r="G6" s="1676">
        <f>B6*F6</f>
        <v/>
      </c>
      <c r="H6" s="1677">
        <f>G6*0.001*$B$76*$B$78</f>
        <v/>
      </c>
      <c r="I6" s="1677">
        <f>($B$68*$B$70*$B$71)*(H6-$B$72-$B$73)</f>
        <v/>
      </c>
    </row>
    <row r="7" ht="21" customHeight="1">
      <c r="A7" s="1675" t="inlineStr">
        <is>
          <t>เม.ย.</t>
        </is>
      </c>
      <c r="B7" s="310" t="n">
        <v>853</v>
      </c>
      <c r="C7" s="310" t="n">
        <v>30</v>
      </c>
      <c r="D7" s="310" t="n">
        <v>5</v>
      </c>
      <c r="E7" s="310" t="n">
        <v>5</v>
      </c>
      <c r="F7" s="321">
        <f>C7-D7-E7</f>
        <v/>
      </c>
      <c r="G7" s="1678">
        <f>B7*F7</f>
        <v/>
      </c>
      <c r="H7" s="1670">
        <f>G7*0.001*$B$76*$B$78</f>
        <v/>
      </c>
      <c r="I7" s="1670">
        <f>($B$68*$B$70*$B$71)*(H7-$B$72-$B$73)</f>
        <v/>
      </c>
    </row>
    <row r="8" ht="21" customHeight="1">
      <c r="A8" s="1675" t="inlineStr">
        <is>
          <t>พ.ค.</t>
        </is>
      </c>
      <c r="B8" s="318" t="n">
        <v>765</v>
      </c>
      <c r="C8" s="318" t="n">
        <v>31</v>
      </c>
      <c r="D8" s="318" t="n">
        <v>1</v>
      </c>
      <c r="E8" s="318" t="n">
        <v>4</v>
      </c>
      <c r="F8" s="318">
        <f>C8-D8-E8</f>
        <v/>
      </c>
      <c r="G8" s="1676">
        <f>B8*F8</f>
        <v/>
      </c>
      <c r="H8" s="1677">
        <f>G8*0.001*$B$76*$B$78</f>
        <v/>
      </c>
      <c r="I8" s="1677">
        <f>($B$68*$B$70*$B$71)*(H8-$B$72-$B$73)</f>
        <v/>
      </c>
    </row>
    <row r="9" ht="21" customHeight="1">
      <c r="A9" s="1675" t="inlineStr">
        <is>
          <t>มิ.ย.</t>
        </is>
      </c>
      <c r="B9" s="310" t="n">
        <v>736</v>
      </c>
      <c r="C9" s="310" t="n">
        <v>30</v>
      </c>
      <c r="D9" s="310" t="n">
        <v>0</v>
      </c>
      <c r="E9" s="310" t="n">
        <v>4</v>
      </c>
      <c r="F9" s="321">
        <f>C9-D9-E9</f>
        <v/>
      </c>
      <c r="G9" s="1678">
        <f>B9*F9</f>
        <v/>
      </c>
      <c r="H9" s="1670">
        <f>G9*0.001*$B$76*$B$78</f>
        <v/>
      </c>
      <c r="I9" s="1670">
        <f>($B$68*$B$70*$B$71)*(H9-$B$72-$B$73)</f>
        <v/>
      </c>
    </row>
    <row r="10" ht="21" customHeight="1">
      <c r="A10" s="1675" t="inlineStr">
        <is>
          <t>ก.ค.</t>
        </is>
      </c>
      <c r="B10" s="318" t="n">
        <v>741</v>
      </c>
      <c r="C10" s="318" t="n">
        <v>31</v>
      </c>
      <c r="D10" s="318" t="n">
        <v>1</v>
      </c>
      <c r="E10" s="318" t="n">
        <v>5</v>
      </c>
      <c r="F10" s="318">
        <f>C10-D10-E10</f>
        <v/>
      </c>
      <c r="G10" s="1676">
        <f>B10*F10</f>
        <v/>
      </c>
      <c r="H10" s="1677">
        <f>G10*0.001*$B$76*$B$78</f>
        <v/>
      </c>
      <c r="I10" s="1677">
        <f>($B$68*$B$70*$B$71)*(H10-$B$72-$B$73)</f>
        <v/>
      </c>
    </row>
    <row r="11" ht="21" customHeight="1">
      <c r="A11" s="1675" t="inlineStr">
        <is>
          <t>ส.ค.</t>
        </is>
      </c>
      <c r="B11" s="310" t="n">
        <v>730</v>
      </c>
      <c r="C11" s="310" t="n">
        <v>31</v>
      </c>
      <c r="D11" s="310" t="n">
        <v>0</v>
      </c>
      <c r="E11" s="310" t="n">
        <v>4</v>
      </c>
      <c r="F11" s="321">
        <f>C11-D11-E11</f>
        <v/>
      </c>
      <c r="G11" s="1678">
        <f>B11*F11</f>
        <v/>
      </c>
      <c r="H11" s="1670">
        <f>G11*0.001*$B$76*$B$78</f>
        <v/>
      </c>
      <c r="I11" s="1670">
        <f>($B$68*$B$70*$B$71)*(H11-$B$72-$B$73)</f>
        <v/>
      </c>
    </row>
    <row r="12" ht="21" customHeight="1">
      <c r="A12" s="1675" t="inlineStr">
        <is>
          <t>ก.ย.</t>
        </is>
      </c>
      <c r="B12" s="318" t="n">
        <v>713</v>
      </c>
      <c r="C12" s="318" t="n">
        <v>30</v>
      </c>
      <c r="D12" s="318" t="n">
        <v>0</v>
      </c>
      <c r="E12" s="318" t="n">
        <v>4</v>
      </c>
      <c r="F12" s="318">
        <f>C12-D12-E12</f>
        <v/>
      </c>
      <c r="G12" s="1676">
        <f>B12*F12</f>
        <v/>
      </c>
      <c r="H12" s="1677">
        <f>G12*0.001*$B$76*$B$78</f>
        <v/>
      </c>
      <c r="I12" s="1677">
        <f>($B$68*$B$70*$B$71)*(H12-$B$72-$B$73)</f>
        <v/>
      </c>
    </row>
    <row r="13" ht="21" customHeight="1">
      <c r="A13" s="1675" t="inlineStr">
        <is>
          <t>ต.ค.</t>
        </is>
      </c>
      <c r="B13" s="310" t="n">
        <v>702</v>
      </c>
      <c r="C13" s="310" t="n">
        <v>31</v>
      </c>
      <c r="D13" s="310" t="n">
        <v>1</v>
      </c>
      <c r="E13" s="310" t="n">
        <v>5</v>
      </c>
      <c r="F13" s="321">
        <f>C13-D13-E13</f>
        <v/>
      </c>
      <c r="G13" s="1678">
        <f>B13*F13</f>
        <v/>
      </c>
      <c r="H13" s="1670">
        <f>G13*0.001*$B$76*$B$78</f>
        <v/>
      </c>
      <c r="I13" s="1670">
        <f>($B$68*$B$70*$B$71)*(H13-$B$72-$B$73)</f>
        <v/>
      </c>
    </row>
    <row r="14" ht="21" customHeight="1">
      <c r="A14" s="1675" t="inlineStr">
        <is>
          <t>พ.ย.</t>
        </is>
      </c>
      <c r="B14" s="318" t="n">
        <v>693</v>
      </c>
      <c r="C14" s="318" t="n">
        <v>30</v>
      </c>
      <c r="D14" s="318" t="n">
        <v>0</v>
      </c>
      <c r="E14" s="318" t="n">
        <v>4</v>
      </c>
      <c r="F14" s="318">
        <f>C14-D14-E14</f>
        <v/>
      </c>
      <c r="G14" s="1676">
        <f>B14*F14</f>
        <v/>
      </c>
      <c r="H14" s="1677">
        <f>G14*0.001*$B$76*$B$78</f>
        <v/>
      </c>
      <c r="I14" s="1677">
        <f>($B$68*$B$70*$B$71)*(H14-$B$72-$B$73)</f>
        <v/>
      </c>
    </row>
    <row r="15" ht="21" customHeight="1">
      <c r="A15" s="1675" t="inlineStr">
        <is>
          <t>ธ.ค.</t>
        </is>
      </c>
      <c r="B15" s="310" t="n">
        <v>692</v>
      </c>
      <c r="C15" s="310" t="n">
        <v>31</v>
      </c>
      <c r="D15" s="310" t="n">
        <v>3</v>
      </c>
      <c r="E15" s="310" t="n">
        <v>5</v>
      </c>
      <c r="F15" s="321">
        <f>C15-D15-E15</f>
        <v/>
      </c>
      <c r="G15" s="1678">
        <f>B15*F15</f>
        <v/>
      </c>
      <c r="H15" s="1670">
        <f>G15*0.001*$B$76*$B$78</f>
        <v/>
      </c>
      <c r="I15" s="1670">
        <f>($B$68*$B$70*$B$71)*(H15-$B$72-$B$73)</f>
        <v/>
      </c>
    </row>
    <row r="16" ht="21" customHeight="1">
      <c r="A16" s="324" t="n"/>
      <c r="B16" s="324" t="n"/>
      <c r="C16" s="324" t="n"/>
      <c r="D16" s="324" t="n"/>
      <c r="F16" s="325">
        <f>SUM(F4:F15)</f>
        <v/>
      </c>
      <c r="G16" s="1679">
        <f>SUM(G4:G15)</f>
        <v/>
      </c>
      <c r="I16" s="1680">
        <f>SUM(I4:I15)</f>
        <v/>
      </c>
    </row>
    <row r="17" ht="21" customHeight="1">
      <c r="A17" s="311" t="inlineStr">
        <is>
          <t># 2 จำนวนพนักงานสำนักงานกรุงเทพ</t>
        </is>
      </c>
    </row>
    <row r="18" ht="21" customHeight="1">
      <c r="A18" s="312" t="n"/>
      <c r="B18" s="1322" t="inlineStr">
        <is>
          <t>รูปแบบการทำงานแบบ 5 วันต่อสัปดาห์</t>
        </is>
      </c>
      <c r="C18" s="1639" t="n"/>
      <c r="D18" s="1639" t="n"/>
      <c r="E18" s="1639" t="n"/>
      <c r="F18" s="1639" t="n"/>
      <c r="G18" s="1639" t="n"/>
      <c r="H18" s="1324" t="inlineStr">
        <is>
          <t>TOW</t>
        </is>
      </c>
      <c r="I18" s="1325" t="inlineStr">
        <is>
          <t>CH4 emission จาก Septic</t>
        </is>
      </c>
    </row>
    <row r="19" ht="25.2" customHeight="1">
      <c r="A19" s="313" t="inlineStr">
        <is>
          <t>เดือน</t>
        </is>
      </c>
      <c r="B19" s="314" t="inlineStr">
        <is>
          <t>จำนวนพนักงานที่ส่งประกันสังคม
(1)</t>
        </is>
      </c>
      <c r="C19" s="315" t="inlineStr">
        <is>
          <t>จำนวนวันทั้งหมดประจำเดือน (2)</t>
        </is>
      </c>
      <c r="D19" s="315" t="inlineStr">
        <is>
          <t>จำนวนวันหยุดราชการ (of Year) (3)</t>
        </is>
      </c>
      <c r="E19" s="315" t="inlineStr">
        <is>
          <t>จำนวนวันหยุดประจำเดือน (of Month) (3)</t>
        </is>
      </c>
      <c r="F19" s="315" t="inlineStr">
        <is>
          <t>No. of Working days (4) ((2)-(3))</t>
        </is>
      </c>
      <c r="G19" s="315" t="inlineStr">
        <is>
          <t>Man-day (1)*(4)</t>
        </is>
      </c>
      <c r="H19" s="1417" t="n"/>
      <c r="I19" s="1417" t="n"/>
    </row>
    <row r="20" ht="21" customHeight="1">
      <c r="A20" s="1675" t="inlineStr">
        <is>
          <t>ม.ค.</t>
        </is>
      </c>
      <c r="B20" s="318" t="n">
        <v>29</v>
      </c>
      <c r="C20" s="318" t="n">
        <v>31</v>
      </c>
      <c r="D20" s="318" t="n">
        <v>2</v>
      </c>
      <c r="E20" s="318" t="n">
        <v>9</v>
      </c>
      <c r="F20" s="318">
        <f>C20-D20-E20</f>
        <v/>
      </c>
      <c r="G20" s="1681">
        <f>B20*F20</f>
        <v/>
      </c>
      <c r="H20" s="1677">
        <f>G20*0.001*$B$76*$B$78</f>
        <v/>
      </c>
      <c r="I20" s="1677">
        <f>($B$68*$B$70*$B$71)*(H20-$B$72-$B$73)</f>
        <v/>
      </c>
    </row>
    <row r="21" ht="21" customHeight="1">
      <c r="A21" s="1675" t="inlineStr">
        <is>
          <t>ก.พ.</t>
        </is>
      </c>
      <c r="B21" s="310" t="n">
        <v>29</v>
      </c>
      <c r="C21" s="310" t="n">
        <v>28</v>
      </c>
      <c r="D21" s="310" t="n">
        <v>0</v>
      </c>
      <c r="E21" s="310" t="n">
        <v>8</v>
      </c>
      <c r="F21" s="321">
        <f>C21-D21-E21</f>
        <v/>
      </c>
      <c r="G21" s="1682">
        <f>B21*F21</f>
        <v/>
      </c>
      <c r="H21" s="1670">
        <f>G21*0.001*$B$76*$B$78</f>
        <v/>
      </c>
      <c r="I21" s="1670">
        <f>($B$68*$B$70*$B$71)*(H21-$B$72-$B$73)</f>
        <v/>
      </c>
    </row>
    <row r="22" ht="21" customHeight="1">
      <c r="A22" s="1675" t="inlineStr">
        <is>
          <t>มี.ค.</t>
        </is>
      </c>
      <c r="B22" s="318" t="n">
        <v>28</v>
      </c>
      <c r="C22" s="318" t="n">
        <v>31</v>
      </c>
      <c r="D22" s="318" t="n">
        <v>0</v>
      </c>
      <c r="E22" s="318" t="n">
        <v>8</v>
      </c>
      <c r="F22" s="318">
        <f>C22-D22-E22</f>
        <v/>
      </c>
      <c r="G22" s="1681">
        <f>B22*F22</f>
        <v/>
      </c>
      <c r="H22" s="1677">
        <f>G22*0.001*$B$76*$B$78</f>
        <v/>
      </c>
      <c r="I22" s="1677">
        <f>($B$68*$B$70*$B$71)*(H22-$B$72-$B$73)</f>
        <v/>
      </c>
    </row>
    <row r="23" ht="21" customHeight="1">
      <c r="A23" s="1675" t="inlineStr">
        <is>
          <t>เม.ย.</t>
        </is>
      </c>
      <c r="B23" s="310" t="n">
        <v>29</v>
      </c>
      <c r="C23" s="310" t="n">
        <v>30</v>
      </c>
      <c r="D23" s="310" t="n">
        <v>4</v>
      </c>
      <c r="E23" s="310" t="n">
        <v>10</v>
      </c>
      <c r="F23" s="321">
        <f>C23-D23-E23</f>
        <v/>
      </c>
      <c r="G23" s="1682">
        <f>B23*F23</f>
        <v/>
      </c>
      <c r="H23" s="1670">
        <f>G23*0.001*$B$76*$B$78</f>
        <v/>
      </c>
      <c r="I23" s="1670">
        <f>($B$68*$B$70*$B$71)*(H23-$B$72-$B$73)</f>
        <v/>
      </c>
    </row>
    <row r="24" ht="21" customHeight="1">
      <c r="A24" s="1675" t="inlineStr">
        <is>
          <t>พ.ค.</t>
        </is>
      </c>
      <c r="B24" s="318" t="n">
        <v>29</v>
      </c>
      <c r="C24" s="318" t="n">
        <v>31</v>
      </c>
      <c r="D24" s="318" t="n">
        <v>1</v>
      </c>
      <c r="E24" s="318" t="n">
        <v>8</v>
      </c>
      <c r="F24" s="318">
        <f>C24-D24-E24</f>
        <v/>
      </c>
      <c r="G24" s="1681">
        <f>B24*F24</f>
        <v/>
      </c>
      <c r="H24" s="1677">
        <f>G24*0.001*$B$76*$B$78</f>
        <v/>
      </c>
      <c r="I24" s="1677">
        <f>($B$68*$B$70*$B$71)*(H24-$B$72-$B$73)</f>
        <v/>
      </c>
    </row>
    <row r="25" ht="21" customHeight="1">
      <c r="A25" s="1675" t="inlineStr">
        <is>
          <t>มิ.ย.</t>
        </is>
      </c>
      <c r="B25" s="310" t="n">
        <v>29</v>
      </c>
      <c r="C25" s="310" t="n">
        <v>30</v>
      </c>
      <c r="D25" s="310" t="n">
        <v>0</v>
      </c>
      <c r="E25" s="310" t="n">
        <v>8</v>
      </c>
      <c r="F25" s="321">
        <f>C25-D25-E25</f>
        <v/>
      </c>
      <c r="G25" s="1682">
        <f>B25*F25</f>
        <v/>
      </c>
      <c r="H25" s="1670">
        <f>G25*0.001*$B$76*$B$78</f>
        <v/>
      </c>
      <c r="I25" s="1670">
        <f>($B$68*$B$70*$B$71)*(H25-$B$72-$B$73)</f>
        <v/>
      </c>
    </row>
    <row r="26" ht="21" customHeight="1">
      <c r="A26" s="1675" t="inlineStr">
        <is>
          <t>ก.ค.</t>
        </is>
      </c>
      <c r="B26" s="318" t="n">
        <v>29</v>
      </c>
      <c r="C26" s="318" t="n">
        <v>31</v>
      </c>
      <c r="D26" s="318" t="n">
        <v>1</v>
      </c>
      <c r="E26" s="318" t="n">
        <v>10</v>
      </c>
      <c r="F26" s="318">
        <f>C26-D26-E26</f>
        <v/>
      </c>
      <c r="G26" s="1681">
        <f>B26*F26</f>
        <v/>
      </c>
      <c r="H26" s="1677">
        <f>G26*0.001*$B$76*$B$78</f>
        <v/>
      </c>
      <c r="I26" s="1677">
        <f>($B$68*$B$70*$B$71)*(H26-$B$72-$B$73)</f>
        <v/>
      </c>
    </row>
    <row r="27" ht="21" customHeight="1">
      <c r="A27" s="1675" t="inlineStr">
        <is>
          <t>ส.ค.</t>
        </is>
      </c>
      <c r="B27" s="310" t="n">
        <v>29</v>
      </c>
      <c r="C27" s="310" t="n">
        <v>31</v>
      </c>
      <c r="D27" s="310" t="n">
        <v>1</v>
      </c>
      <c r="E27" s="310" t="n">
        <v>8</v>
      </c>
      <c r="F27" s="321">
        <f>C27-D27-E27</f>
        <v/>
      </c>
      <c r="G27" s="1682">
        <f>B27*F27</f>
        <v/>
      </c>
      <c r="H27" s="1670">
        <f>G27*0.001*$B$76*$B$78</f>
        <v/>
      </c>
      <c r="I27" s="1670">
        <f>($B$68*$B$70*$B$71)*(H27-$B$72-$B$73)</f>
        <v/>
      </c>
    </row>
    <row r="28" ht="21" customHeight="1">
      <c r="A28" s="1675" t="inlineStr">
        <is>
          <t>ก.ย.</t>
        </is>
      </c>
      <c r="B28" s="318" t="n">
        <v>29</v>
      </c>
      <c r="C28" s="318" t="n">
        <v>30</v>
      </c>
      <c r="D28" s="318" t="n">
        <v>0</v>
      </c>
      <c r="E28" s="318" t="n">
        <v>9</v>
      </c>
      <c r="F28" s="318">
        <f>C28-D28-E28</f>
        <v/>
      </c>
      <c r="G28" s="1681">
        <f>B28*F28</f>
        <v/>
      </c>
      <c r="H28" s="1677">
        <f>G28*0.001*$B$76*$B$78</f>
        <v/>
      </c>
      <c r="I28" s="1677">
        <f>($B$68*$B$70*$B$71)*(H28-$B$72-$B$73)</f>
        <v/>
      </c>
    </row>
    <row r="29" ht="21" customHeight="1">
      <c r="A29" s="1675" t="inlineStr">
        <is>
          <t>ต.ค.</t>
        </is>
      </c>
      <c r="B29" s="310" t="n">
        <v>27</v>
      </c>
      <c r="C29" s="310" t="n">
        <v>31</v>
      </c>
      <c r="D29" s="310" t="n">
        <v>2</v>
      </c>
      <c r="E29" s="310" t="n">
        <v>9</v>
      </c>
      <c r="F29" s="321">
        <f>C29-D29-E29</f>
        <v/>
      </c>
      <c r="G29" s="1682">
        <f>B29*F29</f>
        <v/>
      </c>
      <c r="H29" s="1670">
        <f>G29*0.001*$B$76*$B$78</f>
        <v/>
      </c>
      <c r="I29" s="1670">
        <f>($B$68*$B$70*$B$71)*(H29-$B$72-$B$73)</f>
        <v/>
      </c>
    </row>
    <row r="30" ht="21" customHeight="1">
      <c r="A30" s="1675" t="inlineStr">
        <is>
          <t>พ.ย.</t>
        </is>
      </c>
      <c r="B30" s="318" t="n">
        <v>26</v>
      </c>
      <c r="C30" s="318" t="n">
        <v>30</v>
      </c>
      <c r="D30" s="318" t="n">
        <v>0</v>
      </c>
      <c r="E30" s="318" t="n">
        <v>8</v>
      </c>
      <c r="F30" s="318">
        <f>C30-D30-E30</f>
        <v/>
      </c>
      <c r="G30" s="1681">
        <f>B30*F30</f>
        <v/>
      </c>
      <c r="H30" s="1677">
        <f>G30*0.001*$B$76*$B$78</f>
        <v/>
      </c>
      <c r="I30" s="1677">
        <f>($B$68*$B$70*$B$71)*(H30-$B$72-$B$73)</f>
        <v/>
      </c>
    </row>
    <row r="31" ht="21" customHeight="1">
      <c r="A31" s="1675" t="inlineStr">
        <is>
          <t>ธ.ค.</t>
        </is>
      </c>
      <c r="B31" s="310" t="n">
        <v>26</v>
      </c>
      <c r="C31" s="310" t="n">
        <v>31</v>
      </c>
      <c r="D31" s="310" t="n">
        <v>2</v>
      </c>
      <c r="E31" s="310" t="n">
        <v>10</v>
      </c>
      <c r="F31" s="321">
        <f>C31-D31-E31</f>
        <v/>
      </c>
      <c r="G31" s="1682">
        <f>B31*F31</f>
        <v/>
      </c>
      <c r="H31" s="1670">
        <f>G31*0.001*$B$76*$B$78</f>
        <v/>
      </c>
      <c r="I31" s="1670">
        <f>($B$68*$B$70*$B$71)*(H31-$B$72-$B$73)</f>
        <v/>
      </c>
    </row>
    <row r="32" ht="21" customHeight="1">
      <c r="A32" s="324" t="n"/>
      <c r="B32" s="324" t="n"/>
      <c r="C32" s="324" t="n"/>
      <c r="D32" s="324" t="n"/>
      <c r="F32" s="325">
        <f>SUM(F20:F31)</f>
        <v/>
      </c>
      <c r="G32" s="1679">
        <f>SUM(G20:G31)</f>
        <v/>
      </c>
      <c r="I32" s="1680">
        <f>SUM(I20:I31)</f>
        <v/>
      </c>
    </row>
    <row r="33" ht="21" customHeight="1">
      <c r="A33" s="311" t="inlineStr">
        <is>
          <t># 3 จำนวน รปภ</t>
        </is>
      </c>
    </row>
    <row r="34" ht="21" customHeight="1">
      <c r="A34" s="312" t="n"/>
      <c r="B34" s="1322" t="inlineStr">
        <is>
          <t>รูปแบบการทำงานแบบ 7 วันต่อสัปดาห์</t>
        </is>
      </c>
      <c r="C34" s="1639" t="n"/>
      <c r="D34" s="1639" t="n"/>
      <c r="E34" s="1639" t="n"/>
      <c r="F34" s="1639" t="n"/>
      <c r="G34" s="1639" t="n"/>
      <c r="H34" s="1324" t="inlineStr">
        <is>
          <t>TOW</t>
        </is>
      </c>
      <c r="I34" s="1325" t="inlineStr">
        <is>
          <t>CH4 emission จาก Septic</t>
        </is>
      </c>
    </row>
    <row r="35" ht="28.8" customHeight="1">
      <c r="A35" s="313" t="inlineStr">
        <is>
          <t>เดือน</t>
        </is>
      </c>
      <c r="B35" s="314" t="inlineStr">
        <is>
          <t>จำนวน รปภ ตามสัญญาจ้าง
(1)</t>
        </is>
      </c>
      <c r="C35" s="315" t="inlineStr">
        <is>
          <t>จำนวนวันทั้งหมดประจำเดือน (2)</t>
        </is>
      </c>
      <c r="D35" s="315" t="inlineStr">
        <is>
          <t>จำนวนวันหยุดราชการ (of Year) (3)</t>
        </is>
      </c>
      <c r="E35" s="315" t="inlineStr">
        <is>
          <t>จำนวนวันหยุดประจำเดือน (of Month) (3)</t>
        </is>
      </c>
      <c r="F35" s="315" t="inlineStr">
        <is>
          <t>No. of Working days (4) ((2)-(3))</t>
        </is>
      </c>
      <c r="G35" s="315" t="inlineStr">
        <is>
          <t>Man-day (1)*(4)</t>
        </is>
      </c>
      <c r="H35" s="1417" t="n"/>
      <c r="I35" s="1417" t="n"/>
    </row>
    <row r="36" ht="21" customHeight="1">
      <c r="A36" s="1675" t="inlineStr">
        <is>
          <t>ม.ค.</t>
        </is>
      </c>
      <c r="B36" s="318">
        <f>15+3+2</f>
        <v/>
      </c>
      <c r="C36" s="318" t="n">
        <v>31</v>
      </c>
      <c r="D36" s="318" t="n">
        <v>0</v>
      </c>
      <c r="E36" s="318" t="n">
        <v>0</v>
      </c>
      <c r="F36" s="318">
        <f>C36-D36-E36</f>
        <v/>
      </c>
      <c r="G36" s="1681">
        <f>B36*F36</f>
        <v/>
      </c>
      <c r="H36" s="1677">
        <f>G36*0.001*$B$76*$B$78</f>
        <v/>
      </c>
      <c r="I36" s="1677">
        <f>($B$68*$B$70*$B$71)*(H36-$B$72-$B$73)</f>
        <v/>
      </c>
    </row>
    <row r="37" ht="21" customHeight="1">
      <c r="A37" s="1675" t="inlineStr">
        <is>
          <t>ก.พ.</t>
        </is>
      </c>
      <c r="B37" s="318">
        <f>15+3+2</f>
        <v/>
      </c>
      <c r="C37" s="310" t="n">
        <v>28</v>
      </c>
      <c r="D37" s="310" t="n">
        <v>0</v>
      </c>
      <c r="E37" s="310" t="n">
        <v>0</v>
      </c>
      <c r="F37" s="321">
        <f>C37-D37-E37</f>
        <v/>
      </c>
      <c r="G37" s="1682">
        <f>B37*F37</f>
        <v/>
      </c>
      <c r="H37" s="1670">
        <f>G37*0.001*$B$76*$B$78</f>
        <v/>
      </c>
      <c r="I37" s="1670">
        <f>($B$68*$B$70*$B$71)*(H37-$B$72-$B$73)</f>
        <v/>
      </c>
    </row>
    <row r="38" ht="21" customHeight="1">
      <c r="A38" s="1675" t="inlineStr">
        <is>
          <t>มี.ค.</t>
        </is>
      </c>
      <c r="B38" s="318">
        <f>15+3+2</f>
        <v/>
      </c>
      <c r="C38" s="318" t="n">
        <v>31</v>
      </c>
      <c r="D38" s="318" t="n">
        <v>0</v>
      </c>
      <c r="E38" s="318" t="n">
        <v>0</v>
      </c>
      <c r="F38" s="318">
        <f>C38-D38-E38</f>
        <v/>
      </c>
      <c r="G38" s="1681">
        <f>B38*F38</f>
        <v/>
      </c>
      <c r="H38" s="1677">
        <f>G38*0.001*$B$76*$B$78</f>
        <v/>
      </c>
      <c r="I38" s="1677">
        <f>($B$68*$B$70*$B$71)*(H38-$B$72-$B$73)</f>
        <v/>
      </c>
    </row>
    <row r="39" ht="21" customHeight="1">
      <c r="A39" s="1675" t="inlineStr">
        <is>
          <t>เม.ย.</t>
        </is>
      </c>
      <c r="B39" s="318">
        <f>15+3+2</f>
        <v/>
      </c>
      <c r="C39" s="310" t="n">
        <v>30</v>
      </c>
      <c r="D39" s="310" t="n">
        <v>0</v>
      </c>
      <c r="E39" s="310" t="n">
        <v>0</v>
      </c>
      <c r="F39" s="321">
        <f>C39-D39-E39</f>
        <v/>
      </c>
      <c r="G39" s="1682">
        <f>B39*F39</f>
        <v/>
      </c>
      <c r="H39" s="1670">
        <f>G39*0.001*$B$76*$B$78</f>
        <v/>
      </c>
      <c r="I39" s="1670">
        <f>($B$68*$B$70*$B$71)*(H39-$B$72-$B$73)</f>
        <v/>
      </c>
    </row>
    <row r="40" ht="21" customHeight="1">
      <c r="A40" s="1675" t="inlineStr">
        <is>
          <t>พ.ค.</t>
        </is>
      </c>
      <c r="B40" s="318">
        <f>15+3+2</f>
        <v/>
      </c>
      <c r="C40" s="318" t="n">
        <v>31</v>
      </c>
      <c r="D40" s="318" t="n">
        <v>0</v>
      </c>
      <c r="E40" s="318" t="n">
        <v>0</v>
      </c>
      <c r="F40" s="318">
        <f>C40-D40-E40</f>
        <v/>
      </c>
      <c r="G40" s="1681">
        <f>B40*F40</f>
        <v/>
      </c>
      <c r="H40" s="1677">
        <f>G40*0.001*$B$76*$B$78</f>
        <v/>
      </c>
      <c r="I40" s="1677">
        <f>($B$68*$B$70*$B$71)*(H40-$B$72-$B$73)</f>
        <v/>
      </c>
    </row>
    <row r="41" ht="21" customHeight="1">
      <c r="A41" s="1675" t="inlineStr">
        <is>
          <t>มิ.ย.</t>
        </is>
      </c>
      <c r="B41" s="318">
        <f>15+3+2</f>
        <v/>
      </c>
      <c r="C41" s="310" t="n">
        <v>30</v>
      </c>
      <c r="D41" s="310" t="n">
        <v>0</v>
      </c>
      <c r="E41" s="310" t="n">
        <v>0</v>
      </c>
      <c r="F41" s="321">
        <f>C41-D41-E41</f>
        <v/>
      </c>
      <c r="G41" s="1682">
        <f>B41*F41</f>
        <v/>
      </c>
      <c r="H41" s="1670">
        <f>G41*0.001*$B$76*$B$78</f>
        <v/>
      </c>
      <c r="I41" s="1670">
        <f>($B$68*$B$70*$B$71)*(H41-$B$72-$B$73)</f>
        <v/>
      </c>
    </row>
    <row r="42" ht="21" customHeight="1">
      <c r="A42" s="1675" t="inlineStr">
        <is>
          <t>ก.ค.</t>
        </is>
      </c>
      <c r="B42" s="318">
        <f>15+2+2</f>
        <v/>
      </c>
      <c r="C42" s="318" t="n">
        <v>31</v>
      </c>
      <c r="D42" s="318" t="n">
        <v>0</v>
      </c>
      <c r="E42" s="318" t="n">
        <v>0</v>
      </c>
      <c r="F42" s="318">
        <f>C42-D42-E42</f>
        <v/>
      </c>
      <c r="G42" s="1681">
        <f>B42*F42</f>
        <v/>
      </c>
      <c r="H42" s="1677">
        <f>G42*0.001*$B$76*$B$78</f>
        <v/>
      </c>
      <c r="I42" s="1677">
        <f>($B$68*$B$70*$B$71)*(H42-$B$72-$B$73)</f>
        <v/>
      </c>
    </row>
    <row r="43" ht="21" customHeight="1">
      <c r="A43" s="1675" t="inlineStr">
        <is>
          <t>ส.ค.</t>
        </is>
      </c>
      <c r="B43" s="318">
        <f>15+2+2</f>
        <v/>
      </c>
      <c r="C43" s="310" t="n">
        <v>31</v>
      </c>
      <c r="D43" s="310" t="n">
        <v>0</v>
      </c>
      <c r="E43" s="310" t="n">
        <v>0</v>
      </c>
      <c r="F43" s="321">
        <f>C43-D43-E43</f>
        <v/>
      </c>
      <c r="G43" s="1682">
        <f>B43*F43</f>
        <v/>
      </c>
      <c r="H43" s="1670">
        <f>G43*0.001*$B$76*$B$78</f>
        <v/>
      </c>
      <c r="I43" s="1670">
        <f>($B$68*$B$70*$B$71)*(H43-$B$72-$B$73)</f>
        <v/>
      </c>
    </row>
    <row r="44" ht="21" customHeight="1">
      <c r="A44" s="1675" t="inlineStr">
        <is>
          <t>ก.ย.</t>
        </is>
      </c>
      <c r="B44" s="318">
        <f>15+2+2</f>
        <v/>
      </c>
      <c r="C44" s="318" t="n">
        <v>30</v>
      </c>
      <c r="D44" s="318" t="n">
        <v>0</v>
      </c>
      <c r="E44" s="318" t="n">
        <v>0</v>
      </c>
      <c r="F44" s="318">
        <f>C44-D44-E44</f>
        <v/>
      </c>
      <c r="G44" s="1681">
        <f>B44*F44</f>
        <v/>
      </c>
      <c r="H44" s="1677">
        <f>G44*0.001*$B$76*$B$78</f>
        <v/>
      </c>
      <c r="I44" s="1677">
        <f>($B$68*$B$70*$B$71)*(H44-$B$72-$B$73)</f>
        <v/>
      </c>
    </row>
    <row r="45" ht="21" customHeight="1">
      <c r="A45" s="1675" t="inlineStr">
        <is>
          <t>ต.ค.</t>
        </is>
      </c>
      <c r="B45" s="318">
        <f>15+2+2</f>
        <v/>
      </c>
      <c r="C45" s="310" t="n">
        <v>31</v>
      </c>
      <c r="D45" s="310" t="n">
        <v>0</v>
      </c>
      <c r="E45" s="310" t="n">
        <v>0</v>
      </c>
      <c r="F45" s="321">
        <f>C45-D45-E45</f>
        <v/>
      </c>
      <c r="G45" s="1682">
        <f>B45*F45</f>
        <v/>
      </c>
      <c r="H45" s="1670">
        <f>G45*0.001*$B$76*$B$78</f>
        <v/>
      </c>
      <c r="I45" s="1670">
        <f>($B$68*$B$70*$B$71)*(H45-$B$72-$B$73)</f>
        <v/>
      </c>
    </row>
    <row r="46" ht="21" customHeight="1">
      <c r="A46" s="1675" t="inlineStr">
        <is>
          <t>พ.ย.</t>
        </is>
      </c>
      <c r="B46" s="318">
        <f>15+2+2</f>
        <v/>
      </c>
      <c r="C46" s="318" t="n">
        <v>30</v>
      </c>
      <c r="D46" s="318" t="n">
        <v>0</v>
      </c>
      <c r="E46" s="318" t="n">
        <v>0</v>
      </c>
      <c r="F46" s="318">
        <f>C46-D46-E46</f>
        <v/>
      </c>
      <c r="G46" s="1681">
        <f>B46*F46</f>
        <v/>
      </c>
      <c r="H46" s="1677">
        <f>G46*0.001*$B$76*$B$78</f>
        <v/>
      </c>
      <c r="I46" s="1677">
        <f>($B$68*$B$70*$B$71)*(H46-$B$72-$B$73)</f>
        <v/>
      </c>
    </row>
    <row r="47" ht="21" customHeight="1">
      <c r="A47" s="1675" t="inlineStr">
        <is>
          <t>ธ.ค.</t>
        </is>
      </c>
      <c r="B47" s="318">
        <f>15+2+2</f>
        <v/>
      </c>
      <c r="C47" s="310" t="n">
        <v>31</v>
      </c>
      <c r="D47" s="310" t="n">
        <v>0</v>
      </c>
      <c r="E47" s="310" t="n">
        <v>0</v>
      </c>
      <c r="F47" s="321">
        <f>C47-D47-E47</f>
        <v/>
      </c>
      <c r="G47" s="1682">
        <f>B47*F47</f>
        <v/>
      </c>
      <c r="H47" s="1670">
        <f>G47*0.001*$B$76*$B$78</f>
        <v/>
      </c>
      <c r="I47" s="1670">
        <f>A49=($B$68*$B$70*$B$71)*(H47-$B$72-$B$73)</f>
        <v/>
      </c>
    </row>
    <row r="48" ht="21" customHeight="1">
      <c r="A48" s="324" t="n"/>
      <c r="B48" s="324" t="n"/>
      <c r="C48" s="324" t="n"/>
      <c r="D48" s="324" t="n"/>
      <c r="F48" s="325">
        <f>SUM(F36:F47)</f>
        <v/>
      </c>
      <c r="G48" s="1679">
        <f>SUM(G36:G47)</f>
        <v/>
      </c>
      <c r="I48" s="1680">
        <f>SUM(I36:I47)</f>
        <v/>
      </c>
    </row>
    <row r="49" ht="21" customHeight="1">
      <c r="A49" s="311" t="inlineStr">
        <is>
          <t># 4 จำนวน พยาบาล</t>
        </is>
      </c>
    </row>
    <row r="50" ht="21" customHeight="1">
      <c r="A50" s="312" t="n"/>
      <c r="B50" s="1322" t="inlineStr">
        <is>
          <t>รูปแบบการทำงานแบบ 7 วันต่อสัปดาห์</t>
        </is>
      </c>
      <c r="C50" s="1639" t="n"/>
      <c r="D50" s="1639" t="n"/>
      <c r="E50" s="1639" t="n"/>
      <c r="F50" s="1639" t="n"/>
      <c r="G50" s="1639" t="n"/>
      <c r="H50" s="1324" t="inlineStr">
        <is>
          <t>TOW</t>
        </is>
      </c>
      <c r="I50" s="1325" t="inlineStr">
        <is>
          <t>CH4 emission จาก Septic</t>
        </is>
      </c>
    </row>
    <row r="51" ht="28.8" customHeight="1">
      <c r="A51" s="313" t="inlineStr">
        <is>
          <t>เดือน</t>
        </is>
      </c>
      <c r="B51" s="314" t="inlineStr">
        <is>
          <t>จำนวนพนักงานที่ส่งประกันสังคม
(1)</t>
        </is>
      </c>
      <c r="C51" s="315" t="inlineStr">
        <is>
          <t>จำนวนวันทั้งหมดประจำเดือน (2)</t>
        </is>
      </c>
      <c r="D51" s="315" t="inlineStr">
        <is>
          <t>จำนวนวันหยุดราชการ (of Year) (3)</t>
        </is>
      </c>
      <c r="E51" s="315" t="inlineStr">
        <is>
          <t>จำนวนวันหยุดประจำเดือน (of Month) (3)</t>
        </is>
      </c>
      <c r="F51" s="315" t="inlineStr">
        <is>
          <t>No. of Working days (4) ((2)-(3))</t>
        </is>
      </c>
      <c r="G51" s="315" t="inlineStr">
        <is>
          <t>Man-day (1)*(4)</t>
        </is>
      </c>
      <c r="H51" s="1417" t="n"/>
      <c r="I51" s="1417" t="n"/>
    </row>
    <row r="52" ht="21" customHeight="1">
      <c r="A52" s="1675" t="inlineStr">
        <is>
          <t>ม.ค.</t>
        </is>
      </c>
      <c r="B52" s="318" t="n">
        <v>2</v>
      </c>
      <c r="C52" s="318" t="n">
        <v>31</v>
      </c>
      <c r="D52" s="318" t="n">
        <v>0</v>
      </c>
      <c r="E52" s="318" t="n">
        <v>0</v>
      </c>
      <c r="F52" s="318">
        <f>C52-D52-E52</f>
        <v/>
      </c>
      <c r="G52" s="1681">
        <f>B52*F52</f>
        <v/>
      </c>
      <c r="H52" s="1677">
        <f>G52*0.001*$B$76*$B$78</f>
        <v/>
      </c>
      <c r="I52" s="1677">
        <f>($B$68*$B$70*$B$71)*(H52-$B$72-$B$73)</f>
        <v/>
      </c>
    </row>
    <row r="53" ht="21" customHeight="1">
      <c r="A53" s="1675" t="inlineStr">
        <is>
          <t>ก.พ.</t>
        </is>
      </c>
      <c r="B53" s="318" t="n">
        <v>2</v>
      </c>
      <c r="C53" s="310" t="n">
        <v>28</v>
      </c>
      <c r="D53" s="310" t="n">
        <v>0</v>
      </c>
      <c r="E53" s="310" t="n">
        <v>0</v>
      </c>
      <c r="F53" s="321">
        <f>C53-D53-E53</f>
        <v/>
      </c>
      <c r="G53" s="1682">
        <f>B53*F53</f>
        <v/>
      </c>
      <c r="H53" s="1670">
        <f>G53*0.001*$B$76*$B$78</f>
        <v/>
      </c>
      <c r="I53" s="1670">
        <f>($B$68*$B$70*$B$71)*(H53-$B$72-$B$73)</f>
        <v/>
      </c>
    </row>
    <row r="54" ht="21" customHeight="1">
      <c r="A54" s="1675" t="inlineStr">
        <is>
          <t>มี.ค.</t>
        </is>
      </c>
      <c r="B54" s="318" t="n">
        <v>2</v>
      </c>
      <c r="C54" s="318" t="n">
        <v>31</v>
      </c>
      <c r="D54" s="318" t="n">
        <v>0</v>
      </c>
      <c r="E54" s="318" t="n">
        <v>0</v>
      </c>
      <c r="F54" s="318">
        <f>C54-D54-E54</f>
        <v/>
      </c>
      <c r="G54" s="1681">
        <f>B54*F54</f>
        <v/>
      </c>
      <c r="H54" s="1677">
        <f>G54*0.001*$B$76*$B$78</f>
        <v/>
      </c>
      <c r="I54" s="1677">
        <f>($B$68*$B$70*$B$71)*(H54-$B$72-$B$73)</f>
        <v/>
      </c>
    </row>
    <row r="55" ht="21" customHeight="1">
      <c r="A55" s="1675" t="inlineStr">
        <is>
          <t>เม.ย.</t>
        </is>
      </c>
      <c r="B55" s="318" t="n">
        <v>2</v>
      </c>
      <c r="C55" s="310" t="n">
        <v>30</v>
      </c>
      <c r="D55" s="310" t="n">
        <v>0</v>
      </c>
      <c r="E55" s="310" t="n">
        <v>0</v>
      </c>
      <c r="F55" s="321">
        <f>C55-D55-E55</f>
        <v/>
      </c>
      <c r="G55" s="1682">
        <f>B55*F55</f>
        <v/>
      </c>
      <c r="H55" s="1670">
        <f>G55*0.001*$B$76*$B$78</f>
        <v/>
      </c>
      <c r="I55" s="1670">
        <f>($B$68*$B$70*$B$71)*(H55-$B$72-$B$73)</f>
        <v/>
      </c>
    </row>
    <row r="56" ht="21" customHeight="1">
      <c r="A56" s="1675" t="inlineStr">
        <is>
          <t>พ.ค.</t>
        </is>
      </c>
      <c r="B56" s="318" t="n">
        <v>2</v>
      </c>
      <c r="C56" s="318" t="n">
        <v>31</v>
      </c>
      <c r="D56" s="318" t="n">
        <v>0</v>
      </c>
      <c r="E56" s="318" t="n">
        <v>0</v>
      </c>
      <c r="F56" s="318">
        <f>C56-D56-E56</f>
        <v/>
      </c>
      <c r="G56" s="1681">
        <f>B56*F56</f>
        <v/>
      </c>
      <c r="H56" s="1677">
        <f>G56*0.001*$B$76*$B$78</f>
        <v/>
      </c>
      <c r="I56" s="1677">
        <f>($B$68*$B$70*$B$71)*(H56-$B$72-$B$73)</f>
        <v/>
      </c>
    </row>
    <row r="57" ht="21" customHeight="1">
      <c r="A57" s="1675" t="inlineStr">
        <is>
          <t>มิ.ย.</t>
        </is>
      </c>
      <c r="B57" s="318" t="n">
        <v>2</v>
      </c>
      <c r="C57" s="310" t="n">
        <v>30</v>
      </c>
      <c r="D57" s="310" t="n">
        <v>0</v>
      </c>
      <c r="E57" s="310" t="n">
        <v>0</v>
      </c>
      <c r="F57" s="321">
        <f>C57-D57-E57</f>
        <v/>
      </c>
      <c r="G57" s="1682">
        <f>B57*F57</f>
        <v/>
      </c>
      <c r="H57" s="1670">
        <f>G57*0.001*$B$76*$B$78</f>
        <v/>
      </c>
      <c r="I57" s="1670">
        <f>($B$68*$B$70*$B$71)*(H57-$B$72-$B$73)</f>
        <v/>
      </c>
    </row>
    <row r="58" ht="21" customHeight="1">
      <c r="A58" s="1675" t="inlineStr">
        <is>
          <t>ก.ค.</t>
        </is>
      </c>
      <c r="B58" s="318" t="n">
        <v>2</v>
      </c>
      <c r="C58" s="318" t="n">
        <v>31</v>
      </c>
      <c r="D58" s="318" t="n">
        <v>0</v>
      </c>
      <c r="E58" s="318" t="n">
        <v>0</v>
      </c>
      <c r="F58" s="318">
        <f>C58-D58-E58</f>
        <v/>
      </c>
      <c r="G58" s="1681">
        <f>B58*F58</f>
        <v/>
      </c>
      <c r="H58" s="1677">
        <f>G58*0.001*$B$76*$B$78</f>
        <v/>
      </c>
      <c r="I58" s="1677">
        <f>($B$68*$B$70*$B$71)*(H58-$B$72-$B$73)</f>
        <v/>
      </c>
    </row>
    <row r="59" ht="21" customHeight="1">
      <c r="A59" s="1675" t="inlineStr">
        <is>
          <t>ส.ค.</t>
        </is>
      </c>
      <c r="B59" s="318" t="n">
        <v>2</v>
      </c>
      <c r="C59" s="310" t="n">
        <v>31</v>
      </c>
      <c r="D59" s="310" t="n">
        <v>0</v>
      </c>
      <c r="E59" s="310" t="n">
        <v>0</v>
      </c>
      <c r="F59" s="321">
        <f>C59-D59-E59</f>
        <v/>
      </c>
      <c r="G59" s="1682">
        <f>B59*F59</f>
        <v/>
      </c>
      <c r="H59" s="1670">
        <f>G59*0.001*$B$76*$B$78</f>
        <v/>
      </c>
      <c r="I59" s="1670">
        <f>($B$68*$B$70*$B$71)*(H59-$B$72-$B$73)</f>
        <v/>
      </c>
    </row>
    <row r="60" ht="21" customHeight="1">
      <c r="A60" s="1675" t="inlineStr">
        <is>
          <t>ก.ย.</t>
        </is>
      </c>
      <c r="B60" s="318" t="n">
        <v>2</v>
      </c>
      <c r="C60" s="318" t="n">
        <v>30</v>
      </c>
      <c r="D60" s="318" t="n">
        <v>0</v>
      </c>
      <c r="E60" s="318" t="n">
        <v>0</v>
      </c>
      <c r="F60" s="318">
        <f>C60-D60-E60</f>
        <v/>
      </c>
      <c r="G60" s="1681">
        <f>B60*F60</f>
        <v/>
      </c>
      <c r="H60" s="1677">
        <f>G60*0.001*$B$76*$B$78</f>
        <v/>
      </c>
      <c r="I60" s="1677">
        <f>($B$68*$B$70*$B$71)*(H60-$B$72-$B$73)</f>
        <v/>
      </c>
    </row>
    <row r="61" ht="21" customHeight="1">
      <c r="A61" s="1675" t="inlineStr">
        <is>
          <t>ต.ค.</t>
        </is>
      </c>
      <c r="B61" s="318" t="n">
        <v>2</v>
      </c>
      <c r="C61" s="310" t="n">
        <v>31</v>
      </c>
      <c r="D61" s="310" t="n">
        <v>0</v>
      </c>
      <c r="E61" s="310" t="n">
        <v>0</v>
      </c>
      <c r="F61" s="321">
        <f>C61-D61-E61</f>
        <v/>
      </c>
      <c r="G61" s="1682">
        <f>B61*F61</f>
        <v/>
      </c>
      <c r="H61" s="1670">
        <f>G61*0.001*$B$76*$B$78</f>
        <v/>
      </c>
      <c r="I61" s="1670">
        <f>($B$68*$B$70*$B$71)*(H61-$B$72-$B$73)</f>
        <v/>
      </c>
    </row>
    <row r="62" ht="21" customHeight="1">
      <c r="A62" s="1675" t="inlineStr">
        <is>
          <t>พ.ย.</t>
        </is>
      </c>
      <c r="B62" s="318" t="n">
        <v>2</v>
      </c>
      <c r="C62" s="318" t="n">
        <v>30</v>
      </c>
      <c r="D62" s="318" t="n">
        <v>0</v>
      </c>
      <c r="E62" s="318" t="n">
        <v>0</v>
      </c>
      <c r="F62" s="318">
        <f>C62-D62-E62</f>
        <v/>
      </c>
      <c r="G62" s="1681">
        <f>B62*F62</f>
        <v/>
      </c>
      <c r="H62" s="1677">
        <f>G62*0.001*$B$76*$B$78</f>
        <v/>
      </c>
      <c r="I62" s="1677">
        <f>($B$68*$B$70*$B$71)*(H62-$B$72-$B$73)</f>
        <v/>
      </c>
    </row>
    <row r="63" ht="21" customHeight="1">
      <c r="A63" s="1675" t="inlineStr">
        <is>
          <t>ธ.ค.</t>
        </is>
      </c>
      <c r="B63" s="318" t="n">
        <v>2</v>
      </c>
      <c r="C63" s="310" t="n">
        <v>31</v>
      </c>
      <c r="D63" s="310" t="n">
        <v>0</v>
      </c>
      <c r="E63" s="310" t="n">
        <v>0</v>
      </c>
      <c r="F63" s="321">
        <f>C63-D63-E63</f>
        <v/>
      </c>
      <c r="G63" s="1682">
        <f>B63*F63</f>
        <v/>
      </c>
      <c r="H63" s="1670">
        <f>G63*0.001*$B$76*$B$78</f>
        <v/>
      </c>
      <c r="I63" s="1670">
        <f>($B$68*$B$70*$B$71)*(H63-$B$72-$B$73)</f>
        <v/>
      </c>
    </row>
    <row r="64" ht="21" customHeight="1">
      <c r="A64" s="324" t="n"/>
      <c r="B64" s="324" t="n"/>
      <c r="C64" s="324" t="n"/>
      <c r="D64" s="324" t="n"/>
      <c r="F64" s="325">
        <f>SUM(F52:F63)</f>
        <v/>
      </c>
      <c r="G64" s="1679">
        <f>SUM(G52:G63)</f>
        <v/>
      </c>
      <c r="I64" s="1680">
        <f>SUM(I52:I63)</f>
        <v/>
      </c>
    </row>
    <row r="65" ht="21" customHeight="1"/>
    <row r="66" ht="21" customHeight="1">
      <c r="A66" s="330" t="inlineStr">
        <is>
          <t>Ref. IPCC2006 Volume5 Chapter 6</t>
        </is>
      </c>
      <c r="B66" s="331" t="n"/>
      <c r="C66" s="331" t="n"/>
      <c r="D66" s="332" t="n"/>
      <c r="E66" s="332" t="n"/>
      <c r="F66" s="333" t="n"/>
    </row>
    <row r="67" ht="21" customHeight="1">
      <c r="A67" s="334" t="inlineStr">
        <is>
          <t>CH4 Emission</t>
        </is>
      </c>
      <c r="B67" s="1683">
        <f>(B70*B71*B68)*(B69-B72)-B73</f>
        <v/>
      </c>
      <c r="C67" s="1684" t="inlineStr">
        <is>
          <t>Eq 6.1 in unit kg CH4/yr</t>
        </is>
      </c>
      <c r="D67" s="1415" t="n"/>
      <c r="E67" s="1415" t="n"/>
      <c r="F67" s="1416" t="n"/>
    </row>
    <row r="68" ht="21" customHeight="1">
      <c r="A68" s="334" t="inlineStr">
        <is>
          <t>EF j</t>
        </is>
      </c>
      <c r="B68" s="1683">
        <f>B74*B75</f>
        <v/>
      </c>
      <c r="C68" s="1684" t="inlineStr">
        <is>
          <t>Eq 6.2</t>
        </is>
      </c>
      <c r="D68" s="1415" t="n"/>
      <c r="E68" s="1415" t="n"/>
      <c r="F68" s="1416" t="n"/>
    </row>
    <row r="69" ht="21" customHeight="1">
      <c r="A69" s="334" t="inlineStr">
        <is>
          <t>TOW</t>
        </is>
      </c>
      <c r="B69" s="1685">
        <f>B77*B76*0.001*B78*365</f>
        <v/>
      </c>
      <c r="C69" s="1684" t="inlineStr">
        <is>
          <t>Eq 6.3 (kg BOD/yr)</t>
        </is>
      </c>
      <c r="D69" s="1415" t="n"/>
      <c r="E69" s="1415" t="n"/>
      <c r="F69" s="1416" t="n"/>
    </row>
    <row r="70" ht="21" customHeight="1">
      <c r="A70" s="340" t="inlineStr">
        <is>
          <t>Ui</t>
        </is>
      </c>
      <c r="B70" s="340" t="n">
        <v>1</v>
      </c>
      <c r="C70" s="1684" t="inlineStr">
        <is>
          <t>Table6.5 Assume all people stay in urban high</t>
        </is>
      </c>
      <c r="D70" s="1415" t="n"/>
      <c r="E70" s="1415" t="n"/>
      <c r="F70" s="1416" t="n"/>
    </row>
    <row r="71" ht="21" customHeight="1">
      <c r="A71" s="334" t="inlineStr">
        <is>
          <t>Tij</t>
        </is>
      </c>
      <c r="B71" s="334" t="n">
        <v>1</v>
      </c>
      <c r="C71" s="1684" t="inlineStr">
        <is>
          <t>Table6.5 Assume all people stay in urban high</t>
        </is>
      </c>
      <c r="D71" s="1415" t="n"/>
      <c r="E71" s="1415" t="n"/>
      <c r="F71" s="1416" t="n"/>
    </row>
    <row r="72" ht="21" customHeight="1">
      <c r="A72" s="334" t="inlineStr">
        <is>
          <t>S</t>
        </is>
      </c>
      <c r="B72" s="334" t="n">
        <v>0</v>
      </c>
      <c r="C72" s="1326" t="n"/>
      <c r="D72" s="1327" t="n"/>
      <c r="E72" s="1327" t="n"/>
      <c r="F72" s="1328" t="n"/>
    </row>
    <row r="73" ht="21" customHeight="1">
      <c r="A73" s="334" t="inlineStr">
        <is>
          <t>R</t>
        </is>
      </c>
      <c r="B73" s="334" t="n">
        <v>0</v>
      </c>
      <c r="C73" s="1326" t="n"/>
      <c r="D73" s="1327" t="n"/>
      <c r="E73" s="1327" t="n"/>
      <c r="F73" s="1328" t="n"/>
    </row>
    <row r="74" ht="21" customHeight="1">
      <c r="A74" s="334" t="inlineStr">
        <is>
          <t>B0</t>
        </is>
      </c>
      <c r="B74" s="334" t="n">
        <v>0.6</v>
      </c>
      <c r="C74" s="1684" t="inlineStr">
        <is>
          <t>Table 6.2 in unit kg CH4/kg BOD</t>
        </is>
      </c>
      <c r="D74" s="1415" t="n"/>
      <c r="E74" s="1415" t="n"/>
      <c r="F74" s="1416" t="n"/>
    </row>
    <row r="75" ht="21" customHeight="1">
      <c r="A75" s="334" t="inlineStr">
        <is>
          <t>MCF</t>
        </is>
      </c>
      <c r="B75" s="334" t="n">
        <v>0.5</v>
      </c>
      <c r="C75" s="1684" t="inlineStr">
        <is>
          <t>Table 6.3 septic system</t>
        </is>
      </c>
      <c r="D75" s="1415" t="n"/>
      <c r="E75" s="1415" t="n"/>
      <c r="F75" s="1416" t="n"/>
    </row>
    <row r="76" ht="21" customHeight="1">
      <c r="A76" s="334" t="inlineStr">
        <is>
          <t>BOD</t>
        </is>
      </c>
      <c r="B76" s="334" t="n">
        <v>40</v>
      </c>
      <c r="C76" s="1684" t="inlineStr">
        <is>
          <t>Table 6.4 Asia in unit g/person/day</t>
        </is>
      </c>
      <c r="D76" s="1415" t="n"/>
      <c r="E76" s="1415" t="n"/>
      <c r="F76" s="1416" t="n"/>
    </row>
    <row r="77" ht="21" customHeight="1">
      <c r="A77" s="334" t="inlineStr">
        <is>
          <t>P</t>
        </is>
      </c>
      <c r="B77" s="341" t="n"/>
      <c r="C77" s="1326" t="inlineStr">
        <is>
          <t>people</t>
        </is>
      </c>
      <c r="D77" s="1327" t="n"/>
      <c r="E77" s="1327" t="n"/>
      <c r="F77" s="1328" t="n"/>
    </row>
    <row r="78" ht="21" customHeight="1">
      <c r="A78" s="334" t="inlineStr">
        <is>
          <t>I</t>
        </is>
      </c>
      <c r="B78" s="334" t="n">
        <v>1</v>
      </c>
      <c r="C78" s="1684" t="inlineStr">
        <is>
          <t>for uncollected the default</t>
        </is>
      </c>
      <c r="D78" s="1415" t="n"/>
      <c r="E78" s="1415" t="n"/>
      <c r="F78" s="1416" t="n"/>
    </row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</sheetData>
  <mergeCells count="21">
    <mergeCell ref="B2:G2"/>
    <mergeCell ref="C70:F70"/>
    <mergeCell ref="H50:H51"/>
    <mergeCell ref="C67:F67"/>
    <mergeCell ref="H34:H35"/>
    <mergeCell ref="H2:H3"/>
    <mergeCell ref="B34:G34"/>
    <mergeCell ref="C78:F78"/>
    <mergeCell ref="I18:I19"/>
    <mergeCell ref="C69:F69"/>
    <mergeCell ref="C68:F68"/>
    <mergeCell ref="C74:F74"/>
    <mergeCell ref="B50:G50"/>
    <mergeCell ref="I34:I35"/>
    <mergeCell ref="H18:H19"/>
    <mergeCell ref="I50:I51"/>
    <mergeCell ref="C75:F75"/>
    <mergeCell ref="B18:G18"/>
    <mergeCell ref="C71:F71"/>
    <mergeCell ref="I2:I3"/>
    <mergeCell ref="C76:F76"/>
  </mergeCell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R5"/>
  <sheetViews>
    <sheetView workbookViewId="0">
      <selection activeCell="R6" sqref="R6"/>
    </sheetView>
  </sheetViews>
  <sheetFormatPr baseColWidth="8" defaultColWidth="14.3984375" defaultRowHeight="19.8" customHeight="1"/>
  <cols>
    <col width="32.3984375" customWidth="1" style="228" min="1" max="1"/>
    <col width="12.3984375" customWidth="1" style="228" min="2" max="2"/>
    <col width="8.796875" customWidth="1" style="228" min="3" max="16"/>
    <col width="17.796875" customWidth="1" style="228" min="17" max="17"/>
    <col width="8.796875" customWidth="1" style="228" min="18" max="27"/>
    <col width="14.3984375" customWidth="1" style="228" min="28" max="16384"/>
  </cols>
  <sheetData>
    <row r="1" ht="14.4" customHeight="1">
      <c r="A1" s="261" t="inlineStr">
        <is>
          <t>รายการ</t>
        </is>
      </c>
      <c r="B1" s="261" t="inlineStr">
        <is>
          <t>หลักฐาน</t>
        </is>
      </c>
      <c r="C1" s="261" t="inlineStr">
        <is>
          <t xml:space="preserve">หน่วย </t>
        </is>
      </c>
      <c r="D1" s="261" t="inlineStr">
        <is>
          <t>รวม</t>
        </is>
      </c>
      <c r="E1" s="1296" t="inlineStr">
        <is>
          <t>ปริมาณการใช้แต่ละเดือน/2566</t>
        </is>
      </c>
      <c r="F1" s="1639" t="n"/>
      <c r="G1" s="1639" t="n"/>
      <c r="H1" s="1639" t="n"/>
      <c r="I1" s="1639" t="n"/>
      <c r="J1" s="1639" t="n"/>
      <c r="K1" s="1639" t="n"/>
      <c r="L1" s="1639" t="n"/>
      <c r="M1" s="1639" t="n"/>
      <c r="N1" s="1639" t="n"/>
      <c r="O1" s="1639" t="n"/>
      <c r="P1" s="1639" t="n"/>
      <c r="Q1" s="1329" t="inlineStr">
        <is>
          <t>EF ปุ๋ยเคมี 16-16-16</t>
        </is>
      </c>
    </row>
    <row r="2" ht="13.2" customHeight="1">
      <c r="A2" s="1641" t="n"/>
      <c r="B2" s="1641" t="n"/>
      <c r="C2" s="1641" t="n"/>
      <c r="D2" s="1641" t="n"/>
      <c r="E2" s="261" t="n">
        <v>1</v>
      </c>
      <c r="F2" s="261" t="n">
        <v>2</v>
      </c>
      <c r="G2" s="261" t="n">
        <v>3</v>
      </c>
      <c r="H2" s="261" t="n">
        <v>4</v>
      </c>
      <c r="I2" s="261" t="n">
        <v>5</v>
      </c>
      <c r="J2" s="261" t="n">
        <v>6</v>
      </c>
      <c r="K2" s="261" t="n">
        <v>7</v>
      </c>
      <c r="L2" s="261" t="n">
        <v>8</v>
      </c>
      <c r="M2" s="261" t="n">
        <v>9</v>
      </c>
      <c r="N2" s="261" t="n">
        <v>10</v>
      </c>
      <c r="O2" s="261" t="n">
        <v>11</v>
      </c>
      <c r="P2" s="1296" t="n">
        <v>12</v>
      </c>
      <c r="Q2" s="1417" t="n"/>
    </row>
    <row r="3" ht="16.8" customHeight="1">
      <c r="A3" s="342" t="inlineStr">
        <is>
          <t>ปุ๋ยเคมี 16-16-16</t>
        </is>
      </c>
      <c r="B3" s="343" t="inlineStr">
        <is>
          <t>บิลเงินสด</t>
        </is>
      </c>
      <c r="C3" s="343" t="inlineStr">
        <is>
          <t>Kg</t>
        </is>
      </c>
      <c r="D3" s="1686">
        <f>SUM(E3:P3)</f>
        <v/>
      </c>
      <c r="E3" s="1646" t="n">
        <v>50</v>
      </c>
      <c r="F3" s="1646" t="n">
        <v>0</v>
      </c>
      <c r="G3" s="1646" t="n">
        <v>0</v>
      </c>
      <c r="H3" s="1646" t="n">
        <v>0</v>
      </c>
      <c r="I3" s="1646" t="n">
        <v>0</v>
      </c>
      <c r="J3" s="1646" t="n">
        <v>0</v>
      </c>
      <c r="K3" s="1646" t="n">
        <v>0</v>
      </c>
      <c r="L3" s="1646" t="n">
        <v>0</v>
      </c>
      <c r="M3" s="1646" t="n">
        <v>0</v>
      </c>
      <c r="N3" s="1646" t="n">
        <v>0</v>
      </c>
      <c r="O3" s="1646" t="n">
        <v>0</v>
      </c>
      <c r="P3" s="1687" t="n">
        <v>0</v>
      </c>
      <c r="Q3" s="550" t="n">
        <v>0.0025</v>
      </c>
      <c r="R3" s="228" t="inlineStr">
        <is>
          <t>kg N2O</t>
        </is>
      </c>
    </row>
    <row r="4" ht="19.8" customHeight="1">
      <c r="Q4" s="860" t="n">
        <v>0.8596</v>
      </c>
      <c r="R4" s="228" t="inlineStr">
        <is>
          <t>Kg CO2</t>
        </is>
      </c>
    </row>
    <row r="5" ht="13.2" customHeight="1">
      <c r="A5" s="228" t="inlineStr">
        <is>
          <t xml:space="preserve">หมายเหตุ: ขอชนิด/ประเภทปุ๋ย เช่น ปุ๋ยเคมี สูตร 16-16-16, ปุ๋ยคอก </t>
        </is>
      </c>
    </row>
  </sheetData>
  <mergeCells count="6">
    <mergeCell ref="E1:P1"/>
    <mergeCell ref="C1:C2"/>
    <mergeCell ref="B1:B2"/>
    <mergeCell ref="D1:D2"/>
    <mergeCell ref="A1:A2"/>
    <mergeCell ref="Q1:Q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R16"/>
  <sheetViews>
    <sheetView zoomScaleNormal="100" workbookViewId="0">
      <selection activeCell="H20" sqref="H20"/>
    </sheetView>
  </sheetViews>
  <sheetFormatPr baseColWidth="8" defaultColWidth="8.8984375" defaultRowHeight="13.8"/>
  <cols>
    <col width="22.59765625" customWidth="1" style="225" min="1" max="1"/>
    <col width="14.19921875" customWidth="1" style="225" min="2" max="2"/>
    <col width="19.69921875" customWidth="1" style="225" min="3" max="3"/>
    <col width="14.19921875" customWidth="1" style="225" min="4" max="4"/>
    <col width="10.296875" bestFit="1" customWidth="1" style="225" min="5" max="16"/>
    <col width="9.09765625" bestFit="1" customWidth="1" style="225" min="17" max="17"/>
    <col width="9" bestFit="1" customWidth="1" style="225" min="18" max="18"/>
    <col width="8.8984375" customWidth="1" style="225" min="19" max="16384"/>
  </cols>
  <sheetData>
    <row r="1" ht="25.8" customHeight="1">
      <c r="A1" s="560" t="inlineStr">
        <is>
          <t>ระบบบำบัดน้ำเสีย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28" t="n"/>
      <c r="P1" s="228" t="n"/>
      <c r="Q1" s="228" t="n"/>
      <c r="R1" s="228" t="n"/>
    </row>
    <row r="2">
      <c r="A2" s="1288" t="inlineStr">
        <is>
          <t>รายการ</t>
        </is>
      </c>
      <c r="B2" s="1672" t="inlineStr">
        <is>
          <t>ระบบ WWTP</t>
        </is>
      </c>
      <c r="C2" s="1288" t="inlineStr">
        <is>
          <t>หลักฐาน</t>
        </is>
      </c>
      <c r="D2" s="1288" t="inlineStr">
        <is>
          <t xml:space="preserve">หน่วย </t>
        </is>
      </c>
      <c r="E2" s="1672" t="inlineStr">
        <is>
          <t>มาตรฐาน (mg/L)</t>
        </is>
      </c>
      <c r="F2" s="1288" t="inlineStr">
        <is>
          <t>ปริมาณการใช้แต่ละเดือน/2566</t>
        </is>
      </c>
      <c r="G2" s="1415" t="n"/>
      <c r="H2" s="1415" t="n"/>
      <c r="I2" s="1415" t="n"/>
      <c r="J2" s="1415" t="n"/>
      <c r="K2" s="1415" t="n"/>
      <c r="L2" s="1415" t="n"/>
      <c r="M2" s="1415" t="n"/>
      <c r="N2" s="1415" t="n"/>
      <c r="O2" s="1415" t="n"/>
      <c r="P2" s="1415" t="n"/>
      <c r="Q2" s="1416" t="n"/>
    </row>
    <row r="3">
      <c r="A3" s="1417" t="n"/>
      <c r="B3" s="1417" t="n"/>
      <c r="C3" s="1417" t="n"/>
      <c r="D3" s="1417" t="n"/>
      <c r="E3" s="1417" t="n"/>
      <c r="F3" s="1288" t="n">
        <v>1</v>
      </c>
      <c r="G3" s="1288" t="n">
        <v>2</v>
      </c>
      <c r="H3" s="1288" t="n">
        <v>3</v>
      </c>
      <c r="I3" s="1288" t="n">
        <v>4</v>
      </c>
      <c r="J3" s="1288" t="n">
        <v>5</v>
      </c>
      <c r="K3" s="1288" t="n">
        <v>6</v>
      </c>
      <c r="L3" s="1288" t="n">
        <v>7</v>
      </c>
      <c r="M3" s="1288" t="n">
        <v>8</v>
      </c>
      <c r="N3" s="1288" t="n">
        <v>9</v>
      </c>
      <c r="O3" s="1288" t="n">
        <v>10</v>
      </c>
      <c r="P3" s="1288" t="n">
        <v>11</v>
      </c>
      <c r="Q3" s="1288" t="n">
        <v>12</v>
      </c>
    </row>
    <row r="4">
      <c r="A4" s="561" t="inlineStr">
        <is>
          <t>BOD  (น้ำออก)  MBAX 1</t>
        </is>
      </c>
      <c r="B4" s="559" t="inlineStr">
        <is>
          <t>ระบบเติมอากาศ</t>
        </is>
      </c>
      <c r="C4" s="559" t="inlineStr">
        <is>
          <t>ผลตรวจวิเคราะห์น้ำ</t>
        </is>
      </c>
      <c r="D4" s="559" t="inlineStr">
        <is>
          <t>mg/l</t>
        </is>
      </c>
      <c r="E4" s="559" t="n">
        <v>500</v>
      </c>
      <c r="F4" s="1688" t="n">
        <v>124</v>
      </c>
      <c r="G4" s="1688" t="n">
        <v>95</v>
      </c>
      <c r="H4" s="1688" t="n">
        <v>120</v>
      </c>
      <c r="I4" s="1688" t="n">
        <v>38</v>
      </c>
      <c r="J4" s="1688" t="n">
        <v>65</v>
      </c>
      <c r="K4" s="1688" t="n">
        <v>84</v>
      </c>
      <c r="L4" s="1688" t="n">
        <v>72</v>
      </c>
      <c r="M4" s="1688" t="n">
        <v>56</v>
      </c>
      <c r="N4" s="1688" t="n">
        <v>88</v>
      </c>
      <c r="O4" s="1688" t="n">
        <v>47</v>
      </c>
      <c r="P4" s="1688" t="n">
        <v>136</v>
      </c>
      <c r="Q4" s="1688" t="n">
        <v>137</v>
      </c>
    </row>
    <row r="5">
      <c r="A5" s="561" t="inlineStr">
        <is>
          <t>BOD  (น้ำออก)  MBAX 3</t>
        </is>
      </c>
      <c r="B5" s="559" t="inlineStr">
        <is>
          <t>ระบบเติมอากาศ</t>
        </is>
      </c>
      <c r="C5" s="559" t="inlineStr">
        <is>
          <t>ผลตรวจวิเคราะห์น้ำ</t>
        </is>
      </c>
      <c r="D5" s="559" t="inlineStr">
        <is>
          <t>mg/l</t>
        </is>
      </c>
      <c r="E5" s="559" t="n">
        <v>500</v>
      </c>
      <c r="F5" s="1688" t="n">
        <v>90</v>
      </c>
      <c r="G5" s="1688" t="n">
        <v>60</v>
      </c>
      <c r="H5" s="1688" t="n">
        <v>84</v>
      </c>
      <c r="I5" s="1688" t="n">
        <v>111</v>
      </c>
      <c r="J5" s="1688" t="n">
        <v>78</v>
      </c>
      <c r="K5" s="1688" t="n">
        <v>64</v>
      </c>
      <c r="L5" s="1688" t="n">
        <v>49</v>
      </c>
      <c r="M5" s="1688" t="n">
        <v>47</v>
      </c>
      <c r="N5" s="1688" t="n">
        <v>62</v>
      </c>
      <c r="O5" s="1688" t="n">
        <v>110</v>
      </c>
      <c r="P5" s="1688" t="n">
        <v>45</v>
      </c>
      <c r="Q5" s="1688" t="n">
        <v>80</v>
      </c>
    </row>
    <row r="6">
      <c r="A6" s="561" t="inlineStr">
        <is>
          <t>BOD  (น้ำออก)  MBAX 5</t>
        </is>
      </c>
      <c r="B6" s="559" t="inlineStr">
        <is>
          <t>ระบบเติมอากาศ</t>
        </is>
      </c>
      <c r="C6" s="559" t="inlineStr">
        <is>
          <t>ผลตรวจวิเคราะห์น้ำ</t>
        </is>
      </c>
      <c r="D6" s="559" t="inlineStr">
        <is>
          <t>mg/l</t>
        </is>
      </c>
      <c r="E6" s="559" t="n">
        <v>500</v>
      </c>
      <c r="F6" s="1688" t="n">
        <v>90</v>
      </c>
      <c r="G6" s="1688" t="n">
        <v>70</v>
      </c>
      <c r="H6" s="1688" t="n">
        <v>43</v>
      </c>
      <c r="I6" s="1688" t="n">
        <v>69</v>
      </c>
      <c r="J6" s="1688" t="n">
        <v>66</v>
      </c>
      <c r="K6" s="1688" t="n">
        <v>77</v>
      </c>
      <c r="L6" s="1688" t="n">
        <v>65</v>
      </c>
      <c r="M6" s="1688" t="n">
        <v>67</v>
      </c>
      <c r="N6" s="1688" t="n">
        <v>83</v>
      </c>
      <c r="O6" s="1688" t="n">
        <v>124</v>
      </c>
      <c r="P6" s="1688" t="n">
        <v>75</v>
      </c>
      <c r="Q6" s="1688" t="n">
        <v>65</v>
      </c>
    </row>
    <row r="7">
      <c r="A7" s="563" t="inlineStr">
        <is>
          <t>COD  (น้ำออก) MBAX 1</t>
        </is>
      </c>
      <c r="B7" s="1397" t="inlineStr">
        <is>
          <t>ระบบเติมอากาศ</t>
        </is>
      </c>
      <c r="C7" s="1397" t="inlineStr">
        <is>
          <t>ผลตรวจวิเคราะห์น้ำ</t>
        </is>
      </c>
      <c r="D7" s="1397" t="inlineStr">
        <is>
          <t>mg/l</t>
        </is>
      </c>
      <c r="E7" s="564" t="n">
        <v>750</v>
      </c>
      <c r="F7" s="565" t="n">
        <v>236</v>
      </c>
      <c r="G7" s="565" t="n">
        <v>294</v>
      </c>
      <c r="H7" s="565" t="n">
        <v>298</v>
      </c>
      <c r="I7" s="565" t="n">
        <v>148</v>
      </c>
      <c r="J7" s="565" t="n">
        <v>155</v>
      </c>
      <c r="K7" s="565" t="n">
        <v>214</v>
      </c>
      <c r="L7" s="565" t="n">
        <v>252</v>
      </c>
      <c r="M7" s="565" t="n">
        <v>203</v>
      </c>
      <c r="N7" s="565" t="n">
        <v>222</v>
      </c>
      <c r="O7" s="565" t="n">
        <v>205</v>
      </c>
      <c r="P7" s="565" t="n">
        <v>365</v>
      </c>
      <c r="Q7" s="565" t="n">
        <v>321</v>
      </c>
    </row>
    <row r="8">
      <c r="A8" s="563" t="inlineStr">
        <is>
          <t>COD  (น้ำออก) MBAX 3</t>
        </is>
      </c>
      <c r="B8" s="1397" t="inlineStr">
        <is>
          <t>ระบบเติมอากาศ</t>
        </is>
      </c>
      <c r="C8" s="1397" t="inlineStr">
        <is>
          <t>ผลตรวจวิเคราะห์น้ำ</t>
        </is>
      </c>
      <c r="D8" s="1397" t="inlineStr">
        <is>
          <t>mg/l</t>
        </is>
      </c>
      <c r="E8" s="564" t="n">
        <v>750</v>
      </c>
      <c r="F8" s="565" t="n">
        <v>172</v>
      </c>
      <c r="G8" s="565" t="n">
        <v>123</v>
      </c>
      <c r="H8" s="565" t="n">
        <v>137</v>
      </c>
      <c r="I8" s="565" t="n">
        <v>266</v>
      </c>
      <c r="J8" s="565" t="n">
        <v>219</v>
      </c>
      <c r="K8" s="565" t="n">
        <v>179</v>
      </c>
      <c r="L8" s="565" t="n">
        <v>172</v>
      </c>
      <c r="M8" s="565" t="n">
        <v>140</v>
      </c>
      <c r="N8" s="565" t="n">
        <v>191</v>
      </c>
      <c r="O8" s="565" t="n">
        <v>263</v>
      </c>
      <c r="P8" s="565" t="n">
        <v>124</v>
      </c>
      <c r="Q8" s="565" t="n">
        <v>177</v>
      </c>
    </row>
    <row r="9">
      <c r="A9" s="563" t="inlineStr">
        <is>
          <t>COD  (น้ำออก) MBAX 5</t>
        </is>
      </c>
      <c r="B9" s="1397" t="inlineStr">
        <is>
          <t>ระบบเติมอากาศ</t>
        </is>
      </c>
      <c r="C9" s="1397" t="inlineStr">
        <is>
          <t>ผลตรวจวิเคราะห์น้ำ</t>
        </is>
      </c>
      <c r="D9" s="1397" t="inlineStr">
        <is>
          <t>mg/l</t>
        </is>
      </c>
      <c r="E9" s="564" t="n">
        <v>750</v>
      </c>
      <c r="F9" s="565" t="n">
        <v>176</v>
      </c>
      <c r="G9" s="565" t="n">
        <v>186</v>
      </c>
      <c r="H9" s="565" t="n">
        <v>145</v>
      </c>
      <c r="I9" s="565" t="n">
        <v>179</v>
      </c>
      <c r="J9" s="565" t="n">
        <v>179</v>
      </c>
      <c r="K9" s="565" t="n">
        <v>221</v>
      </c>
      <c r="L9" s="565" t="n">
        <v>514</v>
      </c>
      <c r="M9" s="565" t="n">
        <v>182</v>
      </c>
      <c r="N9" s="565" t="n">
        <v>198</v>
      </c>
      <c r="O9" s="565" t="n">
        <v>204</v>
      </c>
      <c r="P9" s="565" t="n">
        <v>235</v>
      </c>
      <c r="Q9" s="565" t="n">
        <v>190</v>
      </c>
    </row>
    <row r="12">
      <c r="A12" s="566" t="inlineStr">
        <is>
          <t>ตำแหน่งที่ตั้งของมิเตอร์</t>
        </is>
      </c>
      <c r="B12" s="566" t="inlineStr">
        <is>
          <t>หลักฐาน</t>
        </is>
      </c>
      <c r="C12" s="567" t="inlineStr">
        <is>
          <t xml:space="preserve">หน่วย </t>
        </is>
      </c>
      <c r="D12" s="567" t="inlineStr">
        <is>
          <t>รวม</t>
        </is>
      </c>
      <c r="E12" s="568" t="n">
        <v>243254</v>
      </c>
      <c r="F12" s="568" t="n">
        <v>243285</v>
      </c>
      <c r="G12" s="568" t="n">
        <v>243313</v>
      </c>
      <c r="H12" s="568" t="n">
        <v>243344</v>
      </c>
      <c r="I12" s="568" t="n">
        <v>243374</v>
      </c>
      <c r="J12" s="568" t="n">
        <v>243405</v>
      </c>
      <c r="K12" s="568" t="n">
        <v>243435</v>
      </c>
      <c r="L12" s="568" t="n">
        <v>243466</v>
      </c>
      <c r="M12" s="568" t="n">
        <v>243497</v>
      </c>
      <c r="N12" s="568" t="n">
        <v>243527</v>
      </c>
      <c r="O12" s="568" t="n">
        <v>243558</v>
      </c>
      <c r="P12" s="568" t="n">
        <v>243588</v>
      </c>
    </row>
    <row r="13" ht="16.2" customHeight="1">
      <c r="A13" s="569" t="inlineStr">
        <is>
          <t>โรงงาน1,2</t>
        </is>
      </c>
      <c r="B13" s="570" t="inlineStr">
        <is>
          <t>ใบแจ้งหนี้</t>
        </is>
      </c>
      <c r="C13" s="571" t="inlineStr">
        <is>
          <t>m3</t>
        </is>
      </c>
      <c r="D13" s="1689">
        <f>SUM(E13:P13)</f>
        <v/>
      </c>
      <c r="E13" s="1690" t="n">
        <v>1024.8</v>
      </c>
      <c r="F13" s="1690" t="n">
        <v>1576</v>
      </c>
      <c r="G13" s="1690" t="n">
        <v>1497.6</v>
      </c>
      <c r="H13" s="1690" t="n">
        <v>980</v>
      </c>
      <c r="I13" s="1690" t="n">
        <v>1624.8</v>
      </c>
      <c r="J13" s="1690" t="n">
        <v>1507.2</v>
      </c>
      <c r="K13" s="1690" t="n">
        <v>1276</v>
      </c>
      <c r="L13" s="1690" t="n">
        <v>2502.4</v>
      </c>
      <c r="M13" s="1690" t="n">
        <v>1448</v>
      </c>
      <c r="N13" s="1690" t="n">
        <v>1199.2</v>
      </c>
      <c r="O13" s="1690" t="n">
        <v>1987.2</v>
      </c>
      <c r="P13" s="1690" t="n">
        <v>819.2</v>
      </c>
    </row>
    <row r="14" ht="16.2" customHeight="1">
      <c r="A14" s="569" t="inlineStr">
        <is>
          <t>โรงงาน 5</t>
        </is>
      </c>
      <c r="B14" s="570" t="inlineStr">
        <is>
          <t>ใบแจ้งหนี้</t>
        </is>
      </c>
      <c r="C14" s="571" t="inlineStr">
        <is>
          <t>m3</t>
        </is>
      </c>
      <c r="D14" s="1689">
        <f>SUM(E14:P14)</f>
        <v/>
      </c>
      <c r="E14" s="1690" t="n">
        <v>1320</v>
      </c>
      <c r="F14" s="1690" t="n">
        <v>1068</v>
      </c>
      <c r="G14" s="1690" t="n">
        <v>1194.4</v>
      </c>
      <c r="H14" s="1690" t="n">
        <v>1145.6</v>
      </c>
      <c r="I14" s="1690" t="n">
        <v>1396</v>
      </c>
      <c r="J14" s="1690" t="n">
        <v>1412.8</v>
      </c>
      <c r="K14" s="1690" t="n">
        <v>1315.2</v>
      </c>
      <c r="L14" s="1690" t="n">
        <v>1326.4</v>
      </c>
      <c r="M14" s="1690" t="n">
        <v>405.6</v>
      </c>
      <c r="N14" s="1690" t="n">
        <v>354.4</v>
      </c>
      <c r="O14" s="1690" t="n">
        <v>504.8</v>
      </c>
      <c r="P14" s="1690" t="n">
        <v>1292.8</v>
      </c>
    </row>
    <row r="15" ht="16.2" customHeight="1">
      <c r="A15" s="569" t="inlineStr">
        <is>
          <t>โรงงาน 3</t>
        </is>
      </c>
      <c r="B15" s="570" t="inlineStr">
        <is>
          <t>ใบแจ้งหนี้</t>
        </is>
      </c>
      <c r="C15" s="571" t="inlineStr">
        <is>
          <t>m3</t>
        </is>
      </c>
      <c r="D15" s="1689">
        <f>SUM(E15:P15)</f>
        <v/>
      </c>
      <c r="E15" s="1690" t="n">
        <v>987.2</v>
      </c>
      <c r="F15" s="1690" t="n">
        <v>710.4</v>
      </c>
      <c r="G15" s="1690" t="n">
        <v>740</v>
      </c>
      <c r="H15" s="1690" t="n">
        <v>633.6</v>
      </c>
      <c r="I15" s="1690" t="n">
        <v>1067.2</v>
      </c>
      <c r="J15" s="1690" t="n">
        <v>816</v>
      </c>
      <c r="K15" s="1690" t="n">
        <v>702.4</v>
      </c>
      <c r="L15" s="1690" t="n">
        <v>706.4</v>
      </c>
      <c r="M15" s="1690" t="n">
        <v>616</v>
      </c>
      <c r="N15" s="1690" t="n">
        <v>608.8</v>
      </c>
      <c r="O15" s="1690" t="n">
        <v>652.8</v>
      </c>
      <c r="P15" s="1690" t="n">
        <v>715.2</v>
      </c>
    </row>
    <row r="16" ht="16.2" customHeight="1">
      <c r="A16" s="569" t="inlineStr">
        <is>
          <t>โรงงาน 4</t>
        </is>
      </c>
      <c r="B16" s="570" t="inlineStr">
        <is>
          <t>ใบแจ้งหนี้</t>
        </is>
      </c>
      <c r="C16" s="571" t="inlineStr">
        <is>
          <t>m3</t>
        </is>
      </c>
      <c r="D16" s="1689">
        <f>SUM(E16:P16)</f>
        <v/>
      </c>
      <c r="E16" s="1690" t="n">
        <v>508.8</v>
      </c>
      <c r="F16" s="1690" t="n">
        <v>455.2</v>
      </c>
      <c r="G16" s="1690" t="n">
        <v>484.8</v>
      </c>
      <c r="H16" s="1690" t="n">
        <v>290.4</v>
      </c>
      <c r="I16" s="1690" t="n">
        <v>309.6</v>
      </c>
      <c r="J16" s="1690" t="n">
        <v>384</v>
      </c>
      <c r="K16" s="1690" t="n">
        <v>389.6</v>
      </c>
      <c r="L16" s="1690" t="n">
        <v>468</v>
      </c>
      <c r="M16" s="1690" t="n">
        <v>405.6</v>
      </c>
      <c r="N16" s="1690" t="n">
        <v>354.4</v>
      </c>
      <c r="O16" s="1690" t="n">
        <v>504.8</v>
      </c>
      <c r="P16" s="1690" t="n">
        <v>464</v>
      </c>
    </row>
  </sheetData>
  <mergeCells count="6">
    <mergeCell ref="C2:C3"/>
    <mergeCell ref="A2:A3"/>
    <mergeCell ref="B2:B3"/>
    <mergeCell ref="D2:D3"/>
    <mergeCell ref="F2:Q2"/>
    <mergeCell ref="E2:E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00B0F0"/>
    <outlinePr summaryBelow="1" summaryRight="1"/>
    <pageSetUpPr/>
  </sheetPr>
  <dimension ref="A1:R22"/>
  <sheetViews>
    <sheetView workbookViewId="0">
      <selection activeCell="C19" sqref="C19"/>
    </sheetView>
  </sheetViews>
  <sheetFormatPr baseColWidth="8" defaultColWidth="14.3984375" defaultRowHeight="15" customHeight="1"/>
  <cols>
    <col width="32.3984375" customWidth="1" style="228" min="1" max="1"/>
    <col width="25.69921875" customWidth="1" style="228" min="2" max="2"/>
    <col width="23.796875" customWidth="1" style="228" min="3" max="3"/>
    <col width="8.796875" customWidth="1" style="228" min="4" max="4"/>
    <col width="18" customWidth="1" style="228" min="5" max="5"/>
    <col width="12.59765625" customWidth="1" style="228" min="6" max="17"/>
    <col width="8.796875" customWidth="1" style="228" min="18" max="26"/>
    <col width="14.3984375" customWidth="1" style="228" min="27" max="16384"/>
  </cols>
  <sheetData>
    <row r="1" ht="21" customHeight="1">
      <c r="A1" s="261" t="inlineStr">
        <is>
          <t xml:space="preserve">เลขมิเตอร์/เลขผู้ใช้ </t>
        </is>
      </c>
      <c r="B1" s="1691" t="inlineStr">
        <is>
          <t>แหล่งไฟฟ้า</t>
        </is>
      </c>
      <c r="C1" s="261" t="inlineStr">
        <is>
          <t>หลักฐาน</t>
        </is>
      </c>
      <c r="D1" s="261" t="inlineStr">
        <is>
          <t xml:space="preserve">หน่วย </t>
        </is>
      </c>
      <c r="E1" s="261" t="inlineStr">
        <is>
          <t>รวม</t>
        </is>
      </c>
      <c r="F1" s="261" t="inlineStr">
        <is>
          <t>ปริมาณการใช้แต่ละเดือน/2566 (กิโลวัตต์-ชั่วโมง)</t>
        </is>
      </c>
      <c r="G1" s="1639" t="n"/>
      <c r="H1" s="1639" t="n"/>
      <c r="I1" s="1639" t="n"/>
      <c r="J1" s="1639" t="n"/>
      <c r="K1" s="1639" t="n"/>
      <c r="L1" s="1639" t="n"/>
      <c r="M1" s="1639" t="n"/>
      <c r="N1" s="1639" t="n"/>
      <c r="O1" s="1639" t="n"/>
      <c r="P1" s="1639" t="n"/>
      <c r="Q1" s="1640" t="n"/>
    </row>
    <row r="2" ht="21" customHeight="1">
      <c r="A2" s="1641" t="n"/>
      <c r="B2" s="1641" t="n"/>
      <c r="C2" s="1641" t="n"/>
      <c r="D2" s="1641" t="n"/>
      <c r="E2" s="1641" t="n"/>
      <c r="F2" s="261" t="n">
        <v>1</v>
      </c>
      <c r="G2" s="261" t="n">
        <v>2</v>
      </c>
      <c r="H2" s="261" t="n">
        <v>3</v>
      </c>
      <c r="I2" s="261" t="n">
        <v>4</v>
      </c>
      <c r="J2" s="261" t="n">
        <v>5</v>
      </c>
      <c r="K2" s="261" t="n">
        <v>6</v>
      </c>
      <c r="L2" s="261" t="n">
        <v>7</v>
      </c>
      <c r="M2" s="261" t="n">
        <v>8</v>
      </c>
      <c r="N2" s="261" t="n">
        <v>9</v>
      </c>
      <c r="O2" s="261" t="n">
        <v>10</v>
      </c>
      <c r="P2" s="261" t="n">
        <v>11</v>
      </c>
      <c r="Q2" s="261" t="n">
        <v>12</v>
      </c>
    </row>
    <row r="3" ht="21" customHeight="1">
      <c r="A3" s="345" t="inlineStr">
        <is>
          <t>การใช้ไฟฟ้า โรงงาน (1-3) (B. Grimm)</t>
        </is>
      </c>
      <c r="B3" s="346" t="n"/>
      <c r="C3" s="263" t="inlineStr">
        <is>
          <t>ใบแจ้งหนี้</t>
        </is>
      </c>
      <c r="D3" s="347" t="inlineStr">
        <is>
          <t>Kwh</t>
        </is>
      </c>
      <c r="E3" s="1692">
        <f>SUM(E4:E6)</f>
        <v/>
      </c>
      <c r="F3" s="307" t="n"/>
      <c r="G3" s="307" t="n"/>
      <c r="H3" s="307" t="n"/>
      <c r="I3" s="307" t="n"/>
      <c r="J3" s="307" t="n"/>
      <c r="K3" s="307" t="n"/>
      <c r="L3" s="307" t="n"/>
      <c r="M3" s="307" t="n"/>
      <c r="N3" s="307" t="n"/>
      <c r="O3" s="307" t="n"/>
      <c r="P3" s="307" t="n"/>
      <c r="Q3" s="307" t="n"/>
    </row>
    <row r="4" ht="17.4" customHeight="1">
      <c r="A4" s="349" t="inlineStr">
        <is>
          <t>โรงงาน 1 : MULTIBAX 1  (38486420)</t>
        </is>
      </c>
      <c r="B4" s="350" t="inlineStr">
        <is>
          <t>B.GRIMM Power (Leam Chabang) 2 Ltd.</t>
        </is>
      </c>
      <c r="C4" s="308" t="inlineStr">
        <is>
          <t>ใบแจ้งหนี้</t>
        </is>
      </c>
      <c r="D4" s="351" t="inlineStr">
        <is>
          <t>Kwh</t>
        </is>
      </c>
      <c r="E4" s="1693">
        <f>SUM(F4:Q4)</f>
        <v/>
      </c>
      <c r="F4" s="1694" t="n">
        <v>396689</v>
      </c>
      <c r="G4" s="1694" t="n">
        <v>421188</v>
      </c>
      <c r="H4" s="1694" t="n">
        <v>375540</v>
      </c>
      <c r="I4" s="1694" t="n">
        <v>179888</v>
      </c>
      <c r="J4" s="1694" t="n">
        <v>337638</v>
      </c>
      <c r="K4" s="1694" t="n">
        <v>391507</v>
      </c>
      <c r="L4" s="1694" t="n">
        <v>297730</v>
      </c>
      <c r="M4" s="1694" t="n">
        <v>339396</v>
      </c>
      <c r="N4" s="1694" t="n">
        <v>617131</v>
      </c>
      <c r="O4" s="1694" t="n">
        <v>364367</v>
      </c>
      <c r="P4" s="1694" t="n">
        <v>374402</v>
      </c>
      <c r="Q4" s="1694" t="n">
        <v>352458</v>
      </c>
      <c r="R4" s="1695" t="n"/>
    </row>
    <row r="5" ht="17.4" customHeight="1">
      <c r="A5" s="349" t="inlineStr">
        <is>
          <t>โรงงาน 2 : MULTIBAX 2  (38486421)</t>
        </is>
      </c>
      <c r="B5" s="350" t="inlineStr">
        <is>
          <t>B.GRIMM Power (Leam Chabang) 2 Ltd.</t>
        </is>
      </c>
      <c r="C5" s="308" t="inlineStr">
        <is>
          <t>ใบแจ้งหนี้</t>
        </is>
      </c>
      <c r="D5" s="351" t="inlineStr">
        <is>
          <t>Kwh</t>
        </is>
      </c>
      <c r="E5" s="1693">
        <f>SUM(F5:Q5)</f>
        <v/>
      </c>
      <c r="F5" s="1694" t="n">
        <v>192523</v>
      </c>
      <c r="G5" s="1694" t="n">
        <v>172985</v>
      </c>
      <c r="H5" s="1694" t="n">
        <v>261500</v>
      </c>
      <c r="I5" s="1694" t="n">
        <v>161156</v>
      </c>
      <c r="J5" s="1694" t="n">
        <v>342525</v>
      </c>
      <c r="K5" s="1694" t="n">
        <v>312308</v>
      </c>
      <c r="L5" s="1694" t="n">
        <v>289479</v>
      </c>
      <c r="M5" s="1694" t="n">
        <v>289238</v>
      </c>
      <c r="N5" s="1694" t="n">
        <v>353855</v>
      </c>
      <c r="O5" s="1694" t="n">
        <v>289241</v>
      </c>
      <c r="P5" s="1694" t="n">
        <v>324452</v>
      </c>
      <c r="Q5" s="1694" t="n">
        <v>279907</v>
      </c>
      <c r="R5" s="1695" t="n"/>
    </row>
    <row r="6" ht="17.4" customHeight="1">
      <c r="A6" s="349" t="inlineStr">
        <is>
          <t>โรงงาน 3 : MULTIBAX 3  (38486422)</t>
        </is>
      </c>
      <c r="B6" s="350" t="inlineStr">
        <is>
          <t>B.GRIMM Power (Leam Chabang) 2 Ltd.</t>
        </is>
      </c>
      <c r="C6" s="308" t="inlineStr">
        <is>
          <t>ใบแจ้งหนี้</t>
        </is>
      </c>
      <c r="D6" s="351" t="inlineStr">
        <is>
          <t>Kwh</t>
        </is>
      </c>
      <c r="E6" s="1693">
        <f>SUM(F6:Q6)</f>
        <v/>
      </c>
      <c r="F6" s="1694" t="n">
        <v>268656</v>
      </c>
      <c r="G6" s="1694" t="n">
        <v>244025</v>
      </c>
      <c r="H6" s="1694" t="n">
        <v>282428</v>
      </c>
      <c r="I6" s="1694" t="n">
        <v>126483</v>
      </c>
      <c r="J6" s="1694" t="n">
        <v>305790</v>
      </c>
      <c r="K6" s="1694" t="n">
        <v>328801</v>
      </c>
      <c r="L6" s="1694" t="n">
        <v>298659</v>
      </c>
      <c r="M6" s="1694" t="n">
        <v>336884</v>
      </c>
      <c r="N6" s="1694" t="n">
        <v>287843</v>
      </c>
      <c r="O6" s="1694" t="n">
        <v>289617</v>
      </c>
      <c r="P6" s="1694" t="n">
        <v>337676</v>
      </c>
      <c r="Q6" s="1694" t="n">
        <v>291818</v>
      </c>
      <c r="R6" s="1695" t="n"/>
    </row>
    <row r="7" ht="21" customHeight="1">
      <c r="A7" s="345" t="inlineStr">
        <is>
          <t>การใช้ไฟฟ้า โรงงาน (4-5) (PEA)</t>
        </is>
      </c>
      <c r="B7" s="355" t="n"/>
      <c r="C7" s="263" t="inlineStr">
        <is>
          <t>หนังสือแจ้งค่าไฟฟ้า</t>
        </is>
      </c>
      <c r="D7" s="347" t="inlineStr">
        <is>
          <t>Kwh</t>
        </is>
      </c>
      <c r="E7" s="1696">
        <f>SUM(E9:E10)</f>
        <v/>
      </c>
      <c r="F7" s="1694" t="n"/>
      <c r="G7" s="1694" t="n"/>
      <c r="H7" s="1694" t="n"/>
      <c r="I7" s="1694" t="n"/>
      <c r="J7" s="1694" t="n"/>
      <c r="K7" s="1694" t="n"/>
      <c r="L7" s="1694" t="n"/>
      <c r="M7" s="1694" t="n"/>
      <c r="N7" s="1694" t="n"/>
      <c r="O7" s="1694" t="n"/>
      <c r="P7" s="1694" t="n"/>
      <c r="Q7" s="1694" t="n"/>
      <c r="R7" s="1695" t="n"/>
    </row>
    <row r="8" ht="21" customHeight="1">
      <c r="A8" s="551" t="inlineStr">
        <is>
          <t>การใช้ไฟฟ้า โรงงาน 5   (Solar cell)</t>
        </is>
      </c>
      <c r="B8" s="552" t="n"/>
      <c r="C8" s="553" t="inlineStr">
        <is>
          <t>SMA Solar Application</t>
        </is>
      </c>
      <c r="D8" s="554" t="inlineStr">
        <is>
          <t>Kwh</t>
        </is>
      </c>
      <c r="E8" s="1697">
        <f>SUM(E11)</f>
        <v/>
      </c>
      <c r="F8" s="1694" t="n"/>
      <c r="G8" s="1694" t="n"/>
      <c r="H8" s="1694" t="n"/>
      <c r="I8" s="1694" t="n"/>
      <c r="J8" s="1694" t="n"/>
      <c r="K8" s="1694" t="n"/>
      <c r="L8" s="1694" t="n"/>
      <c r="M8" s="1694" t="n"/>
      <c r="N8" s="1694" t="n"/>
      <c r="O8" s="1694" t="n"/>
      <c r="P8" s="1694" t="n"/>
      <c r="Q8" s="1694" t="n"/>
      <c r="R8" s="1695" t="n"/>
    </row>
    <row r="9" ht="16.2" customHeight="1">
      <c r="A9" s="349" t="inlineStr">
        <is>
          <t>โรงงาน 4 : 9846-020001853230</t>
        </is>
      </c>
      <c r="B9" s="357" t="inlineStr">
        <is>
          <t>PEA</t>
        </is>
      </c>
      <c r="C9" s="308" t="inlineStr">
        <is>
          <t>หนังสือแจ้งค่าไฟฟ้า</t>
        </is>
      </c>
      <c r="D9" s="351" t="inlineStr">
        <is>
          <t>Kwh</t>
        </is>
      </c>
      <c r="E9" s="1693">
        <f>SUM(F9:Q9)</f>
        <v/>
      </c>
      <c r="F9" s="1694" t="n">
        <v>20921.42</v>
      </c>
      <c r="G9" s="1694" t="n">
        <v>29234.83</v>
      </c>
      <c r="H9" s="1694" t="n">
        <v>25502.45</v>
      </c>
      <c r="I9" s="1694" t="n">
        <v>24535.5</v>
      </c>
      <c r="J9" s="1694" t="n">
        <v>28390.27</v>
      </c>
      <c r="K9" s="1694" t="n">
        <v>29581.62</v>
      </c>
      <c r="L9" s="1694" t="n">
        <v>31775.05</v>
      </c>
      <c r="M9" s="1694" t="n">
        <v>33963.55</v>
      </c>
      <c r="N9" s="1694" t="n">
        <v>26443.29</v>
      </c>
      <c r="O9" s="1694" t="n">
        <v>24275.18</v>
      </c>
      <c r="P9" s="1694" t="n">
        <v>28506.96</v>
      </c>
      <c r="Q9" s="1694" t="n">
        <v>27514.71</v>
      </c>
      <c r="R9" s="1695" t="n"/>
    </row>
    <row r="10" ht="16.2" customHeight="1">
      <c r="A10" s="349" t="inlineStr">
        <is>
          <t>โรงงาน 5 : 9808-020002601835</t>
        </is>
      </c>
      <c r="B10" s="357" t="inlineStr">
        <is>
          <t>PEA</t>
        </is>
      </c>
      <c r="C10" s="308" t="inlineStr">
        <is>
          <t>หนังสือแจ้งค่าไฟฟ้า</t>
        </is>
      </c>
      <c r="D10" s="351" t="inlineStr">
        <is>
          <t>Kwh</t>
        </is>
      </c>
      <c r="E10" s="1693">
        <f>SUM(F10:Q10)</f>
        <v/>
      </c>
      <c r="F10" s="1694" t="n">
        <v>121592</v>
      </c>
      <c r="G10" s="1694" t="n">
        <v>88168</v>
      </c>
      <c r="H10" s="1694" t="n">
        <v>95592</v>
      </c>
      <c r="I10" s="1694" t="n">
        <v>79488</v>
      </c>
      <c r="J10" s="1694" t="n">
        <v>130208</v>
      </c>
      <c r="K10" s="1694" t="n">
        <v>118536</v>
      </c>
      <c r="L10" s="1694" t="n">
        <v>134056</v>
      </c>
      <c r="M10" s="1694" t="n">
        <v>113136</v>
      </c>
      <c r="N10" s="1694" t="n">
        <v>66472</v>
      </c>
      <c r="O10" s="1694" t="n">
        <v>165256</v>
      </c>
      <c r="P10" s="1694" t="n">
        <v>145344</v>
      </c>
      <c r="Q10" s="1694" t="n">
        <v>100624</v>
      </c>
      <c r="R10" s="1695" t="n"/>
    </row>
    <row r="11" ht="16.2" customHeight="1">
      <c r="A11" s="349" t="inlineStr">
        <is>
          <t>โรงงาน 5 : Solar Rooftop F5 (265.4 KWP)</t>
        </is>
      </c>
      <c r="B11" s="358" t="inlineStr">
        <is>
          <t>MULTIBAX Own's Solar Rooftop</t>
        </is>
      </c>
      <c r="C11" s="308" t="inlineStr">
        <is>
          <t>SMA Solar Application</t>
        </is>
      </c>
      <c r="D11" s="351" t="inlineStr">
        <is>
          <t>Kwh</t>
        </is>
      </c>
      <c r="E11" s="1693">
        <f>SUM(F11:Q11)</f>
        <v/>
      </c>
      <c r="F11" s="1698" t="n">
        <v>23780</v>
      </c>
      <c r="G11" s="1698" t="n">
        <v>28380</v>
      </c>
      <c r="H11" s="1698" t="n">
        <v>35420</v>
      </c>
      <c r="I11" s="1698" t="n">
        <v>22240</v>
      </c>
      <c r="J11" s="1698" t="n">
        <v>34750</v>
      </c>
      <c r="K11" s="1698" t="n">
        <v>33020</v>
      </c>
      <c r="L11" s="1698" t="n">
        <v>29460</v>
      </c>
      <c r="M11" s="1694" t="n">
        <v>36580</v>
      </c>
      <c r="N11" s="1694" t="n">
        <v>26350</v>
      </c>
      <c r="O11" s="1694" t="n">
        <v>25790</v>
      </c>
      <c r="P11" s="1694" t="n">
        <v>28550</v>
      </c>
      <c r="Q11" s="1694" t="n">
        <v>23180</v>
      </c>
      <c r="R11" s="1695" t="n"/>
    </row>
    <row r="12" ht="21" customHeight="1">
      <c r="A12" s="262" t="inlineStr">
        <is>
          <t>การใช้ไฟฟ้า โกดังเช่า (PEA)</t>
        </is>
      </c>
      <c r="B12" s="343" t="n"/>
      <c r="C12" s="263" t="inlineStr">
        <is>
          <t>หนังสือแจ้งค่าไฟฟ้า</t>
        </is>
      </c>
      <c r="D12" s="347" t="inlineStr">
        <is>
          <t>Kwh</t>
        </is>
      </c>
      <c r="E12" s="1696">
        <f>SUM(E13:E14)</f>
        <v/>
      </c>
      <c r="F12" s="1698" t="n"/>
      <c r="G12" s="1698" t="n"/>
      <c r="H12" s="1698" t="n"/>
      <c r="I12" s="1698" t="n"/>
      <c r="J12" s="1698" t="n"/>
      <c r="K12" s="1698" t="n"/>
      <c r="L12" s="1698" t="n"/>
      <c r="M12" s="1694" t="n"/>
      <c r="N12" s="1694" t="n"/>
      <c r="O12" s="1694" t="n"/>
      <c r="P12" s="1694" t="n"/>
      <c r="Q12" s="1694" t="n"/>
      <c r="R12" s="1695" t="n"/>
    </row>
    <row r="13" ht="18.6" customHeight="1">
      <c r="A13" s="349" t="inlineStr">
        <is>
          <t>โกดังเช่า (เขตประกอบการเสรี 1) : 9030-020024581960</t>
        </is>
      </c>
      <c r="B13" s="357" t="inlineStr">
        <is>
          <t>PEA</t>
        </is>
      </c>
      <c r="C13" s="308" t="inlineStr">
        <is>
          <t>หนังสือแจ้งค่าไฟฟ้า</t>
        </is>
      </c>
      <c r="D13" s="351" t="inlineStr">
        <is>
          <t>Kwh</t>
        </is>
      </c>
      <c r="E13" s="1693">
        <f>SUM(F13:Q13)</f>
        <v/>
      </c>
      <c r="F13" s="1694" t="n">
        <v>172.8</v>
      </c>
      <c r="G13" s="1694" t="n">
        <v>175.2</v>
      </c>
      <c r="H13" s="1694" t="n">
        <v>210.4</v>
      </c>
      <c r="I13" s="1694" t="n">
        <v>194.4</v>
      </c>
      <c r="J13" s="1694" t="n">
        <v>212.8</v>
      </c>
      <c r="K13" s="1694" t="n">
        <v>192</v>
      </c>
      <c r="L13" s="1694" t="n">
        <v>12</v>
      </c>
      <c r="M13" s="1699" t="n"/>
      <c r="N13" s="1699" t="n"/>
      <c r="O13" s="1699" t="n"/>
      <c r="P13" s="1699" t="n"/>
      <c r="Q13" s="1699" t="n"/>
      <c r="R13" s="1695" t="n"/>
    </row>
    <row r="14" ht="18.6" customHeight="1">
      <c r="A14" s="349" t="inlineStr">
        <is>
          <t>โกดังเช่า (เขตประกอบการเสรี 2) : 9811-020026798136</t>
        </is>
      </c>
      <c r="B14" s="357" t="inlineStr">
        <is>
          <t>PEA</t>
        </is>
      </c>
      <c r="C14" s="308" t="inlineStr">
        <is>
          <t>หนังสือแจ้งค่าไฟฟ้า</t>
        </is>
      </c>
      <c r="D14" s="351" t="inlineStr">
        <is>
          <t>Kwh</t>
        </is>
      </c>
      <c r="E14" s="1693">
        <f>SUM(F14:Q14)</f>
        <v/>
      </c>
      <c r="F14" s="1699" t="n"/>
      <c r="G14" s="1699" t="n"/>
      <c r="H14" s="1699" t="n"/>
      <c r="I14" s="1699" t="n"/>
      <c r="J14" s="1699" t="n"/>
      <c r="K14" s="1699" t="n"/>
      <c r="L14" s="1694" t="n">
        <v>956.8</v>
      </c>
      <c r="M14" s="1694" t="n">
        <v>2860</v>
      </c>
      <c r="N14" s="1694" t="n">
        <v>1244</v>
      </c>
      <c r="O14" s="1694" t="n">
        <v>1244</v>
      </c>
      <c r="P14" s="1694" t="n">
        <v>584.8</v>
      </c>
      <c r="Q14" s="1694" t="n">
        <v>427.2</v>
      </c>
      <c r="R14" s="1695" t="n"/>
    </row>
    <row r="15" ht="21" customHeight="1">
      <c r="A15" s="262" t="inlineStr">
        <is>
          <t>การใช้ไฟฟ้าของสำนักงาน กทม (MEA)</t>
        </is>
      </c>
      <c r="B15" s="362" t="n"/>
      <c r="C15" s="263" t="inlineStr">
        <is>
          <t>ใบแจ้งค่าไฟฟ้า</t>
        </is>
      </c>
      <c r="D15" s="347" t="inlineStr">
        <is>
          <t>Kwh</t>
        </is>
      </c>
      <c r="E15" s="1696">
        <f>SUM(E16:E17)</f>
        <v/>
      </c>
      <c r="F15" s="1694" t="n"/>
      <c r="G15" s="1694" t="n"/>
      <c r="H15" s="1694" t="n"/>
      <c r="I15" s="1694" t="n"/>
      <c r="J15" s="1694" t="n"/>
      <c r="K15" s="1694" t="n"/>
      <c r="L15" s="1694" t="n"/>
      <c r="M15" s="1694" t="n"/>
      <c r="N15" s="1694" t="n"/>
      <c r="O15" s="1694" t="n"/>
      <c r="P15" s="1694" t="n"/>
      <c r="Q15" s="1694" t="n"/>
      <c r="R15" s="1695" t="n"/>
    </row>
    <row r="16" ht="16.8" customHeight="1">
      <c r="A16" s="349" t="inlineStr">
        <is>
          <t>สำนักงานกรุงเทพ บ้านเลขที่ 456 : 22055649</t>
        </is>
      </c>
      <c r="B16" s="357" t="inlineStr">
        <is>
          <t>MEA</t>
        </is>
      </c>
      <c r="C16" s="308" t="inlineStr">
        <is>
          <t>ใบแจ้งค่าไฟฟ้า</t>
        </is>
      </c>
      <c r="D16" s="351" t="inlineStr">
        <is>
          <t>Kwh</t>
        </is>
      </c>
      <c r="E16" s="1693">
        <f>SUM(F16:Q16)</f>
        <v/>
      </c>
      <c r="F16" s="1700" t="n">
        <v>3319</v>
      </c>
      <c r="G16" s="1700" t="n">
        <v>3980</v>
      </c>
      <c r="H16" s="1700" t="n">
        <v>3744</v>
      </c>
      <c r="I16" s="1700" t="n">
        <v>3930</v>
      </c>
      <c r="J16" s="1700" t="n">
        <v>4686</v>
      </c>
      <c r="K16" s="1700" t="n">
        <v>4658</v>
      </c>
      <c r="L16" s="1700" t="n">
        <v>4590</v>
      </c>
      <c r="M16" s="1700" t="n">
        <v>4071</v>
      </c>
      <c r="N16" s="1700" t="n">
        <v>4443</v>
      </c>
      <c r="O16" s="1700" t="n">
        <v>3837</v>
      </c>
      <c r="P16" s="1700" t="n">
        <v>4209</v>
      </c>
      <c r="Q16" s="1700" t="n">
        <v>3891</v>
      </c>
      <c r="R16" s="1695" t="n"/>
    </row>
    <row r="17" ht="16.8" customHeight="1">
      <c r="A17" s="349" t="inlineStr">
        <is>
          <t>สำนักงานกรุงเทพ บ้านเลขที่ 458 : 22055650</t>
        </is>
      </c>
      <c r="B17" s="357" t="inlineStr">
        <is>
          <t>MEA</t>
        </is>
      </c>
      <c r="C17" s="308" t="inlineStr">
        <is>
          <t>ใบแจ้งค่าไฟฟ้า</t>
        </is>
      </c>
      <c r="D17" s="351" t="inlineStr">
        <is>
          <t>Kwh</t>
        </is>
      </c>
      <c r="E17" s="1693">
        <f>SUM(F17:Q17)</f>
        <v/>
      </c>
      <c r="F17" s="1700" t="n">
        <v>643</v>
      </c>
      <c r="G17" s="1700" t="n">
        <v>814</v>
      </c>
      <c r="H17" s="1700" t="n">
        <v>753</v>
      </c>
      <c r="I17" s="1700" t="n">
        <v>908</v>
      </c>
      <c r="J17" s="1700" t="n">
        <v>1036</v>
      </c>
      <c r="K17" s="1700" t="n">
        <v>1003</v>
      </c>
      <c r="L17" s="1700" t="n">
        <v>985</v>
      </c>
      <c r="M17" s="1700" t="n">
        <v>874</v>
      </c>
      <c r="N17" s="1700" t="n">
        <v>973</v>
      </c>
      <c r="O17" s="1700" t="n">
        <v>805</v>
      </c>
      <c r="P17" s="1700" t="n">
        <v>831</v>
      </c>
      <c r="Q17" s="1700" t="n">
        <v>721</v>
      </c>
      <c r="R17" s="1695" t="n"/>
    </row>
    <row r="18" ht="21" customHeight="1"/>
    <row r="19" ht="21" customHeight="1">
      <c r="A19" s="228" t="inlineStr">
        <is>
          <t>หมายเหตุ: แนบภาพมิเตอร์ไฟฟ้าทุกจุดที่มีในโรงงาน/สำนักงาน</t>
        </is>
      </c>
    </row>
    <row r="20" ht="21" customHeight="1">
      <c r="A20" s="228" t="inlineStr">
        <is>
          <t>* มิเตอร์ไฟฟ้าสำหรับโกดังเช่า (เขตประกอบการเสรี 1) : 9030-020024581960  ไม่สามารถหาภาพถ่ายได้ เนื่องจากยกเลิกสัญญาเช่าตั้งแต่ เดือนกรกฏาคม 2566</t>
        </is>
      </c>
    </row>
    <row r="21" ht="21" customHeight="1"/>
    <row r="22" ht="21" customHeight="1">
      <c r="F22" s="228" t="inlineStr">
        <is>
          <t>โรงงาน 3 : MULTIBAX 3  (38486422)</t>
        </is>
      </c>
    </row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</sheetData>
  <mergeCells count="6">
    <mergeCell ref="F1:Q1"/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Z96"/>
  <sheetViews>
    <sheetView zoomScale="70" zoomScaleNormal="70" workbookViewId="0">
      <selection activeCell="D4" sqref="D4"/>
    </sheetView>
  </sheetViews>
  <sheetFormatPr baseColWidth="8" defaultColWidth="14.3984375" defaultRowHeight="13.2"/>
  <cols>
    <col width="27" customWidth="1" style="228" min="1" max="1"/>
    <col width="25.19921875" customWidth="1" style="228" min="2" max="2"/>
    <col width="15.796875" customWidth="1" style="228" min="3" max="3"/>
    <col width="17.796875" customWidth="1" style="228" min="4" max="4"/>
    <col width="12.3984375" customWidth="1" style="228" min="5" max="5"/>
    <col width="16.3984375" customWidth="1" style="228" min="6" max="6"/>
    <col width="29.796875" customWidth="1" style="228" min="7" max="7"/>
    <col width="12.59765625" customWidth="1" style="228" min="8" max="19"/>
    <col width="8.796875" customWidth="1" style="228" min="20" max="26"/>
    <col width="14.3984375" customWidth="1" style="228" min="27" max="16384"/>
  </cols>
  <sheetData>
    <row r="2" ht="15" customHeight="1">
      <c r="A2" s="1701" t="inlineStr">
        <is>
          <t>รายการวัตถุดิบที่ใช้</t>
        </is>
      </c>
      <c r="B2" s="1702" t="inlineStr">
        <is>
          <t>กระบวนการผลิต</t>
        </is>
      </c>
      <c r="C2" s="1702" t="inlineStr">
        <is>
          <t>สถานที่ใช้</t>
        </is>
      </c>
      <c r="D2" s="364" t="inlineStr">
        <is>
          <t>หลักฐานอ้างอิง</t>
        </is>
      </c>
      <c r="E2" s="364" t="inlineStr">
        <is>
          <t xml:space="preserve">หน่วย </t>
        </is>
      </c>
      <c r="F2" s="364" t="inlineStr">
        <is>
          <t>TOTAL</t>
        </is>
      </c>
      <c r="G2" s="364" t="inlineStr">
        <is>
          <t>ชื่อผู้ขาย</t>
        </is>
      </c>
      <c r="H2" s="364" t="inlineStr">
        <is>
          <t>ปริมาณการใช้แต่ละเดือน/2566</t>
        </is>
      </c>
      <c r="I2" s="1639" t="n"/>
      <c r="J2" s="1639" t="n"/>
      <c r="K2" s="1639" t="n"/>
      <c r="L2" s="1639" t="n"/>
      <c r="M2" s="1639" t="n"/>
      <c r="N2" s="1639" t="n"/>
      <c r="O2" s="1639" t="n"/>
      <c r="P2" s="1639" t="n"/>
      <c r="Q2" s="1639" t="n"/>
      <c r="R2" s="1639" t="n"/>
      <c r="S2" s="1640" t="n"/>
    </row>
    <row r="3" ht="15" customHeight="1">
      <c r="A3" s="1641" t="n"/>
      <c r="B3" s="1641" t="n"/>
      <c r="C3" s="1641" t="n"/>
      <c r="D3" s="1641" t="n"/>
      <c r="E3" s="1641" t="n"/>
      <c r="F3" s="364" t="inlineStr">
        <is>
          <t>รวมทั้งสิ้น</t>
        </is>
      </c>
      <c r="G3" s="1641" t="n"/>
      <c r="H3" s="364" t="inlineStr">
        <is>
          <t>มกราคม</t>
        </is>
      </c>
      <c r="I3" s="364" t="inlineStr">
        <is>
          <t>กุมภาพันธ์</t>
        </is>
      </c>
      <c r="J3" s="364" t="inlineStr">
        <is>
          <t>มีนาคม</t>
        </is>
      </c>
      <c r="K3" s="364" t="inlineStr">
        <is>
          <t>เมษายน</t>
        </is>
      </c>
      <c r="L3" s="364" t="inlineStr">
        <is>
          <t>พฤษภาคม</t>
        </is>
      </c>
      <c r="M3" s="364" t="inlineStr">
        <is>
          <t>มิถุนายน</t>
        </is>
      </c>
      <c r="N3" s="364" t="inlineStr">
        <is>
          <t>กรกฎาคม</t>
        </is>
      </c>
      <c r="O3" s="364" t="inlineStr">
        <is>
          <t>สิงหาคม</t>
        </is>
      </c>
      <c r="P3" s="364" t="inlineStr">
        <is>
          <t>กันยายน</t>
        </is>
      </c>
      <c r="Q3" s="364" t="inlineStr">
        <is>
          <t>ตุลาคม</t>
        </is>
      </c>
      <c r="R3" s="364" t="inlineStr">
        <is>
          <t>พฤศจิกายน</t>
        </is>
      </c>
      <c r="S3" s="364" t="inlineStr">
        <is>
          <t>ธันวาคม</t>
        </is>
      </c>
    </row>
    <row r="4" ht="21.6" customHeight="1">
      <c r="A4" s="345" t="inlineStr">
        <is>
          <t>เม็ดพลาสติก LDPE</t>
        </is>
      </c>
      <c r="B4" s="365" t="n"/>
      <c r="C4" s="365" t="n"/>
      <c r="D4" s="366" t="inlineStr">
        <is>
          <t>ใบกำกับภาษี/ระบบ ERP</t>
        </is>
      </c>
      <c r="E4" s="263" t="inlineStr">
        <is>
          <t>Kg</t>
        </is>
      </c>
      <c r="F4" s="1686">
        <f>SUM(F5:F6)</f>
        <v/>
      </c>
      <c r="G4" s="306" t="n"/>
      <c r="H4" s="303" t="n"/>
      <c r="I4" s="303" t="n"/>
      <c r="J4" s="303" t="n"/>
      <c r="K4" s="303" t="n"/>
      <c r="L4" s="303" t="n"/>
      <c r="M4" s="303" t="n"/>
      <c r="N4" s="303" t="n"/>
      <c r="O4" s="303" t="n"/>
      <c r="P4" s="303" t="n"/>
      <c r="Q4" s="303" t="n"/>
      <c r="R4" s="303" t="n"/>
      <c r="S4" s="303" t="n"/>
    </row>
    <row r="5" ht="15" customHeight="1">
      <c r="A5" s="358" t="inlineStr">
        <is>
          <t>วัตถุดิบชนิด : LDPE</t>
        </is>
      </c>
      <c r="B5" s="308" t="inlineStr">
        <is>
          <t>กระบวนการผสมวัตถุดิบ</t>
        </is>
      </c>
      <c r="C5" s="308" t="inlineStr">
        <is>
          <t>โรงงาน 1,2,3,5</t>
        </is>
      </c>
      <c r="D5" s="358" t="inlineStr">
        <is>
          <t>ใบกำกับภาษี/ระบบ ERP</t>
        </is>
      </c>
      <c r="E5" s="308" t="inlineStr">
        <is>
          <t>Kg</t>
        </is>
      </c>
      <c r="F5" s="1646">
        <f>SUM(H5:S5)</f>
        <v/>
      </c>
      <c r="G5" s="358" t="inlineStr">
        <is>
          <t>BOROUGE PTE LTD.</t>
        </is>
      </c>
      <c r="H5" s="1646" t="n"/>
      <c r="I5" s="1646" t="n"/>
      <c r="J5" s="1646" t="n"/>
      <c r="K5" s="1646" t="n"/>
      <c r="L5" s="1646" t="n"/>
      <c r="M5" s="1646" t="n"/>
      <c r="N5" s="1646" t="n">
        <v>297000</v>
      </c>
      <c r="O5" s="1646" t="n">
        <v>198000</v>
      </c>
      <c r="P5" s="1646" t="n">
        <v>297000</v>
      </c>
      <c r="Q5" s="1646" t="n">
        <v>123750</v>
      </c>
      <c r="R5" s="1646" t="n">
        <v>346500</v>
      </c>
      <c r="S5" s="1646" t="n"/>
    </row>
    <row r="6" ht="15" customHeight="1">
      <c r="A6" s="358" t="inlineStr">
        <is>
          <t>วัตถุดิบชนิด : LDPE</t>
        </is>
      </c>
      <c r="B6" s="308" t="inlineStr">
        <is>
          <t>กระบวนการผสมวัตถุดิบ</t>
        </is>
      </c>
      <c r="C6" s="308" t="inlineStr">
        <is>
          <t>โรงงาน 1,2,3,5</t>
        </is>
      </c>
      <c r="D6" s="358" t="inlineStr">
        <is>
          <t>ใบกำกับภาษี/ระบบ ERP</t>
        </is>
      </c>
      <c r="E6" s="308" t="inlineStr">
        <is>
          <t>Kg</t>
        </is>
      </c>
      <c r="F6" s="1646">
        <f>SUM(H6:S6)</f>
        <v/>
      </c>
      <c r="G6" s="367" t="inlineStr">
        <is>
          <t>บริษัท พีทีที โกลบอล เคมิคอล จำกัด (มหาชน)</t>
        </is>
      </c>
      <c r="H6" s="1703" t="n">
        <v>255000</v>
      </c>
      <c r="I6" s="1703" t="n">
        <v>375000</v>
      </c>
      <c r="J6" s="1703" t="n">
        <v>375000</v>
      </c>
      <c r="K6" s="1703" t="n">
        <v>375000</v>
      </c>
      <c r="L6" s="1703" t="n">
        <v>375000</v>
      </c>
      <c r="M6" s="1703" t="n">
        <v>375000</v>
      </c>
      <c r="N6" s="1703" t="n"/>
      <c r="O6" s="1703" t="n">
        <v>60000</v>
      </c>
      <c r="P6" s="1703" t="n">
        <v>150000</v>
      </c>
      <c r="Q6" s="1703" t="n">
        <v>45000</v>
      </c>
      <c r="R6" s="1703" t="n">
        <v>135000</v>
      </c>
      <c r="S6" s="1703" t="n">
        <v>105000</v>
      </c>
    </row>
    <row r="7" ht="23.4" customHeight="1">
      <c r="A7" s="366" t="inlineStr">
        <is>
          <t>เม็ดพลาสติก LLDPE</t>
        </is>
      </c>
      <c r="B7" s="343" t="n"/>
      <c r="C7" s="343" t="n"/>
      <c r="D7" s="366" t="inlineStr">
        <is>
          <t>ใบกำกับภาษี/ระบบ ERP</t>
        </is>
      </c>
      <c r="E7" s="263" t="inlineStr">
        <is>
          <t>Kg</t>
        </is>
      </c>
      <c r="F7" s="1686">
        <f>SUM(F8:F11)</f>
        <v/>
      </c>
      <c r="G7" s="367" t="n"/>
      <c r="H7" s="1703" t="n"/>
      <c r="I7" s="1703" t="n"/>
      <c r="J7" s="1703" t="n"/>
      <c r="K7" s="1703" t="n"/>
      <c r="L7" s="1703" t="n"/>
      <c r="M7" s="1703" t="n"/>
      <c r="N7" s="1703" t="n"/>
      <c r="O7" s="1703" t="n"/>
      <c r="P7" s="1703" t="n"/>
      <c r="Q7" s="1703" t="n"/>
      <c r="R7" s="1703" t="n"/>
      <c r="S7" s="1703" t="n"/>
    </row>
    <row r="8" ht="15" customHeight="1">
      <c r="A8" s="358" t="inlineStr">
        <is>
          <t>วัตถุดิบชนิด : LLDPE</t>
        </is>
      </c>
      <c r="B8" s="308" t="inlineStr">
        <is>
          <t>กระบวนการผสมวัตถุดิบ</t>
        </is>
      </c>
      <c r="C8" s="308" t="inlineStr">
        <is>
          <t>โรงงาน 1,2,3,5</t>
        </is>
      </c>
      <c r="D8" s="358" t="inlineStr">
        <is>
          <t>ใบกำกับภาษี/ระบบ ERP</t>
        </is>
      </c>
      <c r="E8" s="308" t="inlineStr">
        <is>
          <t>Kg</t>
        </is>
      </c>
      <c r="F8" s="1646">
        <f>SUM(H8:S8)</f>
        <v/>
      </c>
      <c r="G8" s="369" t="inlineStr">
        <is>
          <t>BOROUGE PTE LTD.</t>
        </is>
      </c>
      <c r="H8" s="1703" t="n">
        <v>222750</v>
      </c>
      <c r="I8" s="1703" t="n">
        <v>74250</v>
      </c>
      <c r="J8" s="1703" t="n">
        <v>222750</v>
      </c>
      <c r="K8" s="1703" t="n">
        <v>222750</v>
      </c>
      <c r="L8" s="1703" t="n">
        <v>148500</v>
      </c>
      <c r="M8" s="1703" t="n">
        <v>222750</v>
      </c>
      <c r="N8" s="1703" t="n">
        <v>297000</v>
      </c>
      <c r="O8" s="1703" t="n"/>
      <c r="P8" s="1703" t="n"/>
      <c r="Q8" s="1703" t="n">
        <v>148500</v>
      </c>
      <c r="R8" s="1703" t="n"/>
      <c r="S8" s="1703" t="n"/>
    </row>
    <row r="9" ht="15" customHeight="1">
      <c r="A9" s="358" t="inlineStr">
        <is>
          <t>วัตถุดิบชนิด : LLDPE</t>
        </is>
      </c>
      <c r="B9" s="308" t="inlineStr">
        <is>
          <t>กระบวนการผสมวัตถุดิบ</t>
        </is>
      </c>
      <c r="C9" s="308" t="inlineStr">
        <is>
          <t>โรงงาน 1,2,3,5</t>
        </is>
      </c>
      <c r="D9" s="358" t="inlineStr">
        <is>
          <t>ใบกำกับภาษี/ระบบ ERP</t>
        </is>
      </c>
      <c r="E9" s="308" t="inlineStr">
        <is>
          <t>Kg</t>
        </is>
      </c>
      <c r="F9" s="1646">
        <f>SUM(H9:S9)</f>
        <v/>
      </c>
      <c r="G9" s="369" t="inlineStr">
        <is>
          <t>EQUATE Petrochemical Company K.S.C.C.</t>
        </is>
      </c>
      <c r="H9" s="1703" t="n">
        <v>767250</v>
      </c>
      <c r="I9" s="1703" t="n">
        <v>198000</v>
      </c>
      <c r="J9" s="1703" t="n"/>
      <c r="K9" s="1703" t="n"/>
      <c r="L9" s="1703" t="n">
        <v>99000</v>
      </c>
      <c r="M9" s="1703" t="n"/>
      <c r="N9" s="1703" t="n">
        <v>99000</v>
      </c>
      <c r="O9" s="1703" t="n">
        <v>99000</v>
      </c>
      <c r="P9" s="1703" t="n">
        <v>396000</v>
      </c>
      <c r="Q9" s="1703" t="n"/>
      <c r="R9" s="1703" t="n">
        <v>198000</v>
      </c>
      <c r="S9" s="1703" t="n">
        <v>247500</v>
      </c>
    </row>
    <row r="10" ht="15" customHeight="1">
      <c r="A10" s="358" t="inlineStr">
        <is>
          <t>วัตถุดิบชนิด : LLDPE</t>
        </is>
      </c>
      <c r="B10" s="308" t="inlineStr">
        <is>
          <t>กระบวนการผสมวัตถุดิบ</t>
        </is>
      </c>
      <c r="C10" s="308" t="inlineStr">
        <is>
          <t>โรงงาน 1,2,3,5</t>
        </is>
      </c>
      <c r="D10" s="358" t="inlineStr">
        <is>
          <t>ใบกำกับภาษี/ระบบ ERP</t>
        </is>
      </c>
      <c r="E10" s="308" t="inlineStr">
        <is>
          <t>Kg</t>
        </is>
      </c>
      <c r="F10" s="1646">
        <f>SUM(H10:S10)</f>
        <v/>
      </c>
      <c r="G10" s="369" t="inlineStr">
        <is>
          <t>บริษัท ไทยโพลิเอททีลีน จำกัด</t>
        </is>
      </c>
      <c r="H10" s="1703" t="n"/>
      <c r="I10" s="1703" t="n">
        <v>15000</v>
      </c>
      <c r="J10" s="1703" t="n"/>
      <c r="K10" s="1703" t="n"/>
      <c r="L10" s="1703" t="n">
        <v>15000</v>
      </c>
      <c r="M10" s="1703" t="n"/>
      <c r="N10" s="1703" t="n"/>
      <c r="O10" s="1703" t="n"/>
      <c r="P10" s="1703" t="n">
        <v>15000</v>
      </c>
      <c r="Q10" s="1703" t="n"/>
      <c r="R10" s="1703" t="n">
        <v>15000</v>
      </c>
      <c r="S10" s="1703" t="n"/>
    </row>
    <row r="11" ht="15" customHeight="1">
      <c r="A11" s="358" t="inlineStr">
        <is>
          <t>วัตถุดิบชนิด : LLDPE</t>
        </is>
      </c>
      <c r="B11" s="308" t="inlineStr">
        <is>
          <t>กระบวนการผสมวัตถุดิบ</t>
        </is>
      </c>
      <c r="C11" s="308" t="inlineStr">
        <is>
          <t>โรงงาน 1,2,3,5</t>
        </is>
      </c>
      <c r="D11" s="358" t="inlineStr">
        <is>
          <t>ใบกำกับภาษี/ระบบ ERP</t>
        </is>
      </c>
      <c r="E11" s="308" t="inlineStr">
        <is>
          <t>Kg</t>
        </is>
      </c>
      <c r="F11" s="1646">
        <f>SUM(H11:S11)</f>
        <v/>
      </c>
      <c r="G11" s="369" t="inlineStr">
        <is>
          <t>บริษัท พีทีที โกลบอล เคมิคอล จำกัด (มหาชน)</t>
        </is>
      </c>
      <c r="H11" s="1703" t="n">
        <v>15000</v>
      </c>
      <c r="I11" s="1703" t="n"/>
      <c r="J11" s="1703" t="n"/>
      <c r="K11" s="1703" t="n"/>
      <c r="L11" s="1703" t="n"/>
      <c r="M11" s="1703" t="n"/>
      <c r="N11" s="1703" t="n"/>
      <c r="O11" s="1703" t="n">
        <v>15000</v>
      </c>
      <c r="P11" s="1703" t="n"/>
      <c r="Q11" s="1703" t="n"/>
      <c r="R11" s="1703" t="n"/>
      <c r="S11" s="1703" t="n"/>
    </row>
    <row r="12" ht="22.8" customHeight="1">
      <c r="A12" s="366" t="inlineStr">
        <is>
          <t>เม็ดพลาสติก HDPE</t>
        </is>
      </c>
      <c r="B12" s="343" t="n"/>
      <c r="C12" s="343" t="n"/>
      <c r="D12" s="366" t="inlineStr">
        <is>
          <t>ใบกำกับภาษี/ระบบ ERP</t>
        </is>
      </c>
      <c r="E12" s="263" t="inlineStr">
        <is>
          <t>Kg</t>
        </is>
      </c>
      <c r="F12" s="1686">
        <f>SUM(F13:F14)</f>
        <v/>
      </c>
      <c r="G12" s="369" t="n"/>
      <c r="H12" s="1703" t="n"/>
      <c r="I12" s="1703" t="n"/>
      <c r="J12" s="1703" t="n"/>
      <c r="K12" s="1703" t="n"/>
      <c r="L12" s="1703" t="n"/>
      <c r="M12" s="1703" t="n"/>
      <c r="N12" s="1703" t="n"/>
      <c r="O12" s="1703" t="n"/>
      <c r="P12" s="1703" t="n"/>
      <c r="Q12" s="1703" t="n"/>
      <c r="R12" s="1703" t="n"/>
      <c r="S12" s="1703" t="n"/>
    </row>
    <row r="13" ht="15" customHeight="1">
      <c r="A13" s="358" t="inlineStr">
        <is>
          <t>วัตถุดิบชนิด : HDPE</t>
        </is>
      </c>
      <c r="B13" s="308" t="inlineStr">
        <is>
          <t>กระบวนการผสมวัตถุดิบ</t>
        </is>
      </c>
      <c r="C13" s="308" t="inlineStr">
        <is>
          <t>โรงงาน 1,2,3,5</t>
        </is>
      </c>
      <c r="D13" s="358" t="inlineStr">
        <is>
          <t>ใบกำกับภาษี/ระบบ ERP</t>
        </is>
      </c>
      <c r="E13" s="308" t="inlineStr">
        <is>
          <t>Kg</t>
        </is>
      </c>
      <c r="F13" s="1646">
        <f>SUM(H13:S13)</f>
        <v/>
      </c>
      <c r="G13" s="369" t="inlineStr">
        <is>
          <t>EQUATE Petrochemical Company K.S.C.C.</t>
        </is>
      </c>
      <c r="H13" s="1703" t="n"/>
      <c r="I13" s="1703" t="n"/>
      <c r="J13" s="1703" t="n"/>
      <c r="K13" s="1703" t="n"/>
      <c r="L13" s="1703" t="n"/>
      <c r="M13" s="1703" t="n"/>
      <c r="N13" s="1703" t="n">
        <v>24750</v>
      </c>
      <c r="O13" s="1703" t="n"/>
      <c r="P13" s="1703" t="n"/>
      <c r="Q13" s="1703" t="n"/>
      <c r="R13" s="1703" t="n"/>
      <c r="S13" s="1703" t="n">
        <v>49500</v>
      </c>
    </row>
    <row r="14" ht="15" customHeight="1">
      <c r="A14" s="358" t="inlineStr">
        <is>
          <t>วัตถุดิบชนิด : HDPE</t>
        </is>
      </c>
      <c r="B14" s="308" t="inlineStr">
        <is>
          <t>กระบวนการผสมวัตถุดิบ</t>
        </is>
      </c>
      <c r="C14" s="308" t="inlineStr">
        <is>
          <t>โรงงาน 1,2,3,5</t>
        </is>
      </c>
      <c r="D14" s="358" t="inlineStr">
        <is>
          <t>ใบกำกับภาษี/ระบบ ERP</t>
        </is>
      </c>
      <c r="E14" s="308" t="inlineStr">
        <is>
          <t>Kg</t>
        </is>
      </c>
      <c r="F14" s="1646">
        <f>SUM(H14:S14)</f>
        <v/>
      </c>
      <c r="G14" s="369" t="inlineStr">
        <is>
          <t>บริษัท ไทยโพลิเอททีลีน จำกัด</t>
        </is>
      </c>
      <c r="H14" s="1703" t="n">
        <v>30000</v>
      </c>
      <c r="I14" s="1703" t="n">
        <v>90000</v>
      </c>
      <c r="J14" s="1703" t="n">
        <v>90000</v>
      </c>
      <c r="K14" s="1703" t="n">
        <v>30000</v>
      </c>
      <c r="L14" s="1703" t="n">
        <v>45000</v>
      </c>
      <c r="M14" s="1703" t="n">
        <v>90000</v>
      </c>
      <c r="N14" s="1703" t="n">
        <v>45000</v>
      </c>
      <c r="O14" s="1703" t="n">
        <v>45000</v>
      </c>
      <c r="P14" s="1703" t="n">
        <v>60000</v>
      </c>
      <c r="Q14" s="1703" t="n">
        <v>75000</v>
      </c>
      <c r="R14" s="1703" t="n">
        <v>90000</v>
      </c>
      <c r="S14" s="1703" t="n">
        <v>105000</v>
      </c>
    </row>
    <row r="15" ht="22.2" customHeight="1">
      <c r="A15" s="366" t="inlineStr">
        <is>
          <t xml:space="preserve">กระดาษกล่องแป้งหลังเทา </t>
        </is>
      </c>
      <c r="B15" s="343" t="n"/>
      <c r="C15" s="343" t="n"/>
      <c r="D15" s="366" t="inlineStr">
        <is>
          <t>ใบกำกับภาษี/ระบบ ERP</t>
        </is>
      </c>
      <c r="E15" s="263" t="inlineStr">
        <is>
          <t>Kg</t>
        </is>
      </c>
      <c r="F15" s="1686">
        <f>SUM(F16:F18)</f>
        <v/>
      </c>
      <c r="G15" s="369" t="n"/>
      <c r="H15" s="1703" t="n"/>
      <c r="I15" s="1703" t="n"/>
      <c r="J15" s="1703" t="n"/>
      <c r="K15" s="1703" t="n"/>
      <c r="L15" s="1703" t="n"/>
      <c r="M15" s="1703" t="n"/>
      <c r="N15" s="1703" t="n"/>
      <c r="O15" s="1703" t="n"/>
      <c r="P15" s="1703" t="n"/>
      <c r="Q15" s="1703" t="n"/>
      <c r="R15" s="1703" t="n"/>
      <c r="S15" s="1703" t="n"/>
    </row>
    <row r="16" ht="15" customHeight="1">
      <c r="A16" s="358">
        <f>A79</f>
        <v/>
      </c>
      <c r="B16" s="308">
        <f>B79</f>
        <v/>
      </c>
      <c r="C16" s="308" t="inlineStr">
        <is>
          <t>โรงงาน 1,2,3,5</t>
        </is>
      </c>
      <c r="D16" s="358" t="inlineStr">
        <is>
          <t>ใบกำกับภาษี/ระบบ ERP</t>
        </is>
      </c>
      <c r="E16" s="308">
        <f>E79</f>
        <v/>
      </c>
      <c r="F16" s="1704">
        <f>F79</f>
        <v/>
      </c>
      <c r="G16" s="358">
        <f>G79</f>
        <v/>
      </c>
      <c r="H16" s="1704">
        <f>H79</f>
        <v/>
      </c>
      <c r="I16" s="1704">
        <f>I79</f>
        <v/>
      </c>
      <c r="J16" s="1704">
        <f>J79</f>
        <v/>
      </c>
      <c r="K16" s="1704">
        <f>K79</f>
        <v/>
      </c>
      <c r="L16" s="1704">
        <f>L79</f>
        <v/>
      </c>
      <c r="M16" s="1704">
        <f>M79</f>
        <v/>
      </c>
      <c r="N16" s="1704">
        <f>N79</f>
        <v/>
      </c>
      <c r="O16" s="1704">
        <f>O79</f>
        <v/>
      </c>
      <c r="P16" s="1704">
        <f>P79</f>
        <v/>
      </c>
      <c r="Q16" s="1704">
        <f>Q79</f>
        <v/>
      </c>
      <c r="R16" s="1704">
        <f>R79</f>
        <v/>
      </c>
      <c r="S16" s="1704">
        <f>S79</f>
        <v/>
      </c>
    </row>
    <row r="17" ht="15" customHeight="1">
      <c r="A17" s="358">
        <f>A80</f>
        <v/>
      </c>
      <c r="B17" s="308">
        <f>B80</f>
        <v/>
      </c>
      <c r="C17" s="308" t="inlineStr">
        <is>
          <t>โรงงาน 1,2,3,5</t>
        </is>
      </c>
      <c r="D17" s="358" t="inlineStr">
        <is>
          <t>ใบกำกับภาษี/ระบบ ERP</t>
        </is>
      </c>
      <c r="E17" s="308">
        <f>E80</f>
        <v/>
      </c>
      <c r="F17" s="1704">
        <f>F80</f>
        <v/>
      </c>
      <c r="G17" s="358">
        <f>G80</f>
        <v/>
      </c>
      <c r="H17" s="1704">
        <f>H80</f>
        <v/>
      </c>
      <c r="I17" s="1704">
        <f>I80</f>
        <v/>
      </c>
      <c r="J17" s="1704">
        <f>J80</f>
        <v/>
      </c>
      <c r="K17" s="1704">
        <f>K80</f>
        <v/>
      </c>
      <c r="L17" s="1704">
        <f>L80</f>
        <v/>
      </c>
      <c r="M17" s="1704">
        <f>M80</f>
        <v/>
      </c>
      <c r="N17" s="1704">
        <f>N80</f>
        <v/>
      </c>
      <c r="O17" s="1704">
        <f>O80</f>
        <v/>
      </c>
      <c r="P17" s="1704">
        <f>P80</f>
        <v/>
      </c>
      <c r="Q17" s="1704">
        <f>Q80</f>
        <v/>
      </c>
      <c r="R17" s="1704">
        <f>R80</f>
        <v/>
      </c>
      <c r="S17" s="1704">
        <f>S80</f>
        <v/>
      </c>
    </row>
    <row r="18" ht="15" customHeight="1">
      <c r="A18" s="358">
        <f>A81</f>
        <v/>
      </c>
      <c r="B18" s="308">
        <f>B81</f>
        <v/>
      </c>
      <c r="C18" s="308" t="inlineStr">
        <is>
          <t>โรงงาน 1,2,3,5</t>
        </is>
      </c>
      <c r="D18" s="358" t="inlineStr">
        <is>
          <t>ใบกำกับภาษี/ระบบ ERP</t>
        </is>
      </c>
      <c r="E18" s="308">
        <f>E81</f>
        <v/>
      </c>
      <c r="F18" s="1704">
        <f>F81</f>
        <v/>
      </c>
      <c r="G18" s="358">
        <f>G81</f>
        <v/>
      </c>
      <c r="H18" s="1704">
        <f>H81</f>
        <v/>
      </c>
      <c r="I18" s="1704">
        <f>I81</f>
        <v/>
      </c>
      <c r="J18" s="1704">
        <f>J81</f>
        <v/>
      </c>
      <c r="K18" s="1704">
        <f>K81</f>
        <v/>
      </c>
      <c r="L18" s="1704">
        <f>L81</f>
        <v/>
      </c>
      <c r="M18" s="1704">
        <f>M81</f>
        <v/>
      </c>
      <c r="N18" s="1704">
        <f>N81</f>
        <v/>
      </c>
      <c r="O18" s="1704">
        <f>O81</f>
        <v/>
      </c>
      <c r="P18" s="1704">
        <f>P81</f>
        <v/>
      </c>
      <c r="Q18" s="1704">
        <f>Q81</f>
        <v/>
      </c>
      <c r="R18" s="1704">
        <f>R81</f>
        <v/>
      </c>
      <c r="S18" s="1704">
        <f>S81</f>
        <v/>
      </c>
    </row>
    <row r="19" ht="23.4" customHeight="1">
      <c r="A19" s="366" t="inlineStr">
        <is>
          <t xml:space="preserve">กระดาษคราฟท์ ชนิดทาลอน </t>
        </is>
      </c>
      <c r="B19" s="343" t="n"/>
      <c r="C19" s="343" t="n"/>
      <c r="D19" s="366" t="inlineStr">
        <is>
          <t>ใบกำกับภาษี/ระบบ ERP</t>
        </is>
      </c>
      <c r="E19" s="263" t="inlineStr">
        <is>
          <t>Kg</t>
        </is>
      </c>
      <c r="F19" s="1686">
        <f>SUM(F20:F24)</f>
        <v/>
      </c>
      <c r="G19" s="358" t="n"/>
      <c r="H19" s="1704" t="n"/>
      <c r="I19" s="1704" t="n"/>
      <c r="J19" s="1704" t="n"/>
      <c r="K19" s="1704" t="n"/>
      <c r="L19" s="1704" t="n"/>
      <c r="M19" s="1704" t="n"/>
      <c r="N19" s="1704" t="n"/>
      <c r="O19" s="1704" t="n"/>
      <c r="P19" s="1704" t="n"/>
      <c r="Q19" s="1704" t="n"/>
      <c r="R19" s="1704" t="n"/>
      <c r="S19" s="1704" t="n"/>
    </row>
    <row r="20" ht="15" customHeight="1">
      <c r="A20" s="358">
        <f>A82</f>
        <v/>
      </c>
      <c r="B20" s="308">
        <f>B82</f>
        <v/>
      </c>
      <c r="C20" s="308" t="inlineStr">
        <is>
          <t>โรงงาน 1,2,3,5</t>
        </is>
      </c>
      <c r="D20" s="358" t="inlineStr">
        <is>
          <t>ใบกำกับภาษี/ระบบ ERP</t>
        </is>
      </c>
      <c r="E20" s="308">
        <f>E82</f>
        <v/>
      </c>
      <c r="F20" s="1704">
        <f>F82</f>
        <v/>
      </c>
      <c r="G20" s="358">
        <f>G82</f>
        <v/>
      </c>
      <c r="H20" s="1704" t="n">
        <v>205.275</v>
      </c>
      <c r="I20" s="1704" t="n">
        <v>4102.184</v>
      </c>
      <c r="J20" s="1704" t="n">
        <v>4773.389999999999</v>
      </c>
      <c r="K20" s="1704" t="n">
        <v>4393.636</v>
      </c>
      <c r="L20" s="1704" t="n">
        <v>7258.481</v>
      </c>
      <c r="M20" s="1704" t="n">
        <v>11263.31</v>
      </c>
      <c r="N20" s="1704" t="n">
        <v>9333.798000000001</v>
      </c>
      <c r="O20" s="1704" t="n">
        <v>9803.639999999999</v>
      </c>
      <c r="P20" s="1704" t="n">
        <v>14696.655</v>
      </c>
      <c r="Q20" s="1704" t="n">
        <v>12131.504</v>
      </c>
      <c r="R20" s="1704" t="n">
        <v>10727.902</v>
      </c>
      <c r="S20" s="1704" t="n">
        <v>6085.597</v>
      </c>
    </row>
    <row r="21" ht="15" customHeight="1">
      <c r="A21" s="358">
        <f>A83</f>
        <v/>
      </c>
      <c r="B21" s="308">
        <f>B83</f>
        <v/>
      </c>
      <c r="C21" s="308" t="inlineStr">
        <is>
          <t>โรงงาน 1,2,3,5</t>
        </is>
      </c>
      <c r="D21" s="358" t="inlineStr">
        <is>
          <t>ใบกำกับภาษี/ระบบ ERP</t>
        </is>
      </c>
      <c r="E21" s="308">
        <f>E83</f>
        <v/>
      </c>
      <c r="F21" s="1704">
        <f>F83</f>
        <v/>
      </c>
      <c r="G21" s="358">
        <f>G83</f>
        <v/>
      </c>
      <c r="H21" s="1704" t="n">
        <v>29647.31500000001</v>
      </c>
      <c r="I21" s="1704" t="n">
        <v>31891.753</v>
      </c>
      <c r="J21" s="1704" t="n">
        <v>34086.95199999999</v>
      </c>
      <c r="K21" s="1704" t="n">
        <v>12368.174</v>
      </c>
      <c r="L21" s="1704" t="n">
        <v>31471.97500000001</v>
      </c>
      <c r="M21" s="1704" t="n">
        <v>40571.31</v>
      </c>
      <c r="N21" s="1704" t="n">
        <v>32534.58</v>
      </c>
      <c r="O21" s="1704" t="n">
        <v>47329.815</v>
      </c>
      <c r="P21" s="1704" t="n">
        <v>30237.79500000001</v>
      </c>
      <c r="Q21" s="1704" t="n">
        <v>44144.94900000002</v>
      </c>
      <c r="R21" s="1704" t="n">
        <v>57992.32200000004</v>
      </c>
      <c r="S21" s="1704" t="n">
        <v>31606.817</v>
      </c>
    </row>
    <row r="22" ht="15" customHeight="1">
      <c r="A22" s="358">
        <f>A84</f>
        <v/>
      </c>
      <c r="B22" s="308">
        <f>B84</f>
        <v/>
      </c>
      <c r="C22" s="308" t="inlineStr">
        <is>
          <t>โรงงาน 1,2,3,5</t>
        </is>
      </c>
      <c r="D22" s="358" t="inlineStr">
        <is>
          <t>ใบกำกับภาษี/ระบบ ERP</t>
        </is>
      </c>
      <c r="E22" s="308">
        <f>E84</f>
        <v/>
      </c>
      <c r="F22" s="1704">
        <f>F84</f>
        <v/>
      </c>
      <c r="G22" s="358">
        <f>G84</f>
        <v/>
      </c>
      <c r="H22" s="1704" t="n">
        <v>22459.65000000001</v>
      </c>
      <c r="I22" s="1704" t="n">
        <v>21515.39199999999</v>
      </c>
      <c r="J22" s="1704" t="n">
        <v>24639.29300000001</v>
      </c>
      <c r="K22" s="1704" t="n">
        <v>16926.28</v>
      </c>
      <c r="L22" s="1704" t="n">
        <v>40608.39199999999</v>
      </c>
      <c r="M22" s="1704" t="n">
        <v>28433.09</v>
      </c>
      <c r="N22" s="1704" t="n">
        <v>22674.17699999999</v>
      </c>
      <c r="O22" s="1704" t="n">
        <v>21616.8</v>
      </c>
      <c r="P22" s="1704" t="n">
        <v>14048.225</v>
      </c>
      <c r="Q22" s="1704" t="n">
        <v>15446.786</v>
      </c>
      <c r="R22" s="1704" t="n">
        <v>21501.46000000001</v>
      </c>
      <c r="S22" s="1704" t="n">
        <v>18237.66</v>
      </c>
    </row>
    <row r="23" ht="15" customHeight="1">
      <c r="A23" s="358">
        <f>A85</f>
        <v/>
      </c>
      <c r="B23" s="308">
        <f>B85</f>
        <v/>
      </c>
      <c r="C23" s="308" t="inlineStr">
        <is>
          <t>โรงงาน 1,2,3,5</t>
        </is>
      </c>
      <c r="D23" s="358" t="inlineStr">
        <is>
          <t>ใบกำกับภาษี/ระบบ ERP</t>
        </is>
      </c>
      <c r="E23" s="308">
        <f>E85</f>
        <v/>
      </c>
      <c r="F23" s="1704">
        <f>F85</f>
        <v/>
      </c>
      <c r="G23" s="358">
        <f>G85</f>
        <v/>
      </c>
      <c r="H23" s="1704" t="n">
        <v>620</v>
      </c>
      <c r="I23" s="1704" t="n">
        <v>4336.415999999999</v>
      </c>
      <c r="J23" s="1704" t="n">
        <v>1005</v>
      </c>
      <c r="K23" s="1704" t="n">
        <v>1869.654</v>
      </c>
      <c r="L23" s="1704" t="n">
        <v>1239.16</v>
      </c>
      <c r="M23" s="1704" t="n">
        <v>5049.5</v>
      </c>
      <c r="N23" s="1704" t="n">
        <v>5514.589</v>
      </c>
      <c r="O23" s="1704" t="n">
        <v>1116.018</v>
      </c>
      <c r="P23" s="1704" t="n">
        <v>4728.552</v>
      </c>
      <c r="Q23" s="1704" t="n">
        <v>4307.486</v>
      </c>
      <c r="R23" s="1704" t="n">
        <v>3978.826</v>
      </c>
      <c r="S23" s="1704" t="n">
        <v>2684.05</v>
      </c>
    </row>
    <row r="24" ht="15" customHeight="1">
      <c r="A24" s="358">
        <f>A86</f>
        <v/>
      </c>
      <c r="B24" s="308">
        <f>B86</f>
        <v/>
      </c>
      <c r="C24" s="308" t="inlineStr">
        <is>
          <t>โรงงาน 1,2,3,5</t>
        </is>
      </c>
      <c r="D24" s="358" t="inlineStr">
        <is>
          <t>ใบกำกับภาษี/ระบบ ERP</t>
        </is>
      </c>
      <c r="E24" s="308">
        <f>E86</f>
        <v/>
      </c>
      <c r="F24" s="1704">
        <f>F86</f>
        <v/>
      </c>
      <c r="G24" s="358">
        <f>G86</f>
        <v/>
      </c>
      <c r="H24" s="1704" t="n">
        <v>2564.531</v>
      </c>
      <c r="I24" s="1704" t="n">
        <v>4196.985</v>
      </c>
      <c r="J24" s="1704" t="n">
        <v>1981</v>
      </c>
      <c r="K24" s="1704" t="n">
        <v>398.3</v>
      </c>
      <c r="L24" s="1704" t="n">
        <v>933</v>
      </c>
      <c r="M24" s="1704" t="n">
        <v>852.1</v>
      </c>
      <c r="N24" s="1704" t="n">
        <v>1088.365</v>
      </c>
      <c r="O24" s="1704" t="n">
        <v>3131.229999999999</v>
      </c>
      <c r="P24" s="1704" t="n">
        <v>1941.2</v>
      </c>
      <c r="Q24" s="1704" t="n">
        <v>3882.4</v>
      </c>
      <c r="R24" s="1704" t="n">
        <v>2099.2</v>
      </c>
      <c r="S24" s="1704" t="n">
        <v>1789.13</v>
      </c>
    </row>
    <row r="27" ht="23.4" customHeight="1">
      <c r="A27" s="311" t="inlineStr">
        <is>
          <t>สรุปรายการวัตถุดิบ</t>
        </is>
      </c>
    </row>
    <row r="28" ht="15" customHeight="1">
      <c r="A28" s="1288" t="inlineStr">
        <is>
          <t>รายการ</t>
        </is>
      </c>
      <c r="B28" s="1288" t="inlineStr">
        <is>
          <t>หน่วย</t>
        </is>
      </c>
      <c r="C28" s="1288" t="inlineStr">
        <is>
          <t>น้ำหนัก</t>
        </is>
      </c>
      <c r="D28" s="305" t="n"/>
    </row>
    <row r="29" ht="15" customHeight="1">
      <c r="A29" s="371" t="inlineStr">
        <is>
          <t>วัตถุดิบชนิด : LDPE</t>
        </is>
      </c>
      <c r="B29" s="372" t="inlineStr">
        <is>
          <t>Kg</t>
        </is>
      </c>
      <c r="C29" s="1705">
        <f>SUM(F52:F53)</f>
        <v/>
      </c>
      <c r="D29" s="374">
        <f>C29/$C$47*100</f>
        <v/>
      </c>
      <c r="E29" s="375">
        <f>SUM(D29:D32)</f>
        <v/>
      </c>
    </row>
    <row r="30" ht="15" customHeight="1">
      <c r="A30" s="358" t="inlineStr">
        <is>
          <t>วัตถุดิบชนิด : LLDPE</t>
        </is>
      </c>
      <c r="B30" s="376" t="inlineStr">
        <is>
          <t>Kg</t>
        </is>
      </c>
      <c r="C30" s="1705">
        <f>SUM(F54:F57)</f>
        <v/>
      </c>
      <c r="D30" s="374">
        <f>C30/$C$47*100</f>
        <v/>
      </c>
    </row>
    <row r="31" ht="15" customHeight="1">
      <c r="A31" s="358" t="inlineStr">
        <is>
          <t>วัตถุดิบชนิด : HDPE</t>
        </is>
      </c>
      <c r="B31" s="376" t="inlineStr">
        <is>
          <t>Kg</t>
        </is>
      </c>
      <c r="C31" s="1705">
        <f>SUM(F58:F59)</f>
        <v/>
      </c>
      <c r="D31" s="374">
        <f>C31/$C$47*100</f>
        <v/>
      </c>
    </row>
    <row r="32" ht="15" customHeight="1">
      <c r="A32" s="358" t="inlineStr">
        <is>
          <t>บรรจุภัณฑ์ : กระดาษ</t>
        </is>
      </c>
      <c r="B32" s="376" t="inlineStr">
        <is>
          <t>Kg</t>
        </is>
      </c>
      <c r="C32" s="1705">
        <f>SUM(F79:F86)</f>
        <v/>
      </c>
      <c r="D32" s="374">
        <f>C32/$C$47*100</f>
        <v/>
      </c>
    </row>
    <row r="33" ht="15" customHeight="1">
      <c r="A33" s="358" t="inlineStr">
        <is>
          <t>วัตถุดิบชนิด : Braskem (HDPE)</t>
        </is>
      </c>
      <c r="B33" s="377" t="inlineStr">
        <is>
          <t>Kg</t>
        </is>
      </c>
      <c r="C33" s="1706">
        <f>SUM(F60:F61)</f>
        <v/>
      </c>
      <c r="D33" s="374">
        <f>C33/$C$47*100</f>
        <v/>
      </c>
    </row>
    <row r="34" ht="15" customHeight="1">
      <c r="A34" s="358" t="inlineStr">
        <is>
          <t>วัตถุดิบชนิด : PCR</t>
        </is>
      </c>
      <c r="B34" s="377" t="inlineStr">
        <is>
          <t>Kg</t>
        </is>
      </c>
      <c r="C34" s="1706">
        <f>SUM(F62:F64)</f>
        <v/>
      </c>
      <c r="D34" s="374">
        <f>C34/$C$47*100</f>
        <v/>
      </c>
    </row>
    <row r="35" ht="15" customHeight="1">
      <c r="A35" s="358" t="inlineStr">
        <is>
          <t>วัตถุดิบชนิด : Masterbatch</t>
        </is>
      </c>
      <c r="B35" s="377" t="inlineStr">
        <is>
          <t>Kg</t>
        </is>
      </c>
      <c r="C35" s="1706">
        <f>SUM(F65:F68)</f>
        <v/>
      </c>
      <c r="D35" s="374">
        <f>C35/$C$47*100</f>
        <v/>
      </c>
    </row>
    <row r="36" ht="15" customHeight="1">
      <c r="A36" s="358" t="inlineStr">
        <is>
          <t>วัตถุดิบชนิด : Calcium</t>
        </is>
      </c>
      <c r="B36" s="377" t="inlineStr">
        <is>
          <t>Kg</t>
        </is>
      </c>
      <c r="C36" s="1706">
        <f>SUM(F69)</f>
        <v/>
      </c>
      <c r="D36" s="374">
        <f>C36/$C$47*100</f>
        <v/>
      </c>
    </row>
    <row r="37" ht="15" customHeight="1">
      <c r="A37" s="358" t="inlineStr">
        <is>
          <t>วัตถุดิบชนิด : Ink</t>
        </is>
      </c>
      <c r="B37" s="377" t="inlineStr">
        <is>
          <t>Kg</t>
        </is>
      </c>
      <c r="C37" s="1706">
        <f>SUM(F70:F72)</f>
        <v/>
      </c>
      <c r="D37" s="374">
        <f>C37/$C$47*100</f>
        <v/>
      </c>
    </row>
    <row r="38" ht="15" customHeight="1">
      <c r="A38" s="358" t="inlineStr">
        <is>
          <t>วัตถุดิบชนิด : Additive</t>
        </is>
      </c>
      <c r="B38" s="377" t="inlineStr">
        <is>
          <t>Kg</t>
        </is>
      </c>
      <c r="C38" s="1706">
        <f>SUM(F73:F75)</f>
        <v/>
      </c>
      <c r="D38" s="374">
        <f>C38/$C$47*100</f>
        <v/>
      </c>
    </row>
    <row r="39" ht="15" customHeight="1">
      <c r="A39" s="358" t="inlineStr">
        <is>
          <t>วัตถุดิบชนิด : Fragrance</t>
        </is>
      </c>
      <c r="B39" s="377" t="inlineStr">
        <is>
          <t>Kg</t>
        </is>
      </c>
      <c r="C39" s="1706">
        <f>SUM(F76:F77)</f>
        <v/>
      </c>
      <c r="D39" s="374">
        <f>C39/$C$47*100</f>
        <v/>
      </c>
    </row>
    <row r="40" ht="15" customHeight="1">
      <c r="A40" s="358" t="inlineStr">
        <is>
          <t>วัตถุดิบชนิด : Bio</t>
        </is>
      </c>
      <c r="B40" s="377" t="inlineStr">
        <is>
          <t>Kg</t>
        </is>
      </c>
      <c r="C40" s="1706">
        <f>SUM(F78)</f>
        <v/>
      </c>
      <c r="D40" s="374">
        <f>C40/$C$47*100</f>
        <v/>
      </c>
    </row>
    <row r="41" ht="15" customHeight="1">
      <c r="A41" s="358" t="inlineStr">
        <is>
          <t>วัสดุสิ้นเปลือง : Solvent</t>
        </is>
      </c>
      <c r="B41" s="377" t="inlineStr">
        <is>
          <t>Kg</t>
        </is>
      </c>
      <c r="C41" s="1706">
        <f>SUM(F87)</f>
        <v/>
      </c>
      <c r="D41" s="374">
        <f>C41/$C$47*100</f>
        <v/>
      </c>
    </row>
    <row r="42" ht="15" customHeight="1">
      <c r="A42" s="358" t="inlineStr">
        <is>
          <t>วัสดุสิ้นเปลือง : เทปใส</t>
        </is>
      </c>
      <c r="B42" s="377" t="inlineStr">
        <is>
          <t>Kg</t>
        </is>
      </c>
      <c r="C42" s="1706">
        <f>SUM(F88:F89)</f>
        <v/>
      </c>
      <c r="D42" s="374">
        <f>C42/$C$47*100</f>
        <v/>
      </c>
    </row>
    <row r="43" ht="15" customHeight="1">
      <c r="A43" s="358" t="inlineStr">
        <is>
          <t>วัสดุสิ้นเปลือง : กาว</t>
        </is>
      </c>
      <c r="B43" s="377" t="inlineStr">
        <is>
          <t>Kg</t>
        </is>
      </c>
      <c r="C43" s="1706">
        <f>SUM(F90:F92)</f>
        <v/>
      </c>
      <c r="D43" s="374">
        <f>C43/$C$47*100</f>
        <v/>
      </c>
    </row>
    <row r="44" ht="15" customHeight="1">
      <c r="A44" s="358" t="inlineStr">
        <is>
          <t>วัสดุสิ้นเปลือง : น้ำมัน Food Grade</t>
        </is>
      </c>
      <c r="B44" s="377" t="inlineStr">
        <is>
          <t>Kg</t>
        </is>
      </c>
      <c r="C44" s="1706">
        <f>SUM(F93)</f>
        <v/>
      </c>
      <c r="D44" s="374">
        <f>C44/$C$47*100</f>
        <v/>
      </c>
    </row>
    <row r="45" ht="15" customHeight="1">
      <c r="A45" s="358" t="inlineStr">
        <is>
          <t>วัสดุสิ้นเปลือง : ฟิล์มยืด</t>
        </is>
      </c>
      <c r="B45" s="377" t="inlineStr">
        <is>
          <t>Kg</t>
        </is>
      </c>
      <c r="C45" s="1706">
        <f>SUM(F94:F95)</f>
        <v/>
      </c>
      <c r="D45" s="374">
        <f>C45/$C$47*100</f>
        <v/>
      </c>
    </row>
    <row r="46" ht="15" customHeight="1">
      <c r="A46" s="358" t="inlineStr">
        <is>
          <t>วัสดุสิ้นเปลือง : ฟิล์มหด</t>
        </is>
      </c>
      <c r="B46" s="377" t="inlineStr">
        <is>
          <t>Kg</t>
        </is>
      </c>
      <c r="C46" s="1706">
        <f>SUM(F96)</f>
        <v/>
      </c>
      <c r="D46" s="374">
        <f>C46/$C$47*100</f>
        <v/>
      </c>
    </row>
    <row r="47" ht="15" customHeight="1">
      <c r="C47" s="1695">
        <f>SUM(C29:C46)</f>
        <v/>
      </c>
    </row>
    <row r="49" ht="23.4" customHeight="1">
      <c r="A49" s="311" t="inlineStr">
        <is>
          <t>รายการวัตถุดิบ</t>
        </is>
      </c>
    </row>
    <row r="50" ht="14.25" customHeight="1">
      <c r="A50" s="1701" t="inlineStr">
        <is>
          <t>รายการวัตถุดิบที่ใช้</t>
        </is>
      </c>
      <c r="B50" s="1702" t="inlineStr">
        <is>
          <t>กระบวนการผลิต</t>
        </is>
      </c>
      <c r="C50" s="1702" t="inlineStr">
        <is>
          <t>สถานที่ใช้</t>
        </is>
      </c>
      <c r="D50" s="364" t="inlineStr">
        <is>
          <t>หลักฐานอ้างอิง</t>
        </is>
      </c>
      <c r="E50" s="364" t="inlineStr">
        <is>
          <t xml:space="preserve">หน่วย </t>
        </is>
      </c>
      <c r="F50" s="364" t="inlineStr">
        <is>
          <t>TOTAL</t>
        </is>
      </c>
      <c r="G50" s="364" t="inlineStr">
        <is>
          <t>ชื่อผู้ขาย</t>
        </is>
      </c>
      <c r="H50" s="364" t="inlineStr">
        <is>
          <t>ปริมาณการใช้แต่ละเดือน/2566</t>
        </is>
      </c>
      <c r="I50" s="1639" t="n"/>
      <c r="J50" s="1639" t="n"/>
      <c r="K50" s="1639" t="n"/>
      <c r="L50" s="1639" t="n"/>
      <c r="M50" s="1639" t="n"/>
      <c r="N50" s="1639" t="n"/>
      <c r="O50" s="1639" t="n"/>
      <c r="P50" s="1639" t="n"/>
      <c r="Q50" s="1639" t="n"/>
      <c r="R50" s="1639" t="n"/>
      <c r="S50" s="1640" t="n"/>
    </row>
    <row r="51" ht="14.25" customHeight="1">
      <c r="A51" s="1641" t="n"/>
      <c r="B51" s="1641" t="n"/>
      <c r="C51" s="1641" t="n"/>
      <c r="D51" s="1641" t="n"/>
      <c r="E51" s="1641" t="n"/>
      <c r="F51" s="364" t="inlineStr">
        <is>
          <t>รวมทั้งสิ้น</t>
        </is>
      </c>
      <c r="G51" s="1641" t="n"/>
      <c r="H51" s="364" t="inlineStr">
        <is>
          <t>มกราคม</t>
        </is>
      </c>
      <c r="I51" s="364" t="inlineStr">
        <is>
          <t>กุมภาพันธ์</t>
        </is>
      </c>
      <c r="J51" s="364" t="inlineStr">
        <is>
          <t>มีนาคม</t>
        </is>
      </c>
      <c r="K51" s="364" t="inlineStr">
        <is>
          <t>เมษายน</t>
        </is>
      </c>
      <c r="L51" s="364" t="inlineStr">
        <is>
          <t>พฤษภาคม</t>
        </is>
      </c>
      <c r="M51" s="364" t="inlineStr">
        <is>
          <t>มิถุนายน</t>
        </is>
      </c>
      <c r="N51" s="364" t="inlineStr">
        <is>
          <t>กรกฎาคม</t>
        </is>
      </c>
      <c r="O51" s="364" t="inlineStr">
        <is>
          <t>สิงหาคม</t>
        </is>
      </c>
      <c r="P51" s="364" t="inlineStr">
        <is>
          <t>กันยายน</t>
        </is>
      </c>
      <c r="Q51" s="364" t="inlineStr">
        <is>
          <t>ตุลาคม</t>
        </is>
      </c>
      <c r="R51" s="364" t="inlineStr">
        <is>
          <t>พฤศจิกายน</t>
        </is>
      </c>
      <c r="S51" s="364" t="inlineStr">
        <is>
          <t>ธันวาคม</t>
        </is>
      </c>
    </row>
    <row r="52" ht="15" customHeight="1">
      <c r="A52" s="379" t="inlineStr">
        <is>
          <t>วัตถุดิบชนิด : LDPE</t>
        </is>
      </c>
      <c r="B52" s="380" t="inlineStr">
        <is>
          <t>กระบวนการผสมวัตถุดิบ</t>
        </is>
      </c>
      <c r="C52" s="380" t="inlineStr">
        <is>
          <t>โรงงาน 1,2,35</t>
        </is>
      </c>
      <c r="D52" s="379" t="inlineStr">
        <is>
          <t>ใบสั่งซื้อ/ใบกำกับภาษี</t>
        </is>
      </c>
      <c r="E52" s="380" t="inlineStr">
        <is>
          <t>Kg</t>
        </is>
      </c>
      <c r="F52" s="1707">
        <f>SUM(H52:S52)</f>
        <v/>
      </c>
      <c r="G52" s="379" t="inlineStr">
        <is>
          <t>BOROUGE PTE LTD.</t>
        </is>
      </c>
      <c r="H52" s="1646" t="n"/>
      <c r="I52" s="1646" t="n"/>
      <c r="J52" s="1646" t="n"/>
      <c r="K52" s="1646" t="n"/>
      <c r="L52" s="1646" t="n"/>
      <c r="M52" s="1646" t="n"/>
      <c r="N52" s="1646" t="n">
        <v>297000</v>
      </c>
      <c r="O52" s="1646" t="n">
        <v>198000</v>
      </c>
      <c r="P52" s="1646" t="n">
        <v>297000</v>
      </c>
      <c r="Q52" s="1646" t="n">
        <v>123750</v>
      </c>
      <c r="R52" s="1646" t="n">
        <v>346500</v>
      </c>
      <c r="S52" s="1646" t="n"/>
      <c r="T52" s="309" t="n"/>
      <c r="U52" s="309" t="n"/>
      <c r="V52" s="309" t="n"/>
      <c r="W52" s="309" t="n"/>
      <c r="X52" s="309" t="n"/>
      <c r="Y52" s="309" t="n"/>
      <c r="Z52" s="309" t="n"/>
    </row>
    <row r="53" ht="15" customHeight="1">
      <c r="A53" s="379" t="inlineStr">
        <is>
          <t>วัตถุดิบชนิด : LDPE</t>
        </is>
      </c>
      <c r="B53" s="380" t="inlineStr">
        <is>
          <t>กระบวนการผสมวัตถุดิบ</t>
        </is>
      </c>
      <c r="C53" s="380" t="inlineStr">
        <is>
          <t>โรงงาน 1,2,35</t>
        </is>
      </c>
      <c r="D53" s="379" t="inlineStr">
        <is>
          <t>ใบสั่งซื้อ/ใบกำกับภาษี</t>
        </is>
      </c>
      <c r="E53" s="380" t="inlineStr">
        <is>
          <t>Kg</t>
        </is>
      </c>
      <c r="F53" s="1707">
        <f>SUM(H53:S53)</f>
        <v/>
      </c>
      <c r="G53" s="382" t="inlineStr">
        <is>
          <t>บริษัท พีทีที โกลบอล เคมิคอล จำกัด (มหาชน)</t>
        </is>
      </c>
      <c r="H53" s="1703" t="n">
        <v>255000</v>
      </c>
      <c r="I53" s="1703" t="n">
        <v>375000</v>
      </c>
      <c r="J53" s="1703" t="n">
        <v>375000</v>
      </c>
      <c r="K53" s="1703" t="n">
        <v>375000</v>
      </c>
      <c r="L53" s="1703" t="n">
        <v>375000</v>
      </c>
      <c r="M53" s="1703" t="n">
        <v>375000</v>
      </c>
      <c r="N53" s="1703" t="n"/>
      <c r="O53" s="1703" t="n">
        <v>60000</v>
      </c>
      <c r="P53" s="1703" t="n">
        <v>150000</v>
      </c>
      <c r="Q53" s="1703" t="n">
        <v>45000</v>
      </c>
      <c r="R53" s="1703" t="n">
        <v>135000</v>
      </c>
      <c r="S53" s="1703" t="n">
        <v>105000</v>
      </c>
    </row>
    <row r="54" ht="15" customHeight="1">
      <c r="A54" s="358" t="inlineStr">
        <is>
          <t>วัตถุดิบชนิด : LLDPE</t>
        </is>
      </c>
      <c r="B54" s="308" t="inlineStr">
        <is>
          <t>กระบวนการผสมวัตถุดิบ</t>
        </is>
      </c>
      <c r="C54" s="308" t="inlineStr">
        <is>
          <t>โรงงาน 1,2,35</t>
        </is>
      </c>
      <c r="D54" s="358" t="inlineStr">
        <is>
          <t>ใบสั่งซื้อ/ใบกำกับภาษี</t>
        </is>
      </c>
      <c r="E54" s="308" t="inlineStr">
        <is>
          <t>Kg</t>
        </is>
      </c>
      <c r="F54" s="1646">
        <f>SUM(H54:S54)</f>
        <v/>
      </c>
      <c r="G54" s="369" t="inlineStr">
        <is>
          <t>BOROUGE PTE LTD.</t>
        </is>
      </c>
      <c r="H54" s="1703" t="n">
        <v>222750</v>
      </c>
      <c r="I54" s="1703" t="n">
        <v>74250</v>
      </c>
      <c r="J54" s="1703" t="n">
        <v>222750</v>
      </c>
      <c r="K54" s="1703" t="n">
        <v>222750</v>
      </c>
      <c r="L54" s="1703" t="n">
        <v>148500</v>
      </c>
      <c r="M54" s="1703" t="n">
        <v>222750</v>
      </c>
      <c r="N54" s="1703" t="n">
        <v>297000</v>
      </c>
      <c r="O54" s="1703" t="n"/>
      <c r="P54" s="1703" t="n"/>
      <c r="Q54" s="1703" t="n">
        <v>148500</v>
      </c>
      <c r="R54" s="1703" t="n"/>
      <c r="S54" s="1703" t="n"/>
    </row>
    <row r="55" ht="15" customHeight="1">
      <c r="A55" s="358" t="inlineStr">
        <is>
          <t>วัตถุดิบชนิด : LLDPE</t>
        </is>
      </c>
      <c r="B55" s="308" t="inlineStr">
        <is>
          <t>กระบวนการผสมวัตถุดิบ</t>
        </is>
      </c>
      <c r="C55" s="308" t="inlineStr">
        <is>
          <t>โรงงาน 1,2,35</t>
        </is>
      </c>
      <c r="D55" s="358" t="inlineStr">
        <is>
          <t>ใบสั่งซื้อ/ใบกำกับภาษี</t>
        </is>
      </c>
      <c r="E55" s="308" t="inlineStr">
        <is>
          <t>Kg</t>
        </is>
      </c>
      <c r="F55" s="1646">
        <f>SUM(H55:S55)</f>
        <v/>
      </c>
      <c r="G55" s="369" t="inlineStr">
        <is>
          <t>EQUATE Petrochemical Company K.S.C.C.</t>
        </is>
      </c>
      <c r="H55" s="1703" t="n">
        <v>767250</v>
      </c>
      <c r="I55" s="1703" t="n">
        <v>198000</v>
      </c>
      <c r="J55" s="1703" t="n"/>
      <c r="K55" s="1703" t="n"/>
      <c r="L55" s="1703" t="n">
        <v>99000</v>
      </c>
      <c r="M55" s="1703" t="n"/>
      <c r="N55" s="1703" t="n">
        <v>99000</v>
      </c>
      <c r="O55" s="1703" t="n">
        <v>99000</v>
      </c>
      <c r="P55" s="1703" t="n">
        <v>396000</v>
      </c>
      <c r="Q55" s="1703" t="n"/>
      <c r="R55" s="1703" t="n">
        <v>198000</v>
      </c>
      <c r="S55" s="1703" t="n">
        <v>247500</v>
      </c>
    </row>
    <row r="56" ht="15" customHeight="1">
      <c r="A56" s="358" t="inlineStr">
        <is>
          <t>วัตถุดิบชนิด : LLDPE</t>
        </is>
      </c>
      <c r="B56" s="308" t="inlineStr">
        <is>
          <t>กระบวนการผสมวัตถุดิบ</t>
        </is>
      </c>
      <c r="C56" s="308" t="inlineStr">
        <is>
          <t>โรงงาน 1,2,35</t>
        </is>
      </c>
      <c r="D56" s="358" t="inlineStr">
        <is>
          <t>ใบสั่งซื้อ/ใบกำกับภาษี</t>
        </is>
      </c>
      <c r="E56" s="308" t="inlineStr">
        <is>
          <t>Kg</t>
        </is>
      </c>
      <c r="F56" s="1646">
        <f>SUM(H56:S56)</f>
        <v/>
      </c>
      <c r="G56" s="369" t="inlineStr">
        <is>
          <t>บริษัท ไทยโพลิเอททีลีน จำกัด</t>
        </is>
      </c>
      <c r="H56" s="1703" t="n"/>
      <c r="I56" s="1703" t="n">
        <v>15000</v>
      </c>
      <c r="J56" s="1703" t="n"/>
      <c r="K56" s="1703" t="n"/>
      <c r="L56" s="1703" t="n">
        <v>15000</v>
      </c>
      <c r="M56" s="1703" t="n"/>
      <c r="N56" s="1703" t="n"/>
      <c r="O56" s="1703" t="n"/>
      <c r="P56" s="1703" t="n">
        <v>15000</v>
      </c>
      <c r="Q56" s="1703" t="n"/>
      <c r="R56" s="1703" t="n">
        <v>15000</v>
      </c>
      <c r="S56" s="1703" t="n"/>
    </row>
    <row r="57" ht="15" customHeight="1">
      <c r="A57" s="358" t="inlineStr">
        <is>
          <t>วัตถุดิบชนิด : LLDPE</t>
        </is>
      </c>
      <c r="B57" s="308" t="inlineStr">
        <is>
          <t>กระบวนการผสมวัตถุดิบ</t>
        </is>
      </c>
      <c r="C57" s="308" t="inlineStr">
        <is>
          <t>โรงงาน 1,2,35</t>
        </is>
      </c>
      <c r="D57" s="358" t="inlineStr">
        <is>
          <t>ใบสั่งซื้อ/ใบกำกับภาษี</t>
        </is>
      </c>
      <c r="E57" s="308" t="inlineStr">
        <is>
          <t>Kg</t>
        </is>
      </c>
      <c r="F57" s="1646">
        <f>SUM(H57:S57)</f>
        <v/>
      </c>
      <c r="G57" s="369" t="inlineStr">
        <is>
          <t>บริษัท พีทีที โกลบอล เคมิคอล จำกัด (มหาชน)</t>
        </is>
      </c>
      <c r="H57" s="1703" t="n">
        <v>15000</v>
      </c>
      <c r="I57" s="1703" t="n"/>
      <c r="J57" s="1703" t="n"/>
      <c r="K57" s="1703" t="n"/>
      <c r="L57" s="1703" t="n"/>
      <c r="M57" s="1703" t="n"/>
      <c r="N57" s="1703" t="n"/>
      <c r="O57" s="1703" t="n">
        <v>15000</v>
      </c>
      <c r="P57" s="1703" t="n"/>
      <c r="Q57" s="1703" t="n"/>
      <c r="R57" s="1703" t="n"/>
      <c r="S57" s="1703" t="n"/>
    </row>
    <row r="58" ht="15" customHeight="1">
      <c r="A58" s="379" t="inlineStr">
        <is>
          <t>วัตถุดิบชนิด : HDPE</t>
        </is>
      </c>
      <c r="B58" s="380" t="inlineStr">
        <is>
          <t>กระบวนการผสมวัตถุดิบ</t>
        </is>
      </c>
      <c r="C58" s="380" t="inlineStr">
        <is>
          <t>โรงงาน 1,2,35</t>
        </is>
      </c>
      <c r="D58" s="379" t="inlineStr">
        <is>
          <t>ใบสั่งซื้อ/ใบกำกับภาษี</t>
        </is>
      </c>
      <c r="E58" s="380" t="inlineStr">
        <is>
          <t>Kg</t>
        </is>
      </c>
      <c r="F58" s="1707">
        <f>SUM(H58:S58)</f>
        <v/>
      </c>
      <c r="G58" s="383" t="inlineStr">
        <is>
          <t>EQUATE Petrochemical Company K.S.C.C.</t>
        </is>
      </c>
      <c r="H58" s="1703" t="n"/>
      <c r="I58" s="1703" t="n"/>
      <c r="J58" s="1703" t="n"/>
      <c r="K58" s="1703" t="n"/>
      <c r="L58" s="1703" t="n"/>
      <c r="M58" s="1703" t="n"/>
      <c r="N58" s="1703" t="n">
        <v>24750</v>
      </c>
      <c r="O58" s="1703" t="n"/>
      <c r="P58" s="1703" t="n"/>
      <c r="Q58" s="1703" t="n"/>
      <c r="R58" s="1703" t="n"/>
      <c r="S58" s="1703" t="n">
        <v>49500</v>
      </c>
    </row>
    <row r="59" ht="15" customHeight="1">
      <c r="A59" s="379" t="inlineStr">
        <is>
          <t>วัตถุดิบชนิด : HDPE</t>
        </is>
      </c>
      <c r="B59" s="380" t="inlineStr">
        <is>
          <t>กระบวนการผสมวัตถุดิบ</t>
        </is>
      </c>
      <c r="C59" s="380" t="inlineStr">
        <is>
          <t>โรงงาน 1,2,35</t>
        </is>
      </c>
      <c r="D59" s="379" t="inlineStr">
        <is>
          <t>ใบสั่งซื้อ/ใบกำกับภาษี</t>
        </is>
      </c>
      <c r="E59" s="380" t="inlineStr">
        <is>
          <t>Kg</t>
        </is>
      </c>
      <c r="F59" s="1707">
        <f>SUM(H59:S59)</f>
        <v/>
      </c>
      <c r="G59" s="383" t="inlineStr">
        <is>
          <t>บริษัท ไทยโพลิเอททีลีน จำกัด</t>
        </is>
      </c>
      <c r="H59" s="1703" t="n">
        <v>30000</v>
      </c>
      <c r="I59" s="1703" t="n">
        <v>90000</v>
      </c>
      <c r="J59" s="1703" t="n">
        <v>90000</v>
      </c>
      <c r="K59" s="1703" t="n">
        <v>30000</v>
      </c>
      <c r="L59" s="1703" t="n">
        <v>45000</v>
      </c>
      <c r="M59" s="1703" t="n">
        <v>90000</v>
      </c>
      <c r="N59" s="1703" t="n">
        <v>45000</v>
      </c>
      <c r="O59" s="1703" t="n">
        <v>45000</v>
      </c>
      <c r="P59" s="1703" t="n">
        <v>60000</v>
      </c>
      <c r="Q59" s="1703" t="n">
        <v>75000</v>
      </c>
      <c r="R59" s="1703" t="n">
        <v>90000</v>
      </c>
      <c r="S59" s="1703" t="n">
        <v>105000</v>
      </c>
    </row>
    <row r="60" ht="15" customHeight="1">
      <c r="A60" s="358" t="inlineStr">
        <is>
          <t>วัตถุดิบชนิด : Braskem (HDPE)</t>
        </is>
      </c>
      <c r="B60" s="308" t="inlineStr">
        <is>
          <t>กระบวนการผสมวัตถุดิบ</t>
        </is>
      </c>
      <c r="C60" s="308" t="inlineStr">
        <is>
          <t>โรงงาน 1,2,35</t>
        </is>
      </c>
      <c r="D60" s="358" t="inlineStr">
        <is>
          <t>ใบสั่งซื้อ/ใบกำกับภาษี</t>
        </is>
      </c>
      <c r="E60" s="308" t="inlineStr">
        <is>
          <t>Kg</t>
        </is>
      </c>
      <c r="F60" s="1646">
        <f>SUM(H60:S60)</f>
        <v/>
      </c>
      <c r="G60" s="369" t="inlineStr">
        <is>
          <t>SOJITZ PLA-NET CORPORATION</t>
        </is>
      </c>
      <c r="H60" s="1703" t="n"/>
      <c r="I60" s="1703" t="n"/>
      <c r="J60" s="1703" t="n"/>
      <c r="K60" s="1703" t="n"/>
      <c r="L60" s="1703" t="n"/>
      <c r="M60" s="1703" t="n"/>
      <c r="N60" s="1703" t="n"/>
      <c r="O60" s="1703" t="n"/>
      <c r="P60" s="1703" t="n"/>
      <c r="Q60" s="1703" t="n">
        <v>49500</v>
      </c>
      <c r="R60" s="1703" t="n"/>
      <c r="S60" s="1703" t="n">
        <v>24750</v>
      </c>
    </row>
    <row r="61" ht="15" customHeight="1">
      <c r="A61" s="358" t="inlineStr">
        <is>
          <t>วัตถุดิบชนิด : Braskem (HDPE)</t>
        </is>
      </c>
      <c r="B61" s="308" t="inlineStr">
        <is>
          <t>กระบวนการผสมวัตถุดิบ</t>
        </is>
      </c>
      <c r="C61" s="308" t="inlineStr">
        <is>
          <t>โรงงาน 1,2,35</t>
        </is>
      </c>
      <c r="D61" s="358" t="inlineStr">
        <is>
          <t>ใบสั่งซื้อ/ใบกำกับภาษี</t>
        </is>
      </c>
      <c r="E61" s="308" t="inlineStr">
        <is>
          <t>Kg</t>
        </is>
      </c>
      <c r="F61" s="1646">
        <f>SUM(H61:S61)</f>
        <v/>
      </c>
      <c r="G61" s="369" t="inlineStr">
        <is>
          <t>SOJITZ PLA-NET CORPORATION OSAKA BRANCH</t>
        </is>
      </c>
      <c r="H61" s="1703" t="n"/>
      <c r="I61" s="1703" t="n"/>
      <c r="J61" s="1703" t="n"/>
      <c r="K61" s="1703" t="n"/>
      <c r="L61" s="1703" t="n"/>
      <c r="M61" s="1703" t="n"/>
      <c r="N61" s="1703" t="n"/>
      <c r="O61" s="1703" t="n"/>
      <c r="P61" s="1703" t="n">
        <v>24750</v>
      </c>
      <c r="Q61" s="1703" t="n">
        <v>24750</v>
      </c>
      <c r="R61" s="1703" t="n"/>
      <c r="S61" s="1703" t="n"/>
    </row>
    <row r="62" ht="15" customHeight="1">
      <c r="A62" s="379" t="inlineStr">
        <is>
          <t>วัตถุดิบชนิด : PCR</t>
        </is>
      </c>
      <c r="B62" s="380" t="inlineStr">
        <is>
          <t>กระบวนการผสมวัตถุดิบ</t>
        </is>
      </c>
      <c r="C62" s="380" t="inlineStr">
        <is>
          <t>โรงงาน 1,2,35</t>
        </is>
      </c>
      <c r="D62" s="379" t="inlineStr">
        <is>
          <t>ใบสั่งซื้อ/ใบกำกับภาษี</t>
        </is>
      </c>
      <c r="E62" s="380" t="inlineStr">
        <is>
          <t>Kg</t>
        </is>
      </c>
      <c r="F62" s="1707">
        <f>SUM(H62:S62)</f>
        <v/>
      </c>
      <c r="G62" s="1708" t="inlineStr">
        <is>
          <t>BOROUGE PTE LTD.</t>
        </is>
      </c>
      <c r="H62" s="1703" t="n"/>
      <c r="I62" s="1703" t="n"/>
      <c r="J62" s="1703" t="n"/>
      <c r="K62" s="1703" t="n">
        <v>22000</v>
      </c>
      <c r="L62" s="1703" t="n"/>
      <c r="M62" s="1703" t="n"/>
      <c r="N62" s="1703" t="n"/>
      <c r="O62" s="1703" t="n"/>
      <c r="P62" s="1703" t="n"/>
      <c r="Q62" s="1703" t="n"/>
      <c r="R62" s="1703" t="n"/>
      <c r="S62" s="1703" t="n">
        <v>212000</v>
      </c>
    </row>
    <row r="63" ht="15" customHeight="1">
      <c r="A63" s="379" t="inlineStr">
        <is>
          <t>วัตถุดิบชนิด : PCR</t>
        </is>
      </c>
      <c r="B63" s="380" t="inlineStr">
        <is>
          <t>กระบวนการผสมวัตถุดิบ</t>
        </is>
      </c>
      <c r="C63" s="380" t="inlineStr">
        <is>
          <t>โรงงาน 1,2,35</t>
        </is>
      </c>
      <c r="D63" s="379" t="inlineStr">
        <is>
          <t>ใบสั่งซื้อ/ใบกำกับภาษี</t>
        </is>
      </c>
      <c r="E63" s="380" t="inlineStr">
        <is>
          <t>Kg</t>
        </is>
      </c>
      <c r="F63" s="1707">
        <f>SUM(H63:S63)</f>
        <v/>
      </c>
      <c r="G63" s="1708" t="inlineStr">
        <is>
          <t>Kingfa Environmental Sci. &amp; Tech. Co.,Ltd.</t>
        </is>
      </c>
      <c r="H63" s="1703" t="n"/>
      <c r="I63" s="1703" t="n"/>
      <c r="J63" s="1703" t="n"/>
      <c r="K63" s="1703" t="n"/>
      <c r="L63" s="1703" t="n"/>
      <c r="M63" s="1703" t="n"/>
      <c r="N63" s="1703" t="n"/>
      <c r="O63" s="1703" t="n"/>
      <c r="P63" s="1703" t="n"/>
      <c r="Q63" s="1703" t="n"/>
      <c r="R63" s="1703" t="n">
        <v>12800</v>
      </c>
      <c r="S63" s="1703" t="n"/>
    </row>
    <row r="64" ht="15" customHeight="1">
      <c r="A64" s="379" t="inlineStr">
        <is>
          <t>วัตถุดิบชนิด : PCR</t>
        </is>
      </c>
      <c r="B64" s="380" t="inlineStr">
        <is>
          <t>กระบวนการผสมวัตถุดิบ</t>
        </is>
      </c>
      <c r="C64" s="380" t="inlineStr">
        <is>
          <t>โรงงาน 1,2,35</t>
        </is>
      </c>
      <c r="D64" s="379" t="inlineStr">
        <is>
          <t>ใบสั่งซื้อ/ใบกำกับภาษี</t>
        </is>
      </c>
      <c r="E64" s="380" t="inlineStr">
        <is>
          <t>Kg</t>
        </is>
      </c>
      <c r="F64" s="1707">
        <f>SUM(H64:S64)</f>
        <v/>
      </c>
      <c r="G64" s="1708" t="inlineStr">
        <is>
          <t>บริษัท ไทยโพลิเอททีลีน จำกัด</t>
        </is>
      </c>
      <c r="H64" s="1703" t="n"/>
      <c r="I64" s="1703" t="n"/>
      <c r="J64" s="1703" t="n"/>
      <c r="K64" s="1703" t="n"/>
      <c r="L64" s="1703" t="n"/>
      <c r="M64" s="1703" t="n"/>
      <c r="N64" s="1703" t="n"/>
      <c r="O64" s="1703" t="n"/>
      <c r="P64" s="1703" t="n">
        <v>600</v>
      </c>
      <c r="Q64" s="1703" t="n"/>
      <c r="R64" s="1703" t="n"/>
      <c r="S64" s="1703" t="n"/>
    </row>
    <row r="65" ht="15" customHeight="1">
      <c r="A65" s="358" t="inlineStr">
        <is>
          <t>วัตถุดิบชนิด : Masterbatch</t>
        </is>
      </c>
      <c r="B65" s="308" t="inlineStr">
        <is>
          <t>กระบวนการผสมวัตถุดิบ</t>
        </is>
      </c>
      <c r="C65" s="308" t="inlineStr">
        <is>
          <t>โรงงาน 1,2,35</t>
        </is>
      </c>
      <c r="D65" s="358" t="inlineStr">
        <is>
          <t>ใบสั่งซื้อ/ใบกำกับภาษี</t>
        </is>
      </c>
      <c r="E65" s="308" t="inlineStr">
        <is>
          <t>Kg</t>
        </is>
      </c>
      <c r="F65" s="1646">
        <f>SUM(H65:S65)</f>
        <v/>
      </c>
      <c r="G65" s="1703" t="inlineStr">
        <is>
          <t>AMPACET (Thailand) Co., Ltd.</t>
        </is>
      </c>
      <c r="H65" s="1703" t="n">
        <v>3099</v>
      </c>
      <c r="I65" s="1703" t="n">
        <v>100</v>
      </c>
      <c r="J65" s="1703" t="n">
        <v>1050</v>
      </c>
      <c r="K65" s="1703" t="n">
        <v>100</v>
      </c>
      <c r="L65" s="1703" t="n">
        <v>5250</v>
      </c>
      <c r="M65" s="1703" t="n">
        <v>4095</v>
      </c>
      <c r="N65" s="1703" t="n">
        <v>1748</v>
      </c>
      <c r="O65" s="1703" t="n">
        <v>2619</v>
      </c>
      <c r="P65" s="1703" t="n">
        <v>2300</v>
      </c>
      <c r="Q65" s="1703" t="n">
        <v>350</v>
      </c>
      <c r="R65" s="1703" t="n">
        <v>5793</v>
      </c>
      <c r="S65" s="1703" t="n">
        <v>700</v>
      </c>
    </row>
    <row r="66" ht="15" customHeight="1">
      <c r="A66" s="358" t="inlineStr">
        <is>
          <t>วัตถุดิบชนิด : Masterbatch</t>
        </is>
      </c>
      <c r="B66" s="308" t="inlineStr">
        <is>
          <t>กระบวนการผสมวัตถุดิบ</t>
        </is>
      </c>
      <c r="C66" s="308" t="inlineStr">
        <is>
          <t>โรงงาน 1,2,35</t>
        </is>
      </c>
      <c r="D66" s="358" t="inlineStr">
        <is>
          <t>ใบสั่งซื้อ/ใบกำกับภาษี</t>
        </is>
      </c>
      <c r="E66" s="308" t="inlineStr">
        <is>
          <t>Kg</t>
        </is>
      </c>
      <c r="F66" s="1646">
        <f>SUM(H66:S66)</f>
        <v/>
      </c>
      <c r="G66" s="1703" t="inlineStr">
        <is>
          <t>บริษัท ทีเอช คัลเล่อร์  จำกัด</t>
        </is>
      </c>
      <c r="H66" s="1703" t="n">
        <v>33546.5</v>
      </c>
      <c r="I66" s="1703" t="n">
        <v>22268.2</v>
      </c>
      <c r="J66" s="1703" t="n">
        <v>13845.3</v>
      </c>
      <c r="K66" s="1703" t="n">
        <v>8047.1</v>
      </c>
      <c r="L66" s="1703" t="n">
        <v>16746.8</v>
      </c>
      <c r="M66" s="1703" t="n">
        <v>14698.4</v>
      </c>
      <c r="N66" s="1703" t="n">
        <v>15495.3</v>
      </c>
      <c r="O66" s="1703" t="n">
        <v>7744.999999999999</v>
      </c>
      <c r="P66" s="1703" t="n">
        <v>20219.4</v>
      </c>
      <c r="Q66" s="1703" t="n">
        <v>19594.4</v>
      </c>
      <c r="R66" s="1703" t="n">
        <v>19692.7</v>
      </c>
      <c r="S66" s="1703" t="n">
        <v>21995</v>
      </c>
    </row>
    <row r="67" ht="15" customHeight="1">
      <c r="A67" s="358" t="inlineStr">
        <is>
          <t>วัตถุดิบชนิด : Masterbatch</t>
        </is>
      </c>
      <c r="B67" s="308" t="inlineStr">
        <is>
          <t>กระบวนการผสมวัตถุดิบ</t>
        </is>
      </c>
      <c r="C67" s="308" t="inlineStr">
        <is>
          <t>โรงงาน 1,2,35</t>
        </is>
      </c>
      <c r="D67" s="358" t="inlineStr">
        <is>
          <t>ใบสั่งซื้อ/ใบกำกับภาษี</t>
        </is>
      </c>
      <c r="E67" s="308" t="inlineStr">
        <is>
          <t>Kg</t>
        </is>
      </c>
      <c r="F67" s="1646">
        <f>SUM(H67:S67)</f>
        <v/>
      </c>
      <c r="G67" s="1703" t="inlineStr">
        <is>
          <t>บริษัท เอเวียนท์ (ประเทศไทย) จำกัด</t>
        </is>
      </c>
      <c r="H67" s="1703" t="n"/>
      <c r="I67" s="1703" t="n">
        <v>300</v>
      </c>
      <c r="J67" s="1703" t="n">
        <v>250</v>
      </c>
      <c r="K67" s="1703" t="n">
        <v>350</v>
      </c>
      <c r="L67" s="1703" t="n">
        <v>300</v>
      </c>
      <c r="M67" s="1703" t="n">
        <v>300</v>
      </c>
      <c r="N67" s="1703" t="n">
        <v>300</v>
      </c>
      <c r="O67" s="1703" t="n">
        <v>600</v>
      </c>
      <c r="P67" s="1703" t="n"/>
      <c r="Q67" s="1703" t="n">
        <v>300</v>
      </c>
      <c r="R67" s="1703" t="n">
        <v>500</v>
      </c>
      <c r="S67" s="1703" t="n">
        <v>300</v>
      </c>
    </row>
    <row r="68" ht="15" customHeight="1">
      <c r="A68" s="358" t="inlineStr">
        <is>
          <t>วัตถุดิบชนิด : Masterbatch</t>
        </is>
      </c>
      <c r="B68" s="308" t="inlineStr">
        <is>
          <t>กระบวนการผสมวัตถุดิบ</t>
        </is>
      </c>
      <c r="C68" s="308" t="inlineStr">
        <is>
          <t>โรงงาน 1,2,35</t>
        </is>
      </c>
      <c r="D68" s="358" t="inlineStr">
        <is>
          <t>ใบสั่งซื้อ/ใบกำกับภาษี</t>
        </is>
      </c>
      <c r="E68" s="308" t="inlineStr">
        <is>
          <t>Kg</t>
        </is>
      </c>
      <c r="F68" s="1646">
        <f>SUM(H68:S68)</f>
        <v/>
      </c>
      <c r="G68" s="1703" t="inlineStr">
        <is>
          <t>บริษัท เอเวียนท์ คัลเลอร์แร้นท์ (ประเทศไทย) จำกัด</t>
        </is>
      </c>
      <c r="H68" s="1703" t="n">
        <v>25</v>
      </c>
      <c r="I68" s="1703" t="n">
        <v>300</v>
      </c>
      <c r="J68" s="1703" t="n"/>
      <c r="K68" s="1703" t="n">
        <v>273.4</v>
      </c>
      <c r="L68" s="1703" t="n">
        <v>675</v>
      </c>
      <c r="M68" s="1703" t="n"/>
      <c r="N68" s="1703" t="n"/>
      <c r="O68" s="1703" t="n">
        <v>571.8</v>
      </c>
      <c r="P68" s="1703" t="n"/>
      <c r="Q68" s="1703" t="n"/>
      <c r="R68" s="1703" t="n">
        <v>299.4</v>
      </c>
      <c r="S68" s="1703" t="n">
        <v>296.6</v>
      </c>
    </row>
    <row r="69" ht="15" customHeight="1">
      <c r="A69" s="379" t="inlineStr">
        <is>
          <t>วัตถุดิบชนิด : Calcium</t>
        </is>
      </c>
      <c r="B69" s="380" t="inlineStr">
        <is>
          <t>กระบวนการผสมวัตถุดิบ</t>
        </is>
      </c>
      <c r="C69" s="380" t="inlineStr">
        <is>
          <t>โรงงาน 1,2,35</t>
        </is>
      </c>
      <c r="D69" s="379" t="inlineStr">
        <is>
          <t>ใบสั่งซื้อ/ใบกำกับภาษี</t>
        </is>
      </c>
      <c r="E69" s="380" t="inlineStr">
        <is>
          <t>Kg</t>
        </is>
      </c>
      <c r="F69" s="1707">
        <f>SUM(H69:S69)</f>
        <v/>
      </c>
      <c r="G69" s="383" t="inlineStr">
        <is>
          <t>บริษัท ทีเอช คัลเล่อร์  จำกัด</t>
        </is>
      </c>
      <c r="H69" s="1703" t="n">
        <v>16250</v>
      </c>
      <c r="I69" s="1703" t="n">
        <v>12100</v>
      </c>
      <c r="J69" s="1703" t="n">
        <v>11450</v>
      </c>
      <c r="K69" s="1703" t="n">
        <v>6000</v>
      </c>
      <c r="L69" s="1703" t="n">
        <v>10050</v>
      </c>
      <c r="M69" s="1703" t="n">
        <v>11100</v>
      </c>
      <c r="N69" s="1703" t="n">
        <v>10900</v>
      </c>
      <c r="O69" s="1703" t="n">
        <v>6000</v>
      </c>
      <c r="P69" s="1703" t="n">
        <v>14425</v>
      </c>
      <c r="Q69" s="1703" t="n">
        <v>18400</v>
      </c>
      <c r="R69" s="1703" t="n">
        <v>12150</v>
      </c>
      <c r="S69" s="1703" t="n">
        <v>13600</v>
      </c>
    </row>
    <row r="70" ht="15" customHeight="1">
      <c r="A70" s="358" t="inlineStr">
        <is>
          <t>วัตถุดิบชนิด : Ink</t>
        </is>
      </c>
      <c r="B70" s="308" t="inlineStr">
        <is>
          <t>กระบวนการผสมวัตถุดิบ</t>
        </is>
      </c>
      <c r="C70" s="308" t="inlineStr">
        <is>
          <t>โรงงาน 1,2,35</t>
        </is>
      </c>
      <c r="D70" s="358" t="inlineStr">
        <is>
          <t>ใบสั่งซื้อ/ใบกำกับภาษี</t>
        </is>
      </c>
      <c r="E70" s="308" t="inlineStr">
        <is>
          <t>Kg</t>
        </is>
      </c>
      <c r="F70" s="1646">
        <f>SUM(H70:S70)</f>
        <v/>
      </c>
      <c r="G70" s="369" t="inlineStr">
        <is>
          <t>SIEGWERK (THAILAND)  LTD.</t>
        </is>
      </c>
      <c r="H70" s="1703" t="n">
        <v>355</v>
      </c>
      <c r="I70" s="1703" t="n">
        <v>30</v>
      </c>
      <c r="J70" s="1703" t="n">
        <v>60</v>
      </c>
      <c r="K70" s="1703" t="n"/>
      <c r="L70" s="1703" t="n">
        <v>275</v>
      </c>
      <c r="M70" s="1703" t="n">
        <v>505</v>
      </c>
      <c r="N70" s="1703" t="n">
        <v>15</v>
      </c>
      <c r="O70" s="1703" t="n">
        <v>160</v>
      </c>
      <c r="P70" s="1703" t="n">
        <v>100</v>
      </c>
      <c r="Q70" s="1703" t="n">
        <v>355</v>
      </c>
      <c r="R70" s="1703" t="n"/>
      <c r="S70" s="1703" t="n">
        <v>150</v>
      </c>
    </row>
    <row r="71" ht="15" customHeight="1">
      <c r="A71" s="358" t="inlineStr">
        <is>
          <t>วัตถุดิบชนิด : Ink</t>
        </is>
      </c>
      <c r="B71" s="308" t="inlineStr">
        <is>
          <t>กระบวนการผสมวัตถุดิบ</t>
        </is>
      </c>
      <c r="C71" s="308" t="inlineStr">
        <is>
          <t>โรงงาน 1,2,35</t>
        </is>
      </c>
      <c r="D71" s="358" t="inlineStr">
        <is>
          <t>ใบสั่งซื้อ/ใบกำกับภาษี</t>
        </is>
      </c>
      <c r="E71" s="308" t="inlineStr">
        <is>
          <t>Kg</t>
        </is>
      </c>
      <c r="F71" s="1646">
        <f>SUM(H71:S71)</f>
        <v/>
      </c>
      <c r="G71" s="369" t="inlineStr">
        <is>
          <t>บริษัท พาโนราม่า อิ้งค์ จำกัด</t>
        </is>
      </c>
      <c r="H71" s="1703" t="n"/>
      <c r="I71" s="1703" t="n">
        <v>604</v>
      </c>
      <c r="J71" s="1703" t="n">
        <v>304</v>
      </c>
      <c r="K71" s="1703" t="n"/>
      <c r="L71" s="1703" t="n">
        <v>400</v>
      </c>
      <c r="M71" s="1703" t="n">
        <v>300</v>
      </c>
      <c r="N71" s="1703" t="n">
        <v>300</v>
      </c>
      <c r="O71" s="1703" t="n"/>
      <c r="P71" s="1703" t="n"/>
      <c r="Q71" s="1703" t="n"/>
      <c r="R71" s="1703" t="n">
        <v>300</v>
      </c>
      <c r="S71" s="1703" t="n">
        <v>120</v>
      </c>
    </row>
    <row r="72" ht="15" customHeight="1">
      <c r="A72" s="358" t="inlineStr">
        <is>
          <t>วัตถุดิบชนิด : Ink</t>
        </is>
      </c>
      <c r="B72" s="308" t="inlineStr">
        <is>
          <t>กระบวนการผสมวัตถุดิบ</t>
        </is>
      </c>
      <c r="C72" s="308" t="inlineStr">
        <is>
          <t>โรงงาน 1,2,35</t>
        </is>
      </c>
      <c r="D72" s="358" t="inlineStr">
        <is>
          <t>ใบสั่งซื้อ/ใบกำกับภาษี</t>
        </is>
      </c>
      <c r="E72" s="308" t="inlineStr">
        <is>
          <t>Kg</t>
        </is>
      </c>
      <c r="F72" s="1646">
        <f>SUM(H72:S72)</f>
        <v/>
      </c>
      <c r="G72" s="369" t="inlineStr">
        <is>
          <t>บริษัท อีเทอนอล ซากาตะ อิ้งซ์ จำกัด</t>
        </is>
      </c>
      <c r="H72" s="1703" t="n">
        <v>3972</v>
      </c>
      <c r="I72" s="1703" t="n">
        <v>2954</v>
      </c>
      <c r="J72" s="1703" t="n">
        <v>4902</v>
      </c>
      <c r="K72" s="1703" t="n">
        <v>2952</v>
      </c>
      <c r="L72" s="1703" t="n">
        <v>6806</v>
      </c>
      <c r="M72" s="1703" t="n">
        <v>5982</v>
      </c>
      <c r="N72" s="1703" t="n">
        <v>5764</v>
      </c>
      <c r="O72" s="1703" t="n">
        <v>5590</v>
      </c>
      <c r="P72" s="1703" t="n">
        <v>6704</v>
      </c>
      <c r="Q72" s="1703" t="n">
        <v>7230</v>
      </c>
      <c r="R72" s="1703" t="n">
        <v>6038</v>
      </c>
      <c r="S72" s="1703" t="n">
        <v>4036</v>
      </c>
    </row>
    <row r="73" ht="15" customHeight="1">
      <c r="A73" s="379" t="inlineStr">
        <is>
          <t>วัตถุดิบชนิด : Additive</t>
        </is>
      </c>
      <c r="B73" s="380" t="inlineStr">
        <is>
          <t>กระบวนการผสมวัตถุดิบ</t>
        </is>
      </c>
      <c r="C73" s="380" t="inlineStr">
        <is>
          <t>โรงงาน 1,2,35</t>
        </is>
      </c>
      <c r="D73" s="379" t="inlineStr">
        <is>
          <t>ใบสั่งซื้อ/ใบกำกับภาษี</t>
        </is>
      </c>
      <c r="E73" s="380" t="inlineStr">
        <is>
          <t>Kg</t>
        </is>
      </c>
      <c r="F73" s="1707">
        <f>SUM(H73:S73)</f>
        <v/>
      </c>
      <c r="G73" s="383" t="inlineStr">
        <is>
          <t>AMPACET (Thailand) Co., Ltd.</t>
        </is>
      </c>
      <c r="H73" s="1703" t="n"/>
      <c r="I73" s="1703" t="n">
        <v>1000</v>
      </c>
      <c r="J73" s="1703" t="n">
        <v>2500</v>
      </c>
      <c r="K73" s="1703" t="n"/>
      <c r="L73" s="1703" t="n">
        <v>1000</v>
      </c>
      <c r="M73" s="1703" t="n">
        <v>2700</v>
      </c>
      <c r="N73" s="1703" t="n">
        <v>1100</v>
      </c>
      <c r="O73" s="1703" t="n">
        <v>2400</v>
      </c>
      <c r="P73" s="1703" t="n">
        <v>1050</v>
      </c>
      <c r="Q73" s="1703" t="n">
        <v>2800</v>
      </c>
      <c r="R73" s="1703" t="n">
        <v>1450</v>
      </c>
      <c r="S73" s="1703" t="n">
        <v>3100</v>
      </c>
    </row>
    <row r="74" ht="15" customHeight="1">
      <c r="A74" s="379" t="inlineStr">
        <is>
          <t>วัตถุดิบชนิด : Additive</t>
        </is>
      </c>
      <c r="B74" s="380" t="inlineStr">
        <is>
          <t>กระบวนการผสมวัตถุดิบ</t>
        </is>
      </c>
      <c r="C74" s="380" t="inlineStr">
        <is>
          <t>โรงงาน 1,2,35</t>
        </is>
      </c>
      <c r="D74" s="379" t="inlineStr">
        <is>
          <t>ใบสั่งซื้อ/ใบกำกับภาษี</t>
        </is>
      </c>
      <c r="E74" s="380" t="inlineStr">
        <is>
          <t>Kg</t>
        </is>
      </c>
      <c r="F74" s="1707">
        <f>SUM(H74:S74)</f>
        <v/>
      </c>
      <c r="G74" s="383" t="inlineStr">
        <is>
          <t>Symphony Environmental Ltd.</t>
        </is>
      </c>
      <c r="H74" s="1703" t="n"/>
      <c r="I74" s="1703" t="n">
        <v>1000</v>
      </c>
      <c r="J74" s="1703" t="n"/>
      <c r="K74" s="1703" t="n">
        <v>1375</v>
      </c>
      <c r="L74" s="1703" t="n">
        <v>2000</v>
      </c>
      <c r="M74" s="1703" t="n"/>
      <c r="N74" s="1703" t="n">
        <v>1250</v>
      </c>
      <c r="O74" s="1703" t="n"/>
      <c r="P74" s="1703" t="n"/>
      <c r="Q74" s="1703" t="n"/>
      <c r="R74" s="1703" t="n">
        <v>2250</v>
      </c>
      <c r="S74" s="1703" t="n"/>
    </row>
    <row r="75" ht="15" customHeight="1">
      <c r="A75" s="379" t="inlineStr">
        <is>
          <t>วัตถุดิบชนิด : Additive</t>
        </is>
      </c>
      <c r="B75" s="380" t="inlineStr">
        <is>
          <t>กระบวนการผสมวัตถุดิบ</t>
        </is>
      </c>
      <c r="C75" s="380" t="inlineStr">
        <is>
          <t>โรงงาน 1,2,35</t>
        </is>
      </c>
      <c r="D75" s="379" t="inlineStr">
        <is>
          <t>ใบสั่งซื้อ/ใบกำกับภาษี</t>
        </is>
      </c>
      <c r="E75" s="380" t="inlineStr">
        <is>
          <t>Kg</t>
        </is>
      </c>
      <c r="F75" s="1707">
        <f>SUM(H75:S75)</f>
        <v/>
      </c>
      <c r="G75" s="383" t="inlineStr">
        <is>
          <t>บริษัท ซันนา  เซอเทรด จำกัด</t>
        </is>
      </c>
      <c r="H75" s="1703" t="n"/>
      <c r="I75" s="1703" t="n"/>
      <c r="J75" s="1703" t="n"/>
      <c r="K75" s="1703" t="n">
        <v>12715</v>
      </c>
      <c r="L75" s="1703" t="n"/>
      <c r="M75" s="1703" t="n"/>
      <c r="N75" s="1703" t="n"/>
      <c r="O75" s="1703" t="n"/>
      <c r="P75" s="1703" t="n"/>
      <c r="Q75" s="1703" t="n"/>
      <c r="R75" s="1703" t="n"/>
      <c r="S75" s="1703" t="n">
        <v>12715</v>
      </c>
    </row>
    <row r="76" ht="15" customHeight="1">
      <c r="A76" s="358" t="inlineStr">
        <is>
          <t>วัตถุดิบชนิด : Fragrance</t>
        </is>
      </c>
      <c r="B76" s="308" t="inlineStr">
        <is>
          <t>กระบวนการผสมวัตถุดิบ</t>
        </is>
      </c>
      <c r="C76" s="308" t="inlineStr">
        <is>
          <t>โรงงาน 1,3</t>
        </is>
      </c>
      <c r="D76" s="358" t="inlineStr">
        <is>
          <t>ใบสั่งซื้อ/ใบกำกับภาษี</t>
        </is>
      </c>
      <c r="E76" s="308" t="inlineStr">
        <is>
          <t>Kg</t>
        </is>
      </c>
      <c r="F76" s="1646">
        <f>SUM(H76:S76)</f>
        <v/>
      </c>
      <c r="G76" s="369" t="inlineStr">
        <is>
          <t>International Flavor &amp; Fragrances (Thailand) Ltd.</t>
        </is>
      </c>
      <c r="H76" s="1703" t="n"/>
      <c r="I76" s="1703" t="n"/>
      <c r="J76" s="1703" t="n"/>
      <c r="K76" s="1703" t="n"/>
      <c r="L76" s="1703" t="n"/>
      <c r="M76" s="1703" t="n"/>
      <c r="N76" s="1703" t="n"/>
      <c r="O76" s="1703" t="n"/>
      <c r="P76" s="1703" t="n">
        <v>380</v>
      </c>
      <c r="Q76" s="1703" t="n"/>
      <c r="R76" s="1703" t="n">
        <v>380</v>
      </c>
      <c r="S76" s="1703" t="n"/>
    </row>
    <row r="77" ht="15" customHeight="1">
      <c r="A77" s="358" t="inlineStr">
        <is>
          <t>วัตถุดิบชนิด : Fragrance</t>
        </is>
      </c>
      <c r="B77" s="308" t="inlineStr">
        <is>
          <t>กระบวนการผสมวัตถุดิบ</t>
        </is>
      </c>
      <c r="C77" s="308" t="inlineStr">
        <is>
          <t>โรงงาน 1,3</t>
        </is>
      </c>
      <c r="D77" s="358" t="inlineStr">
        <is>
          <t>ใบสั่งซื้อ/ใบกำกับภาษี</t>
        </is>
      </c>
      <c r="E77" s="308" t="inlineStr">
        <is>
          <t>Kg</t>
        </is>
      </c>
      <c r="F77" s="1646">
        <f>SUM(H77:S77)</f>
        <v/>
      </c>
      <c r="G77" s="369" t="inlineStr">
        <is>
          <t>International Flavors &amp; Fragrances Inc.</t>
        </is>
      </c>
      <c r="H77" s="1703" t="n">
        <v>200</v>
      </c>
      <c r="I77" s="1703" t="n"/>
      <c r="J77" s="1703" t="n">
        <v>200</v>
      </c>
      <c r="K77" s="1703" t="n">
        <v>700</v>
      </c>
      <c r="L77" s="1703" t="n">
        <v>3500</v>
      </c>
      <c r="M77" s="1703" t="n">
        <v>200</v>
      </c>
      <c r="N77" s="1703" t="n">
        <v>1500</v>
      </c>
      <c r="O77" s="1703" t="n"/>
      <c r="P77" s="1703" t="n">
        <v>4400</v>
      </c>
      <c r="Q77" s="1703" t="n">
        <v>100</v>
      </c>
      <c r="R77" s="1703" t="n"/>
      <c r="S77" s="1703" t="n"/>
    </row>
    <row r="78" ht="15" customHeight="1">
      <c r="A78" s="379" t="inlineStr">
        <is>
          <t>วัตถุดิบชนิด : Bio</t>
        </is>
      </c>
      <c r="B78" s="380" t="inlineStr">
        <is>
          <t>กระบวนการผสมวัตถุดิบ</t>
        </is>
      </c>
      <c r="C78" s="380" t="inlineStr">
        <is>
          <t>โรงงาน 5</t>
        </is>
      </c>
      <c r="D78" s="379" t="inlineStr">
        <is>
          <t>ใบสั่งซื้อ/ใบกำกับภาษี</t>
        </is>
      </c>
      <c r="E78" s="380" t="inlineStr">
        <is>
          <t>Kg</t>
        </is>
      </c>
      <c r="F78" s="1707">
        <f>SUM(H78:S78)</f>
        <v/>
      </c>
      <c r="G78" s="383" t="inlineStr">
        <is>
          <t>Chemical Innovation Co.,Ltd.</t>
        </is>
      </c>
      <c r="H78" s="1703" t="n">
        <v>200</v>
      </c>
      <c r="I78" s="1703" t="n"/>
      <c r="J78" s="1703" t="n"/>
      <c r="K78" s="1703" t="n"/>
      <c r="L78" s="1703" t="n"/>
      <c r="M78" s="1703" t="n">
        <v>300</v>
      </c>
      <c r="N78" s="1703" t="n"/>
      <c r="O78" s="1703" t="n"/>
      <c r="P78" s="1703" t="n"/>
      <c r="Q78" s="1703" t="n"/>
      <c r="R78" s="1703" t="n"/>
      <c r="S78" s="1703" t="n"/>
    </row>
    <row r="79" ht="15" customHeight="1">
      <c r="A79" s="790" t="inlineStr">
        <is>
          <t>กระดาษกล่องแป้งหลังเทา (EF597)</t>
        </is>
      </c>
      <c r="B79" s="308" t="inlineStr">
        <is>
          <t>การบรรจุ</t>
        </is>
      </c>
      <c r="C79" s="308" t="inlineStr">
        <is>
          <t>โรงงาน 1,2,35</t>
        </is>
      </c>
      <c r="D79" s="358" t="inlineStr">
        <is>
          <t>ใบสั่งซื้อ/ใบกำกับภาษี</t>
        </is>
      </c>
      <c r="E79" s="308" t="inlineStr">
        <is>
          <t>Kg</t>
        </is>
      </c>
      <c r="F79" s="1646">
        <f>SUM(H79:S79)</f>
        <v/>
      </c>
      <c r="G79" s="369" t="inlineStr">
        <is>
          <t>บริษัท เค.อาร์.ที. แพค แอนด์ ซัพพลาย จำกัด</t>
        </is>
      </c>
      <c r="H79" s="1703" t="n">
        <v>8637.27</v>
      </c>
      <c r="I79" s="1703" t="n">
        <v>14898.16</v>
      </c>
      <c r="J79" s="1703" t="n">
        <v>38001.372</v>
      </c>
      <c r="K79" s="1703" t="n">
        <v>29176.53</v>
      </c>
      <c r="L79" s="1703" t="n">
        <v>17209.19</v>
      </c>
      <c r="M79" s="1703" t="n">
        <v>21197.48</v>
      </c>
      <c r="N79" s="1703" t="n">
        <v>9096.9</v>
      </c>
      <c r="O79" s="1703" t="n">
        <v>15680.76</v>
      </c>
      <c r="P79" s="1703" t="n">
        <v>4173.256</v>
      </c>
      <c r="Q79" s="1703" t="n">
        <v>16213.348</v>
      </c>
      <c r="R79" s="1703" t="n">
        <v>26229.13400000001</v>
      </c>
      <c r="S79" s="1703" t="n">
        <v>18914.038</v>
      </c>
    </row>
    <row r="80" ht="15" customHeight="1">
      <c r="A80" s="790" t="inlineStr">
        <is>
          <t>กระดาษกล่องแป้งหลังเทา (EF597)</t>
        </is>
      </c>
      <c r="B80" s="308" t="inlineStr">
        <is>
          <t>การบรรจุ</t>
        </is>
      </c>
      <c r="C80" s="308" t="inlineStr">
        <is>
          <t>โรงงาน 1,2,35</t>
        </is>
      </c>
      <c r="D80" s="358" t="inlineStr">
        <is>
          <t>ใบสั่งซื้อ/ใบกำกับภาษี</t>
        </is>
      </c>
      <c r="E80" s="308" t="inlineStr">
        <is>
          <t>Kg</t>
        </is>
      </c>
      <c r="F80" s="1646">
        <f>SUM(H80:S80)</f>
        <v/>
      </c>
      <c r="G80" s="369" t="inlineStr">
        <is>
          <t>บริษัท เหรียญทองการพิมพ์ จำกัด</t>
        </is>
      </c>
      <c r="H80" s="1703" t="n">
        <v>1400.1</v>
      </c>
      <c r="I80" s="1703" t="n">
        <v>960</v>
      </c>
      <c r="J80" s="1703" t="n">
        <v>1380</v>
      </c>
      <c r="K80" s="1703" t="n">
        <v>0</v>
      </c>
      <c r="L80" s="1703" t="n">
        <v>0</v>
      </c>
      <c r="M80" s="1703" t="n">
        <v>0</v>
      </c>
      <c r="N80" s="1703" t="n">
        <v>0</v>
      </c>
      <c r="O80" s="1703" t="n">
        <v>640</v>
      </c>
      <c r="P80" s="1703" t="n">
        <v>1380</v>
      </c>
      <c r="Q80" s="1703" t="n">
        <v>960</v>
      </c>
      <c r="R80" s="1703" t="n">
        <v>0</v>
      </c>
      <c r="S80" s="1703" t="n">
        <v>0</v>
      </c>
    </row>
    <row r="81" ht="15" customHeight="1">
      <c r="A81" s="790" t="inlineStr">
        <is>
          <t>กระดาษกล่องแป้งหลังเทา (EF597)</t>
        </is>
      </c>
      <c r="B81" s="308" t="inlineStr">
        <is>
          <t>การบรรจุ</t>
        </is>
      </c>
      <c r="C81" s="308" t="inlineStr">
        <is>
          <t>โรงงาน 1,2,35</t>
        </is>
      </c>
      <c r="D81" s="358" t="inlineStr">
        <is>
          <t>ใบสั่งซื้อ/ใบกำกับภาษี</t>
        </is>
      </c>
      <c r="E81" s="308" t="inlineStr">
        <is>
          <t>Kg</t>
        </is>
      </c>
      <c r="F81" s="1646">
        <f>SUM(H81:S81)</f>
        <v/>
      </c>
      <c r="G81" s="369" t="inlineStr">
        <is>
          <t>บริษัท สำราญจิตต์การพิมพ์ จำกัด</t>
        </is>
      </c>
      <c r="H81" s="1703" t="n">
        <v>54667.88</v>
      </c>
      <c r="I81" s="1703" t="n">
        <v>58140.33600000002</v>
      </c>
      <c r="J81" s="1703" t="n">
        <v>47572.51999999999</v>
      </c>
      <c r="K81" s="1703" t="n">
        <v>26476.752</v>
      </c>
      <c r="L81" s="1703" t="n">
        <v>78932.95200000002</v>
      </c>
      <c r="M81" s="1703" t="n">
        <v>65650.02399999998</v>
      </c>
      <c r="N81" s="1703" t="n">
        <v>70489.48400000001</v>
      </c>
      <c r="O81" s="1703" t="n">
        <v>78357.414</v>
      </c>
      <c r="P81" s="1703" t="n">
        <v>56931.32</v>
      </c>
      <c r="Q81" s="1703" t="n">
        <v>67031.29800000001</v>
      </c>
      <c r="R81" s="1703" t="n">
        <v>71114.55600000003</v>
      </c>
      <c r="S81" s="1703" t="n">
        <v>48161.62</v>
      </c>
    </row>
    <row r="82" ht="15" customHeight="1">
      <c r="A82" s="358" t="inlineStr">
        <is>
          <t>กระดาษคราฟท์ ชนิดทำลอน (EF596)</t>
        </is>
      </c>
      <c r="B82" s="308" t="inlineStr">
        <is>
          <t>การบรรจุ</t>
        </is>
      </c>
      <c r="C82" s="308" t="inlineStr">
        <is>
          <t>โรงงาน 1,2,35</t>
        </is>
      </c>
      <c r="D82" s="358" t="inlineStr">
        <is>
          <t>ใบสั่งซื้อ/ใบกำกับภาษี</t>
        </is>
      </c>
      <c r="E82" s="308" t="inlineStr">
        <is>
          <t>Kg</t>
        </is>
      </c>
      <c r="F82" s="1646">
        <f>SUM(H82:S82)</f>
        <v/>
      </c>
      <c r="G82" s="369" t="inlineStr">
        <is>
          <t>บริษัท เค.อาร์.ที. แพค แอนด์ ซัพพลาย จำกัด</t>
        </is>
      </c>
      <c r="H82" s="1703" t="n">
        <v>205.275</v>
      </c>
      <c r="I82" s="1703" t="n">
        <v>4102.184</v>
      </c>
      <c r="J82" s="1703" t="n">
        <v>4773.389999999999</v>
      </c>
      <c r="K82" s="1703" t="n">
        <v>4393.636</v>
      </c>
      <c r="L82" s="1703" t="n">
        <v>7258.481</v>
      </c>
      <c r="M82" s="1703" t="n">
        <v>11263.31</v>
      </c>
      <c r="N82" s="1703" t="n">
        <v>9333.798000000001</v>
      </c>
      <c r="O82" s="1703" t="n">
        <v>9803.639999999999</v>
      </c>
      <c r="P82" s="1703" t="n">
        <v>14696.655</v>
      </c>
      <c r="Q82" s="1703" t="n">
        <v>12131.504</v>
      </c>
      <c r="R82" s="1703" t="n">
        <v>10727.902</v>
      </c>
      <c r="S82" s="1703" t="n">
        <v>6085.597</v>
      </c>
    </row>
    <row r="83" ht="15" customHeight="1">
      <c r="A83" s="358" t="inlineStr">
        <is>
          <t>กระดาษคราฟท์ ชนิดทำลอน (EF596)</t>
        </is>
      </c>
      <c r="B83" s="308" t="inlineStr">
        <is>
          <t>การบรรจุ</t>
        </is>
      </c>
      <c r="C83" s="308" t="inlineStr">
        <is>
          <t>โรงงาน 1,2,35</t>
        </is>
      </c>
      <c r="D83" s="358" t="inlineStr">
        <is>
          <t>ใบสั่งซื้อ/ใบกำกับภาษี</t>
        </is>
      </c>
      <c r="E83" s="308" t="inlineStr">
        <is>
          <t>Kg</t>
        </is>
      </c>
      <c r="F83" s="1646">
        <f>SUM(H83:S83)</f>
        <v/>
      </c>
      <c r="G83" s="369" t="inlineStr">
        <is>
          <t>บริษัท เอส.พี.ที.แพ็คกิ้งกรุ๊ป จำกัด</t>
        </is>
      </c>
      <c r="H83" s="1703" t="n">
        <v>29647.31500000001</v>
      </c>
      <c r="I83" s="1703" t="n">
        <v>31891.753</v>
      </c>
      <c r="J83" s="1703" t="n">
        <v>34086.95199999999</v>
      </c>
      <c r="K83" s="1703" t="n">
        <v>12368.174</v>
      </c>
      <c r="L83" s="1703" t="n">
        <v>31471.97500000001</v>
      </c>
      <c r="M83" s="1703" t="n">
        <v>40571.31</v>
      </c>
      <c r="N83" s="1703" t="n">
        <v>32534.58</v>
      </c>
      <c r="O83" s="1703" t="n">
        <v>47329.815</v>
      </c>
      <c r="P83" s="1703" t="n">
        <v>30237.79500000001</v>
      </c>
      <c r="Q83" s="1703" t="n">
        <v>44144.94900000002</v>
      </c>
      <c r="R83" s="1703" t="n">
        <v>57992.32200000004</v>
      </c>
      <c r="S83" s="1703" t="n">
        <v>31606.817</v>
      </c>
    </row>
    <row r="84" ht="15" customHeight="1">
      <c r="A84" s="358" t="inlineStr">
        <is>
          <t>กระดาษคราฟท์ ชนิดทำลอน (EF596)</t>
        </is>
      </c>
      <c r="B84" s="308" t="inlineStr">
        <is>
          <t>การบรรจุ</t>
        </is>
      </c>
      <c r="C84" s="308" t="inlineStr">
        <is>
          <t>โรงงาน 1,2,35</t>
        </is>
      </c>
      <c r="D84" s="358" t="inlineStr">
        <is>
          <t>ใบสั่งซื้อ/ใบกำกับภาษี</t>
        </is>
      </c>
      <c r="E84" s="308" t="inlineStr">
        <is>
          <t>Kg</t>
        </is>
      </c>
      <c r="F84" s="1646">
        <f>SUM(H84:S84)</f>
        <v/>
      </c>
      <c r="G84" s="369" t="inlineStr">
        <is>
          <t>บริษัท บรรเจิดบรรจุภัณฑ์ จำกัด</t>
        </is>
      </c>
      <c r="H84" s="1703" t="n">
        <v>22459.65000000001</v>
      </c>
      <c r="I84" s="1703" t="n">
        <v>21515.39199999999</v>
      </c>
      <c r="J84" s="1703" t="n">
        <v>24639.29300000001</v>
      </c>
      <c r="K84" s="1703" t="n">
        <v>16926.28</v>
      </c>
      <c r="L84" s="1703" t="n">
        <v>40608.39199999999</v>
      </c>
      <c r="M84" s="1703" t="n">
        <v>28433.09</v>
      </c>
      <c r="N84" s="1703" t="n">
        <v>22674.17699999999</v>
      </c>
      <c r="O84" s="1703" t="n">
        <v>21616.8</v>
      </c>
      <c r="P84" s="1703" t="n">
        <v>14048.225</v>
      </c>
      <c r="Q84" s="1703" t="n">
        <v>15446.786</v>
      </c>
      <c r="R84" s="1703" t="n">
        <v>21501.46000000001</v>
      </c>
      <c r="S84" s="1703" t="n">
        <v>18237.66</v>
      </c>
    </row>
    <row r="85" ht="15" customHeight="1">
      <c r="A85" s="358" t="inlineStr">
        <is>
          <t>กระดาษคราฟท์ ชนิดทำลอน (EF596)</t>
        </is>
      </c>
      <c r="B85" s="308" t="inlineStr">
        <is>
          <t>การบรรจุ</t>
        </is>
      </c>
      <c r="C85" s="308" t="inlineStr">
        <is>
          <t>โรงงาน 1,2,35</t>
        </is>
      </c>
      <c r="D85" s="358" t="inlineStr">
        <is>
          <t>ใบสั่งซื้อ/ใบกำกับภาษี</t>
        </is>
      </c>
      <c r="E85" s="308" t="inlineStr">
        <is>
          <t>Kg</t>
        </is>
      </c>
      <c r="F85" s="1646">
        <f>SUM(H85:S85)</f>
        <v/>
      </c>
      <c r="G85" s="369" t="inlineStr">
        <is>
          <t>บริษัท บาแล็นซ์ แพ็คกิ้ง จำกัด</t>
        </is>
      </c>
      <c r="H85" s="1703" t="n">
        <v>620</v>
      </c>
      <c r="I85" s="1703" t="n">
        <v>4336.415999999999</v>
      </c>
      <c r="J85" s="1703" t="n">
        <v>1005</v>
      </c>
      <c r="K85" s="1703" t="n">
        <v>1869.654</v>
      </c>
      <c r="L85" s="1703" t="n">
        <v>1239.16</v>
      </c>
      <c r="M85" s="1703" t="n">
        <v>5049.5</v>
      </c>
      <c r="N85" s="1703" t="n">
        <v>5514.589</v>
      </c>
      <c r="O85" s="1703" t="n">
        <v>1116.018</v>
      </c>
      <c r="P85" s="1703" t="n">
        <v>4728.552</v>
      </c>
      <c r="Q85" s="1703" t="n">
        <v>4307.486</v>
      </c>
      <c r="R85" s="1703" t="n">
        <v>3978.826</v>
      </c>
      <c r="S85" s="1703" t="n">
        <v>2684.05</v>
      </c>
    </row>
    <row r="86" ht="15" customHeight="1">
      <c r="A86" s="358" t="inlineStr">
        <is>
          <t>กระดาษคราฟท์ ชนิดทำลอน (EF596)</t>
        </is>
      </c>
      <c r="B86" s="308" t="inlineStr">
        <is>
          <t>การบรรจุ</t>
        </is>
      </c>
      <c r="C86" s="308" t="inlineStr">
        <is>
          <t>โรงงาน 1,2,35</t>
        </is>
      </c>
      <c r="D86" s="358" t="inlineStr">
        <is>
          <t>ใบสั่งซื้อ/ใบกำกับภาษี</t>
        </is>
      </c>
      <c r="E86" s="308" t="inlineStr">
        <is>
          <t>Kg</t>
        </is>
      </c>
      <c r="F86" s="1646">
        <f>SUM(H86:S86)</f>
        <v/>
      </c>
      <c r="G86" s="369" t="inlineStr">
        <is>
          <t>ห้างหุ้นส่วนจำกัด อชราบรรจุภัณฑ์</t>
        </is>
      </c>
      <c r="H86" s="1703" t="n">
        <v>2564.531</v>
      </c>
      <c r="I86" s="1703" t="n">
        <v>4196.985</v>
      </c>
      <c r="J86" s="1703" t="n">
        <v>1981</v>
      </c>
      <c r="K86" s="1703" t="n">
        <v>398.3</v>
      </c>
      <c r="L86" s="1703" t="n">
        <v>933</v>
      </c>
      <c r="M86" s="1703" t="n">
        <v>852.1</v>
      </c>
      <c r="N86" s="1703" t="n">
        <v>1088.365</v>
      </c>
      <c r="O86" s="1703" t="n">
        <v>3131.229999999999</v>
      </c>
      <c r="P86" s="1703" t="n">
        <v>1941.2</v>
      </c>
      <c r="Q86" s="1703" t="n">
        <v>3882.4</v>
      </c>
      <c r="R86" s="1703" t="n">
        <v>2099.2</v>
      </c>
      <c r="S86" s="1703" t="n">
        <v>1789.13</v>
      </c>
    </row>
    <row r="87" ht="15" customHeight="1">
      <c r="A87" s="379" t="inlineStr">
        <is>
          <t>วัสดุสิ้นเปลือง : Solvent</t>
        </is>
      </c>
      <c r="B87" s="380" t="n"/>
      <c r="C87" s="380" t="inlineStr">
        <is>
          <t>โรงงาน 1,2,35</t>
        </is>
      </c>
      <c r="D87" s="379" t="inlineStr">
        <is>
          <t>ใบสั่งซื้อ/ใบกำกับภาษี</t>
        </is>
      </c>
      <c r="E87" s="380" t="inlineStr">
        <is>
          <t>Kg</t>
        </is>
      </c>
      <c r="F87" s="1707">
        <f>SUM(H87:S87)</f>
        <v/>
      </c>
      <c r="G87" s="383" t="inlineStr">
        <is>
          <t>บริษัท เอ็มซี อินดัสเทรียลเคมิคัล จำกัด</t>
        </is>
      </c>
      <c r="H87" s="1703" t="n"/>
      <c r="I87" s="1703" t="n">
        <v>850</v>
      </c>
      <c r="J87" s="1703" t="n"/>
      <c r="K87" s="1703" t="n"/>
      <c r="L87" s="1703" t="n"/>
      <c r="M87" s="1703" t="n">
        <v>850</v>
      </c>
      <c r="N87" s="1703" t="n"/>
      <c r="O87" s="1703" t="n">
        <v>850</v>
      </c>
      <c r="P87" s="1703" t="n"/>
      <c r="Q87" s="1703" t="n">
        <v>850</v>
      </c>
      <c r="R87" s="1703" t="n"/>
      <c r="S87" s="1703" t="n"/>
    </row>
    <row r="88" ht="15" customHeight="1">
      <c r="A88" s="358" t="inlineStr">
        <is>
          <t>วัสดุสิ้นเปลือง : เทปใส</t>
        </is>
      </c>
      <c r="B88" s="308" t="inlineStr">
        <is>
          <t>การบรรจุ</t>
        </is>
      </c>
      <c r="C88" s="308" t="inlineStr">
        <is>
          <t>โรงงาน 1,2,35</t>
        </is>
      </c>
      <c r="D88" s="358" t="inlineStr">
        <is>
          <t>ใบสั่งซื้อ/ใบกำกับภาษี</t>
        </is>
      </c>
      <c r="E88" s="308" t="inlineStr">
        <is>
          <t>Kg</t>
        </is>
      </c>
      <c r="F88" s="1646">
        <f>SUM(H88:S88)</f>
        <v/>
      </c>
      <c r="G88" s="369" t="inlineStr">
        <is>
          <t>บริษัท โชคเจริญ 2020 จำกัด</t>
        </is>
      </c>
      <c r="H88" s="1703" t="n"/>
      <c r="I88" s="1703" t="n">
        <v>492.48</v>
      </c>
      <c r="J88" s="1703" t="n"/>
      <c r="K88" s="1703" t="n"/>
      <c r="L88" s="1703" t="n">
        <v>492.48</v>
      </c>
      <c r="M88" s="1703" t="n"/>
      <c r="N88" s="1703" t="n">
        <v>492.48</v>
      </c>
      <c r="O88" s="1703" t="n">
        <v>492.48</v>
      </c>
      <c r="P88" s="1703" t="n"/>
      <c r="Q88" s="1703" t="n">
        <v>984.96</v>
      </c>
      <c r="R88" s="1703" t="n"/>
      <c r="S88" s="1703" t="n"/>
    </row>
    <row r="89" ht="15" customHeight="1">
      <c r="A89" s="358" t="inlineStr">
        <is>
          <t>วัสดุสิ้นเปลือง : เทปใส</t>
        </is>
      </c>
      <c r="B89" s="308" t="inlineStr">
        <is>
          <t>การบรรจุ</t>
        </is>
      </c>
      <c r="C89" s="308" t="inlineStr">
        <is>
          <t>โรงงาน 1,2,35</t>
        </is>
      </c>
      <c r="D89" s="358" t="inlineStr">
        <is>
          <t>ใบสั่งซื้อ/ใบกำกับภาษี</t>
        </is>
      </c>
      <c r="E89" s="308" t="inlineStr">
        <is>
          <t>Kg</t>
        </is>
      </c>
      <c r="F89" s="1646">
        <f>SUM(H89:S89)</f>
        <v/>
      </c>
      <c r="G89" s="369" t="inlineStr">
        <is>
          <t>บริษัท บางบอนอุตสาหกรรม จำกัด</t>
        </is>
      </c>
      <c r="H89" s="1703" t="n">
        <v>461.7</v>
      </c>
      <c r="I89" s="1703" t="n"/>
      <c r="J89" s="1703" t="n"/>
      <c r="K89" s="1703" t="n">
        <v>461.7</v>
      </c>
      <c r="L89" s="1703" t="n"/>
      <c r="M89" s="1703" t="n">
        <v>461.7</v>
      </c>
      <c r="N89" s="1703" t="n">
        <v>461.7</v>
      </c>
      <c r="O89" s="1703" t="n"/>
      <c r="P89" s="1703" t="n">
        <v>461.7</v>
      </c>
      <c r="Q89" s="1703" t="n"/>
      <c r="R89" s="1703" t="n">
        <v>461.7</v>
      </c>
      <c r="S89" s="1703" t="n">
        <v>461.7</v>
      </c>
    </row>
    <row r="90" ht="15" customHeight="1">
      <c r="A90" s="379" t="inlineStr">
        <is>
          <t>วัสดุสิ้นเปลือง : กาว</t>
        </is>
      </c>
      <c r="B90" s="380" t="inlineStr">
        <is>
          <t>การบรรจุ</t>
        </is>
      </c>
      <c r="C90" s="380" t="inlineStr">
        <is>
          <t>โรงงาน 1,2,35</t>
        </is>
      </c>
      <c r="D90" s="379" t="inlineStr">
        <is>
          <t>ใบสั่งซื้อ/ใบกำกับภาษี</t>
        </is>
      </c>
      <c r="E90" s="380" t="inlineStr">
        <is>
          <t>Kg</t>
        </is>
      </c>
      <c r="F90" s="1707">
        <f>SUM(H90:S90)</f>
        <v/>
      </c>
      <c r="G90" s="383" t="inlineStr">
        <is>
          <t>บริษัท เปอร์มาเฟล็กซ์ จำกัด</t>
        </is>
      </c>
      <c r="H90" s="1703" t="n"/>
      <c r="I90" s="1703" t="n"/>
      <c r="J90" s="1703" t="n"/>
      <c r="K90" s="1703" t="n">
        <v>550</v>
      </c>
      <c r="L90" s="1703" t="n">
        <v>550</v>
      </c>
      <c r="M90" s="1703" t="n">
        <v>500</v>
      </c>
      <c r="N90" s="1703" t="n"/>
      <c r="O90" s="1703" t="n">
        <v>550</v>
      </c>
      <c r="P90" s="1703" t="n"/>
      <c r="Q90" s="1703" t="n">
        <v>550</v>
      </c>
      <c r="R90" s="1703" t="n"/>
      <c r="S90" s="1703" t="n">
        <v>550</v>
      </c>
    </row>
    <row r="91" ht="15" customHeight="1">
      <c r="A91" s="379" t="inlineStr">
        <is>
          <t>วัสดุสิ้นเปลือง : กาว</t>
        </is>
      </c>
      <c r="B91" s="380" t="inlineStr">
        <is>
          <t>การบรรจุ</t>
        </is>
      </c>
      <c r="C91" s="380" t="inlineStr">
        <is>
          <t>โรงงาน 1,2,35</t>
        </is>
      </c>
      <c r="D91" s="379" t="inlineStr">
        <is>
          <t>ใบสั่งซื้อ/ใบกำกับภาษี</t>
        </is>
      </c>
      <c r="E91" s="380" t="inlineStr">
        <is>
          <t>Kg</t>
        </is>
      </c>
      <c r="F91" s="1707">
        <f>SUM(H91:S91)</f>
        <v/>
      </c>
      <c r="G91" s="383" t="inlineStr">
        <is>
          <t>บริษัท โพลีพลาส พรีซีชั่น จำกัด</t>
        </is>
      </c>
      <c r="H91" s="1703" t="n">
        <v>2000</v>
      </c>
      <c r="I91" s="1703" t="n">
        <v>1500</v>
      </c>
      <c r="J91" s="1703" t="n">
        <v>1000</v>
      </c>
      <c r="K91" s="1703" t="n">
        <v>1000</v>
      </c>
      <c r="L91" s="1703" t="n">
        <v>1000</v>
      </c>
      <c r="M91" s="1703" t="n">
        <v>2000</v>
      </c>
      <c r="N91" s="1703" t="n">
        <v>1000</v>
      </c>
      <c r="O91" s="1703" t="n"/>
      <c r="P91" s="1703" t="n">
        <v>1000</v>
      </c>
      <c r="Q91" s="1703" t="n">
        <v>1000</v>
      </c>
      <c r="R91" s="1703" t="n">
        <v>1000</v>
      </c>
      <c r="S91" s="1703" t="n">
        <v>2000</v>
      </c>
    </row>
    <row r="92" ht="15" customHeight="1">
      <c r="A92" s="379" t="inlineStr">
        <is>
          <t>วัสดุสิ้นเปลือง : กาว</t>
        </is>
      </c>
      <c r="B92" s="380" t="inlineStr">
        <is>
          <t>การบรรจุ</t>
        </is>
      </c>
      <c r="C92" s="380" t="inlineStr">
        <is>
          <t>โรงงาน 1,2,35</t>
        </is>
      </c>
      <c r="D92" s="379" t="inlineStr">
        <is>
          <t>ใบสั่งซื้อ/ใบกำกับภาษี</t>
        </is>
      </c>
      <c r="E92" s="380" t="inlineStr">
        <is>
          <t>Kg</t>
        </is>
      </c>
      <c r="F92" s="1707">
        <f>SUM(H92:S92)</f>
        <v/>
      </c>
      <c r="G92" s="383" t="inlineStr">
        <is>
          <t>บริษัท จาคานา จำกัด</t>
        </is>
      </c>
      <c r="H92" s="1703" t="n"/>
      <c r="I92" s="1703" t="n"/>
      <c r="J92" s="1703" t="n"/>
      <c r="K92" s="1703" t="n"/>
      <c r="L92" s="1703" t="n"/>
      <c r="M92" s="1703" t="n"/>
      <c r="N92" s="1703" t="n">
        <v>1000</v>
      </c>
      <c r="O92" s="1703" t="n">
        <v>1000</v>
      </c>
      <c r="P92" s="1703" t="n"/>
      <c r="Q92" s="1703" t="n"/>
      <c r="R92" s="1703" t="n"/>
      <c r="S92" s="1703" t="n"/>
    </row>
    <row r="93" ht="15" customHeight="1">
      <c r="A93" s="358" t="inlineStr">
        <is>
          <t>วัสดุสิ้นเปลือง : น้ำมัน Food Grade</t>
        </is>
      </c>
      <c r="B93" s="308" t="n"/>
      <c r="C93" s="308" t="inlineStr">
        <is>
          <t>โรงงาน 1,2,35</t>
        </is>
      </c>
      <c r="D93" s="358" t="inlineStr">
        <is>
          <t>ใบสั่งซื้อ/ใบกำกับภาษี</t>
        </is>
      </c>
      <c r="E93" s="308" t="inlineStr">
        <is>
          <t>Kg</t>
        </is>
      </c>
      <c r="F93" s="1646">
        <f>SUM(H93:S93)</f>
        <v/>
      </c>
      <c r="G93" s="369" t="inlineStr">
        <is>
          <t>บริษัท  อเมริกัน ปิโตรเคมิคอล (ประเทศไทย)  จำกัด</t>
        </is>
      </c>
      <c r="H93" s="1703" t="n">
        <v>90</v>
      </c>
      <c r="I93" s="1703" t="n">
        <v>90</v>
      </c>
      <c r="J93" s="1703" t="n">
        <v>90</v>
      </c>
      <c r="K93" s="1703" t="n"/>
      <c r="L93" s="1703" t="n">
        <v>144</v>
      </c>
      <c r="M93" s="1703" t="n">
        <v>90</v>
      </c>
      <c r="N93" s="1703" t="n">
        <v>90</v>
      </c>
      <c r="O93" s="1703" t="n">
        <v>90</v>
      </c>
      <c r="P93" s="1703" t="n">
        <v>90</v>
      </c>
      <c r="Q93" s="1703" t="n">
        <v>90</v>
      </c>
      <c r="R93" s="1703" t="n"/>
      <c r="S93" s="1703" t="n"/>
    </row>
    <row r="94" ht="15" customHeight="1">
      <c r="A94" s="379" t="inlineStr">
        <is>
          <t>วัสดุสิ้นเปลือง : ฟิล์มยืด</t>
        </is>
      </c>
      <c r="B94" s="380" t="inlineStr">
        <is>
          <t>การบรรจุ</t>
        </is>
      </c>
      <c r="C94" s="380" t="inlineStr">
        <is>
          <t>โรงงาน 1,2,35</t>
        </is>
      </c>
      <c r="D94" s="379" t="inlineStr">
        <is>
          <t>ใบสั่งซื้อ/ใบกำกับภาษี</t>
        </is>
      </c>
      <c r="E94" s="380" t="inlineStr">
        <is>
          <t>Kg</t>
        </is>
      </c>
      <c r="F94" s="1707">
        <f>SUM(H94:S94)</f>
        <v/>
      </c>
      <c r="G94" s="383" t="inlineStr">
        <is>
          <t>บริษัท เอ็มเอ็มพี คอร์ปอเรชั่น  จำกัด</t>
        </is>
      </c>
      <c r="H94" s="1703" t="n"/>
      <c r="I94" s="1703" t="n"/>
      <c r="J94" s="1703" t="n"/>
      <c r="K94" s="1703" t="n"/>
      <c r="L94" s="1703" t="n"/>
      <c r="M94" s="1703" t="n">
        <v>1242</v>
      </c>
      <c r="N94" s="1703" t="n">
        <v>1932</v>
      </c>
      <c r="O94" s="1703" t="n">
        <v>690</v>
      </c>
      <c r="P94" s="1703" t="n">
        <v>2484</v>
      </c>
      <c r="Q94" s="1703" t="n"/>
      <c r="R94" s="1703" t="n"/>
      <c r="S94" s="1703" t="n"/>
    </row>
    <row r="95" ht="15" customHeight="1">
      <c r="A95" s="379" t="inlineStr">
        <is>
          <t>วัสดุสิ้นเปลือง : ฟิล์มยืด</t>
        </is>
      </c>
      <c r="B95" s="380" t="inlineStr">
        <is>
          <t>การบรรจุ</t>
        </is>
      </c>
      <c r="C95" s="380" t="inlineStr">
        <is>
          <t>โรงงาน 1,2,35</t>
        </is>
      </c>
      <c r="D95" s="379" t="inlineStr">
        <is>
          <t>ใบสั่งซื้อ/ใบกำกับภาษี</t>
        </is>
      </c>
      <c r="E95" s="380" t="inlineStr">
        <is>
          <t>Kg</t>
        </is>
      </c>
      <c r="F95" s="1707">
        <f>SUM(H95:S95)</f>
        <v/>
      </c>
      <c r="G95" s="383" t="inlineStr">
        <is>
          <t>บริษัท วัฒนพันธุ์แพคเกจจิ้งซิสเท็ม จำกัด</t>
        </is>
      </c>
      <c r="H95" s="1703" t="n">
        <v>2484</v>
      </c>
      <c r="I95" s="1703" t="n">
        <v>1242</v>
      </c>
      <c r="J95" s="1703" t="n">
        <v>690</v>
      </c>
      <c r="K95" s="1703" t="n"/>
      <c r="L95" s="1703" t="n">
        <v>1242</v>
      </c>
      <c r="M95" s="1703" t="n"/>
      <c r="N95" s="1703" t="n"/>
      <c r="O95" s="1703" t="n">
        <v>1242</v>
      </c>
      <c r="P95" s="1703" t="n"/>
      <c r="Q95" s="1703" t="n">
        <v>690</v>
      </c>
      <c r="R95" s="1703" t="n">
        <v>1242</v>
      </c>
      <c r="S95" s="1703" t="n">
        <v>1932</v>
      </c>
    </row>
    <row r="96" ht="15" customHeight="1">
      <c r="A96" s="358" t="inlineStr">
        <is>
          <t>วัสดุสิ้นเปลือง : ฟิล์มหด</t>
        </is>
      </c>
      <c r="B96" s="308" t="inlineStr">
        <is>
          <t>การบรรจุ</t>
        </is>
      </c>
      <c r="C96" s="308" t="inlineStr">
        <is>
          <t>โรงงาน 1,2,35</t>
        </is>
      </c>
      <c r="D96" s="358" t="inlineStr">
        <is>
          <t>ใบสั่งซื้อ/ใบกำกับภาษี</t>
        </is>
      </c>
      <c r="E96" s="308" t="inlineStr">
        <is>
          <t>Kg</t>
        </is>
      </c>
      <c r="F96" s="1646">
        <f>SUM(H96:S96)</f>
        <v/>
      </c>
      <c r="G96" s="369" t="inlineStr">
        <is>
          <t>บริษัท เค.เอ.มาร์เก็ตติ้ง จำกัด</t>
        </is>
      </c>
      <c r="H96" s="1703" t="n"/>
      <c r="I96" s="1703" t="n"/>
      <c r="J96" s="1703" t="n"/>
      <c r="K96" s="1703" t="n"/>
      <c r="L96" s="1703" t="n"/>
      <c r="M96" s="1703" t="n"/>
      <c r="N96" s="1703" t="n"/>
      <c r="O96" s="1703" t="n"/>
      <c r="P96" s="1703" t="n"/>
      <c r="Q96" s="1703" t="n">
        <v>658</v>
      </c>
      <c r="R96" s="1703" t="n"/>
      <c r="S96" s="1703" t="n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</sheetData>
  <mergeCells count="14">
    <mergeCell ref="B50:B51"/>
    <mergeCell ref="C2:C3"/>
    <mergeCell ref="C50:C51"/>
    <mergeCell ref="H50:S50"/>
    <mergeCell ref="A2:A3"/>
    <mergeCell ref="B2:B3"/>
    <mergeCell ref="A50:A51"/>
    <mergeCell ref="D2:D3"/>
    <mergeCell ref="E50:E51"/>
    <mergeCell ref="D50:D51"/>
    <mergeCell ref="E2:E3"/>
    <mergeCell ref="H2:S2"/>
    <mergeCell ref="G2:G3"/>
    <mergeCell ref="G50:G51"/>
  </mergeCells>
  <pageMargins left="0.7" right="0.7" top="0.75" bottom="0.75" header="0.3" footer="0.3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Q1002"/>
  <sheetViews>
    <sheetView topLeftCell="C1" workbookViewId="0">
      <selection activeCell="L19" sqref="L19"/>
    </sheetView>
  </sheetViews>
  <sheetFormatPr baseColWidth="8" defaultColWidth="14.3984375" defaultRowHeight="13.2"/>
  <cols>
    <col width="20.796875" customWidth="1" style="228" min="1" max="1"/>
    <col width="17.796875" customWidth="1" style="228" min="2" max="2"/>
    <col width="24.09765625" customWidth="1" style="228" min="3" max="3"/>
    <col width="8.796875" customWidth="1" style="228" min="4" max="4"/>
    <col width="12.796875" customWidth="1" style="228" min="5" max="5"/>
    <col width="11.59765625" customWidth="1" style="228" min="6" max="17"/>
    <col width="8.796875" customWidth="1" style="228" min="18" max="26"/>
    <col width="14.3984375" customWidth="1" style="228" min="27" max="16384"/>
  </cols>
  <sheetData>
    <row r="1" ht="14.25" customHeight="1">
      <c r="B1" s="385" t="n"/>
    </row>
    <row r="2" ht="31.5" customHeight="1">
      <c r="A2" s="386" t="inlineStr">
        <is>
          <t>รายการ</t>
        </is>
      </c>
      <c r="B2" s="387" t="inlineStr">
        <is>
          <t>ตำแหน่งที่ตั้งของมิเตอร์</t>
        </is>
      </c>
      <c r="C2" s="387" t="inlineStr">
        <is>
          <t>หลักฐาน</t>
        </is>
      </c>
      <c r="D2" s="386" t="inlineStr">
        <is>
          <t xml:space="preserve">หน่วย </t>
        </is>
      </c>
      <c r="E2" s="388" t="inlineStr">
        <is>
          <t>รวม</t>
        </is>
      </c>
      <c r="F2" s="389" t="n">
        <v>243254</v>
      </c>
      <c r="G2" s="389" t="n">
        <v>243285</v>
      </c>
      <c r="H2" s="389" t="n">
        <v>243313</v>
      </c>
      <c r="I2" s="389" t="n">
        <v>243344</v>
      </c>
      <c r="J2" s="389" t="n">
        <v>243374</v>
      </c>
      <c r="K2" s="389" t="n">
        <v>243405</v>
      </c>
      <c r="L2" s="389" t="n">
        <v>243435</v>
      </c>
      <c r="M2" s="389" t="n">
        <v>243466</v>
      </c>
      <c r="N2" s="389" t="n">
        <v>243497</v>
      </c>
      <c r="O2" s="389" t="n">
        <v>243527</v>
      </c>
      <c r="P2" s="389" t="n">
        <v>243558</v>
      </c>
      <c r="Q2" s="389" t="n">
        <v>243588</v>
      </c>
    </row>
    <row r="3" ht="21.6" customHeight="1">
      <c r="A3" s="390" t="inlineStr">
        <is>
          <t>น้ำประปา (การนิคมฯ)</t>
        </is>
      </c>
      <c r="B3" s="391" t="n"/>
      <c r="C3" s="392" t="inlineStr">
        <is>
          <t>ใบเสร็จ/ใบแจ้งหนี้ค่าประปา</t>
        </is>
      </c>
      <c r="D3" s="393" t="inlineStr">
        <is>
          <t>m3</t>
        </is>
      </c>
      <c r="E3" s="1686">
        <f>SUM(E4:E7)</f>
        <v/>
      </c>
      <c r="F3" s="394" t="n"/>
      <c r="G3" s="394" t="n"/>
      <c r="H3" s="394" t="n"/>
      <c r="I3" s="394" t="n"/>
      <c r="J3" s="394" t="n"/>
      <c r="K3" s="394" t="n"/>
      <c r="L3" s="394" t="n"/>
      <c r="M3" s="394" t="n"/>
      <c r="N3" s="394" t="n"/>
      <c r="O3" s="394" t="n"/>
      <c r="P3" s="394" t="n"/>
      <c r="Q3" s="394" t="n"/>
    </row>
    <row r="4" ht="16.2" customHeight="1">
      <c r="A4" s="395" t="inlineStr">
        <is>
          <t>น้ำประปาการนิคม</t>
        </is>
      </c>
      <c r="B4" s="396" t="inlineStr">
        <is>
          <t>โรงงาน1,2</t>
        </is>
      </c>
      <c r="C4" s="397" t="inlineStr">
        <is>
          <t>ใบเสร็จ/ใบแจ้งหนี้ค่าประปา</t>
        </is>
      </c>
      <c r="D4" s="398" t="inlineStr">
        <is>
          <t>m3</t>
        </is>
      </c>
      <c r="E4" s="1703">
        <f>SUM(F4:Q4)</f>
        <v/>
      </c>
      <c r="F4" s="1646" t="n">
        <v>1281</v>
      </c>
      <c r="G4" s="1646" t="n">
        <v>1970</v>
      </c>
      <c r="H4" s="1646" t="n">
        <v>1872</v>
      </c>
      <c r="I4" s="1646" t="n">
        <v>1225</v>
      </c>
      <c r="J4" s="1646" t="n">
        <v>2031</v>
      </c>
      <c r="K4" s="1646" t="n">
        <v>1884</v>
      </c>
      <c r="L4" s="1646" t="n">
        <v>1595</v>
      </c>
      <c r="M4" s="1646" t="n">
        <v>3128</v>
      </c>
      <c r="N4" s="1646" t="n">
        <v>1810</v>
      </c>
      <c r="O4" s="1646" t="n">
        <v>1499</v>
      </c>
      <c r="P4" s="1646" t="n">
        <v>2484</v>
      </c>
      <c r="Q4" s="1646" t="n">
        <v>1024</v>
      </c>
    </row>
    <row r="5" ht="16.2" customHeight="1">
      <c r="A5" s="395" t="inlineStr">
        <is>
          <t>น้ำประปาการนิคม</t>
        </is>
      </c>
      <c r="B5" s="396" t="inlineStr">
        <is>
          <t>โรงงาน 5</t>
        </is>
      </c>
      <c r="C5" s="397" t="inlineStr">
        <is>
          <t>ใบเสร็จ/ใบแจ้งหนี้ค่าประปา</t>
        </is>
      </c>
      <c r="D5" s="398" t="inlineStr">
        <is>
          <t>m3</t>
        </is>
      </c>
      <c r="E5" s="1703">
        <f>SUM(F5:Q5)</f>
        <v/>
      </c>
      <c r="F5" s="1646" t="n">
        <v>1650</v>
      </c>
      <c r="G5" s="1646" t="n">
        <v>1335</v>
      </c>
      <c r="H5" s="1646" t="n">
        <v>1493</v>
      </c>
      <c r="I5" s="1646" t="n">
        <v>1432</v>
      </c>
      <c r="J5" s="1646" t="n">
        <v>1745</v>
      </c>
      <c r="K5" s="1646" t="n">
        <v>1766</v>
      </c>
      <c r="L5" s="1646" t="n">
        <v>1644</v>
      </c>
      <c r="M5" s="1646" t="n">
        <v>1658</v>
      </c>
      <c r="N5" s="1646" t="n">
        <v>1540</v>
      </c>
      <c r="O5" s="1646" t="n">
        <v>1599</v>
      </c>
      <c r="P5" s="1646" t="n">
        <v>1613</v>
      </c>
      <c r="Q5" s="1646" t="n">
        <v>1616</v>
      </c>
    </row>
    <row r="6" ht="16.2" customHeight="1">
      <c r="A6" s="395" t="inlineStr">
        <is>
          <t>น้ำประปาการนิคม</t>
        </is>
      </c>
      <c r="B6" s="396" t="inlineStr">
        <is>
          <t>โรงงาน 3</t>
        </is>
      </c>
      <c r="C6" s="397" t="inlineStr">
        <is>
          <t>ใบเสร็จ/ใบแจ้งหนี้ค่าประปา</t>
        </is>
      </c>
      <c r="D6" s="398" t="inlineStr">
        <is>
          <t>m3</t>
        </is>
      </c>
      <c r="E6" s="1703">
        <f>SUM(F6:Q6)</f>
        <v/>
      </c>
      <c r="F6" s="1646" t="n">
        <v>1234</v>
      </c>
      <c r="G6" s="1646" t="n">
        <v>888</v>
      </c>
      <c r="H6" s="1646" t="n">
        <v>925</v>
      </c>
      <c r="I6" s="1646" t="n">
        <v>792</v>
      </c>
      <c r="J6" s="1646" t="n">
        <v>1334</v>
      </c>
      <c r="K6" s="1646" t="n">
        <v>1020</v>
      </c>
      <c r="L6" s="1646" t="n">
        <v>878</v>
      </c>
      <c r="M6" s="1646" t="n">
        <v>883</v>
      </c>
      <c r="N6" s="1646" t="n">
        <v>770</v>
      </c>
      <c r="O6" s="1646" t="n">
        <v>761</v>
      </c>
      <c r="P6" s="1646" t="n">
        <v>816</v>
      </c>
      <c r="Q6" s="1646" t="n">
        <v>894</v>
      </c>
    </row>
    <row r="7" ht="16.2" customHeight="1">
      <c r="A7" s="395" t="inlineStr">
        <is>
          <t>น้ำประปาการนิคม</t>
        </is>
      </c>
      <c r="B7" s="396" t="inlineStr">
        <is>
          <t>โรงงาน 4</t>
        </is>
      </c>
      <c r="C7" s="397" t="inlineStr">
        <is>
          <t>ใบเสร็จ/ใบแจ้งหนี้ค่าประปา</t>
        </is>
      </c>
      <c r="D7" s="398" t="inlineStr">
        <is>
          <t>m3</t>
        </is>
      </c>
      <c r="E7" s="1703">
        <f>SUM(F7:Q7)</f>
        <v/>
      </c>
      <c r="F7" s="1646" t="n">
        <v>636</v>
      </c>
      <c r="G7" s="1646" t="n">
        <v>569</v>
      </c>
      <c r="H7" s="1646" t="n">
        <v>606</v>
      </c>
      <c r="I7" s="1646" t="n">
        <v>363</v>
      </c>
      <c r="J7" s="1646" t="n">
        <v>387</v>
      </c>
      <c r="K7" s="1646" t="n">
        <v>480</v>
      </c>
      <c r="L7" s="1646" t="n">
        <v>487</v>
      </c>
      <c r="M7" s="1646" t="n">
        <v>585</v>
      </c>
      <c r="N7" s="1646" t="n">
        <v>507</v>
      </c>
      <c r="O7" s="1646" t="n">
        <v>443</v>
      </c>
      <c r="P7" s="1646" t="n">
        <v>631</v>
      </c>
      <c r="Q7" s="1646" t="n">
        <v>580</v>
      </c>
    </row>
    <row r="8" ht="22.2" customHeight="1">
      <c r="A8" s="390" t="inlineStr">
        <is>
          <t>น้ำประปา (กปน)</t>
        </is>
      </c>
      <c r="B8" s="343" t="n"/>
      <c r="C8" s="392" t="inlineStr">
        <is>
          <t>ใบเสร็จ/ใบแจ้งหนี้ค่าประปา</t>
        </is>
      </c>
      <c r="D8" s="393" t="inlineStr">
        <is>
          <t>m3</t>
        </is>
      </c>
      <c r="E8" s="1709">
        <f>SUM(E9:E10)</f>
        <v/>
      </c>
      <c r="F8" s="1646" t="n"/>
      <c r="G8" s="1646" t="n"/>
      <c r="H8" s="1646" t="n"/>
      <c r="I8" s="1646" t="n"/>
      <c r="J8" s="1646" t="n"/>
      <c r="K8" s="1646" t="n"/>
      <c r="L8" s="1646" t="n"/>
      <c r="M8" s="1646" t="n"/>
      <c r="N8" s="1646" t="n"/>
      <c r="O8" s="1646" t="n"/>
      <c r="P8" s="1646" t="n"/>
      <c r="Q8" s="1646" t="n"/>
    </row>
    <row r="9" ht="16.2" customHeight="1">
      <c r="A9" s="369" t="inlineStr">
        <is>
          <t>น้ำประปานครหลวง</t>
        </is>
      </c>
      <c r="B9" s="396" t="inlineStr">
        <is>
          <t>อาคาร 456</t>
        </is>
      </c>
      <c r="C9" s="397" t="inlineStr">
        <is>
          <t>ใบเสร็จ/ใบแจ้งหนี้ค่าประปา</t>
        </is>
      </c>
      <c r="D9" s="398" t="inlineStr">
        <is>
          <t>m3</t>
        </is>
      </c>
      <c r="E9" s="1710" t="n">
        <v>465</v>
      </c>
      <c r="F9" s="1710" t="n">
        <v>38</v>
      </c>
      <c r="G9" s="1710" t="n">
        <v>42</v>
      </c>
      <c r="H9" s="1710" t="n">
        <v>35</v>
      </c>
      <c r="I9" s="1710" t="n">
        <v>29</v>
      </c>
      <c r="J9" s="1710" t="n">
        <v>38</v>
      </c>
      <c r="K9" s="1710" t="n">
        <v>30</v>
      </c>
      <c r="L9" s="1710" t="n">
        <v>47</v>
      </c>
      <c r="M9" s="1710" t="n">
        <v>40</v>
      </c>
      <c r="N9" s="1710" t="n">
        <v>47</v>
      </c>
      <c r="O9" s="1710" t="n">
        <v>44</v>
      </c>
      <c r="P9" s="1710" t="n">
        <v>39</v>
      </c>
      <c r="Q9" s="1710" t="n">
        <v>36</v>
      </c>
    </row>
    <row r="10" ht="16.2" customHeight="1">
      <c r="A10" s="369" t="inlineStr">
        <is>
          <t>น้ำประปานครหลวง</t>
        </is>
      </c>
      <c r="B10" s="396" t="inlineStr">
        <is>
          <t>อาคาร 458</t>
        </is>
      </c>
      <c r="C10" s="397" t="inlineStr">
        <is>
          <t>ใบเสร็จ/ใบแจ้งหนี้ค่าประปา</t>
        </is>
      </c>
      <c r="D10" s="398" t="inlineStr">
        <is>
          <t>m3</t>
        </is>
      </c>
      <c r="E10" s="1710" t="n">
        <v>294</v>
      </c>
      <c r="F10" s="1710" t="n">
        <v>26</v>
      </c>
      <c r="G10" s="1710" t="n">
        <v>22</v>
      </c>
      <c r="H10" s="1710" t="n">
        <v>21</v>
      </c>
      <c r="I10" s="1710" t="n">
        <v>36</v>
      </c>
      <c r="J10" s="1710" t="n">
        <v>19</v>
      </c>
      <c r="K10" s="1710" t="n">
        <v>18</v>
      </c>
      <c r="L10" s="1710" t="n">
        <v>19</v>
      </c>
      <c r="M10" s="1710" t="n">
        <v>16</v>
      </c>
      <c r="N10" s="1710" t="n">
        <v>18</v>
      </c>
      <c r="O10" s="1710" t="n">
        <v>18</v>
      </c>
      <c r="P10" s="1710" t="n">
        <v>31</v>
      </c>
      <c r="Q10" s="1710" t="n">
        <v>50</v>
      </c>
    </row>
    <row r="11" ht="14.25" customHeight="1">
      <c r="B11" s="385" t="n"/>
    </row>
    <row r="12" ht="14.25" customHeight="1">
      <c r="B12" s="385" t="n"/>
    </row>
    <row r="13" ht="14.25" customHeight="1">
      <c r="B13" s="385" t="n"/>
    </row>
    <row r="14" ht="14.25" customHeight="1">
      <c r="A14" s="228" t="inlineStr">
        <is>
          <t>หมายเหตุ: แนบภาพมิเตอร์น้ำประปาทุกจุดที่มีในโรงงาน/สำนักงาน</t>
        </is>
      </c>
      <c r="B14" s="385" t="n"/>
    </row>
    <row r="15" ht="14.25" customHeight="1">
      <c r="A15" s="385" t="inlineStr">
        <is>
          <t>โรงงาน 1 2 5</t>
        </is>
      </c>
      <c r="B15" s="228" t="inlineStr">
        <is>
          <t>น53(4)-2/2541-ญนฉ.</t>
        </is>
      </c>
    </row>
    <row r="16" ht="14.25" customHeight="1">
      <c r="A16" s="385" t="inlineStr">
        <is>
          <t>โรงงาน 3 4 7</t>
        </is>
      </c>
      <c r="B16" s="401" t="inlineStr">
        <is>
          <t>น53(4)-4/2545-ญนฉ.</t>
        </is>
      </c>
    </row>
    <row r="17" ht="14.25" customHeight="1">
      <c r="B17" s="385" t="n"/>
    </row>
    <row r="18" ht="14.25" customHeight="1">
      <c r="B18" s="385" t="n"/>
    </row>
    <row r="19" ht="14.25" customHeight="1">
      <c r="B19" s="385" t="n"/>
    </row>
    <row r="20" ht="14.25" customHeight="1">
      <c r="B20" s="385" t="n"/>
    </row>
    <row r="21" ht="14.25" customHeight="1">
      <c r="B21" s="385" t="n"/>
    </row>
    <row r="22" ht="14.25" customHeight="1">
      <c r="B22" s="385" t="n"/>
    </row>
    <row r="23" ht="14.25" customHeight="1">
      <c r="B23" s="385" t="n"/>
    </row>
    <row r="24" ht="14.25" customHeight="1">
      <c r="B24" s="385" t="n"/>
    </row>
    <row r="25" ht="14.25" customHeight="1">
      <c r="B25" s="385" t="n"/>
    </row>
    <row r="26" ht="14.25" customHeight="1">
      <c r="B26" s="385" t="n"/>
    </row>
    <row r="27" ht="14.25" customHeight="1">
      <c r="B27" s="385" t="n"/>
    </row>
    <row r="28" ht="14.25" customHeight="1">
      <c r="B28" s="385" t="n"/>
    </row>
    <row r="29" ht="14.25" customHeight="1">
      <c r="B29" s="385" t="n"/>
    </row>
    <row r="30" ht="14.25" customHeight="1">
      <c r="B30" s="385" t="n"/>
    </row>
    <row r="31" ht="14.25" customHeight="1">
      <c r="B31" s="385" t="n"/>
    </row>
    <row r="32" ht="14.25" customHeight="1">
      <c r="B32" s="385" t="n"/>
    </row>
    <row r="33" ht="14.25" customHeight="1">
      <c r="B33" s="385" t="n"/>
    </row>
    <row r="34" ht="14.25" customHeight="1">
      <c r="B34" s="385" t="n"/>
    </row>
    <row r="35" ht="14.25" customHeight="1">
      <c r="B35" s="385" t="n"/>
    </row>
    <row r="36" ht="14.25" customHeight="1">
      <c r="B36" s="385" t="n"/>
    </row>
    <row r="37" ht="14.25" customHeight="1">
      <c r="B37" s="385" t="n"/>
    </row>
    <row r="38" ht="14.25" customHeight="1">
      <c r="B38" s="385" t="n"/>
    </row>
    <row r="39" ht="14.25" customHeight="1">
      <c r="B39" s="385" t="n"/>
    </row>
    <row r="40" ht="14.25" customHeight="1">
      <c r="B40" s="385" t="n"/>
    </row>
    <row r="41" ht="14.25" customHeight="1">
      <c r="B41" s="385" t="n"/>
    </row>
    <row r="42" ht="14.25" customHeight="1">
      <c r="B42" s="385" t="n"/>
    </row>
    <row r="43" ht="14.25" customHeight="1">
      <c r="B43" s="385" t="n"/>
    </row>
    <row r="44" ht="14.25" customHeight="1">
      <c r="B44" s="385" t="n"/>
    </row>
    <row r="45" ht="14.25" customHeight="1">
      <c r="B45" s="385" t="n"/>
    </row>
    <row r="46" ht="14.25" customHeight="1">
      <c r="B46" s="385" t="n"/>
    </row>
    <row r="47" ht="14.25" customHeight="1">
      <c r="B47" s="385" t="n"/>
    </row>
    <row r="48" ht="14.25" customHeight="1">
      <c r="B48" s="385" t="n"/>
    </row>
    <row r="49" ht="14.25" customHeight="1">
      <c r="B49" s="385" t="n"/>
    </row>
    <row r="50" ht="14.25" customHeight="1">
      <c r="B50" s="385" t="n"/>
    </row>
    <row r="51" ht="14.25" customHeight="1">
      <c r="B51" s="385" t="n"/>
    </row>
    <row r="52" ht="14.25" customHeight="1">
      <c r="B52" s="385" t="n"/>
    </row>
    <row r="53" ht="14.25" customHeight="1">
      <c r="B53" s="385" t="n"/>
    </row>
    <row r="54" ht="14.25" customHeight="1">
      <c r="B54" s="385" t="n"/>
    </row>
    <row r="55" ht="14.25" customHeight="1">
      <c r="B55" s="385" t="n"/>
    </row>
    <row r="56" ht="14.25" customHeight="1">
      <c r="B56" s="385" t="n"/>
    </row>
    <row r="57" ht="14.25" customHeight="1">
      <c r="B57" s="385" t="n"/>
    </row>
    <row r="58" ht="14.25" customHeight="1">
      <c r="B58" s="385" t="n"/>
    </row>
    <row r="59" ht="14.25" customHeight="1">
      <c r="B59" s="385" t="n"/>
    </row>
    <row r="60" ht="14.25" customHeight="1">
      <c r="B60" s="385" t="n"/>
    </row>
    <row r="61" ht="14.25" customHeight="1">
      <c r="B61" s="385" t="n"/>
    </row>
    <row r="62" ht="14.25" customHeight="1">
      <c r="B62" s="385" t="n"/>
    </row>
    <row r="63" ht="14.25" customHeight="1">
      <c r="B63" s="385" t="n"/>
    </row>
    <row r="64" ht="14.25" customHeight="1">
      <c r="B64" s="385" t="n"/>
    </row>
    <row r="65" ht="14.25" customHeight="1">
      <c r="B65" s="385" t="n"/>
    </row>
    <row r="66" ht="14.25" customHeight="1">
      <c r="B66" s="385" t="n"/>
    </row>
    <row r="67" ht="14.25" customHeight="1">
      <c r="B67" s="385" t="n"/>
    </row>
    <row r="68" ht="14.25" customHeight="1">
      <c r="B68" s="385" t="n"/>
    </row>
    <row r="69" ht="14.25" customHeight="1">
      <c r="B69" s="385" t="n"/>
    </row>
    <row r="70" ht="14.25" customHeight="1">
      <c r="B70" s="385" t="n"/>
    </row>
    <row r="71" ht="14.25" customHeight="1">
      <c r="B71" s="385" t="n"/>
    </row>
    <row r="72" ht="14.25" customHeight="1">
      <c r="B72" s="385" t="n"/>
    </row>
    <row r="73" ht="14.25" customHeight="1">
      <c r="B73" s="385" t="n"/>
    </row>
    <row r="74" ht="14.25" customHeight="1">
      <c r="B74" s="385" t="n"/>
    </row>
    <row r="75" ht="14.25" customHeight="1">
      <c r="B75" s="385" t="n"/>
    </row>
    <row r="76" ht="14.25" customHeight="1">
      <c r="B76" s="385" t="n"/>
    </row>
    <row r="77" ht="14.25" customHeight="1">
      <c r="B77" s="385" t="n"/>
    </row>
    <row r="78" ht="14.25" customHeight="1">
      <c r="B78" s="385" t="n"/>
    </row>
    <row r="79" ht="14.25" customHeight="1">
      <c r="B79" s="385" t="n"/>
    </row>
    <row r="80" ht="14.25" customHeight="1">
      <c r="B80" s="385" t="n"/>
    </row>
    <row r="81" ht="14.25" customHeight="1">
      <c r="B81" s="385" t="n"/>
    </row>
    <row r="82" ht="14.25" customHeight="1">
      <c r="B82" s="385" t="n"/>
    </row>
    <row r="83" ht="14.25" customHeight="1">
      <c r="B83" s="385" t="n"/>
    </row>
    <row r="84" ht="14.25" customHeight="1">
      <c r="B84" s="385" t="n"/>
    </row>
    <row r="85" ht="14.25" customHeight="1">
      <c r="B85" s="385" t="n"/>
    </row>
    <row r="86" ht="14.25" customHeight="1">
      <c r="B86" s="385" t="n"/>
    </row>
    <row r="87" ht="14.25" customHeight="1">
      <c r="B87" s="385" t="n"/>
    </row>
    <row r="88" ht="14.25" customHeight="1">
      <c r="B88" s="385" t="n"/>
    </row>
    <row r="89" ht="14.25" customHeight="1">
      <c r="B89" s="385" t="n"/>
    </row>
    <row r="90" ht="14.25" customHeight="1">
      <c r="B90" s="385" t="n"/>
    </row>
    <row r="91" ht="14.25" customHeight="1">
      <c r="B91" s="385" t="n"/>
    </row>
    <row r="92" ht="14.25" customHeight="1">
      <c r="B92" s="385" t="n"/>
    </row>
    <row r="93" ht="14.25" customHeight="1">
      <c r="B93" s="385" t="n"/>
    </row>
    <row r="94" ht="14.25" customHeight="1">
      <c r="B94" s="385" t="n"/>
    </row>
    <row r="95" ht="14.25" customHeight="1">
      <c r="B95" s="385" t="n"/>
    </row>
    <row r="96" ht="14.25" customHeight="1">
      <c r="B96" s="385" t="n"/>
    </row>
    <row r="97" ht="14.25" customHeight="1">
      <c r="B97" s="385" t="n"/>
    </row>
    <row r="98" ht="14.25" customHeight="1">
      <c r="B98" s="385" t="n"/>
    </row>
    <row r="99" ht="14.25" customHeight="1">
      <c r="B99" s="385" t="n"/>
    </row>
    <row r="100" ht="14.25" customHeight="1">
      <c r="B100" s="385" t="n"/>
    </row>
    <row r="101" ht="14.25" customHeight="1">
      <c r="B101" s="385" t="n"/>
    </row>
    <row r="102" ht="14.25" customHeight="1">
      <c r="B102" s="385" t="n"/>
    </row>
    <row r="103" ht="14.25" customHeight="1">
      <c r="B103" s="385" t="n"/>
    </row>
    <row r="104" ht="14.25" customHeight="1">
      <c r="B104" s="385" t="n"/>
    </row>
    <row r="105" ht="14.25" customHeight="1">
      <c r="B105" s="385" t="n"/>
    </row>
    <row r="106" ht="14.25" customHeight="1">
      <c r="B106" s="385" t="n"/>
    </row>
    <row r="107" ht="14.25" customHeight="1">
      <c r="B107" s="385" t="n"/>
    </row>
    <row r="108" ht="14.25" customHeight="1">
      <c r="B108" s="385" t="n"/>
    </row>
    <row r="109" ht="14.25" customHeight="1">
      <c r="B109" s="385" t="n"/>
    </row>
    <row r="110" ht="14.25" customHeight="1">
      <c r="B110" s="385" t="n"/>
    </row>
    <row r="111" ht="14.25" customHeight="1">
      <c r="B111" s="385" t="n"/>
    </row>
    <row r="112" ht="14.25" customHeight="1">
      <c r="B112" s="385" t="n"/>
    </row>
    <row r="113" ht="14.25" customHeight="1">
      <c r="B113" s="385" t="n"/>
    </row>
    <row r="114" ht="14.25" customHeight="1">
      <c r="B114" s="385" t="n"/>
    </row>
    <row r="115" ht="14.25" customHeight="1">
      <c r="B115" s="385" t="n"/>
    </row>
    <row r="116" ht="14.25" customHeight="1">
      <c r="B116" s="385" t="n"/>
    </row>
    <row r="117" ht="14.25" customHeight="1">
      <c r="B117" s="385" t="n"/>
    </row>
    <row r="118" ht="14.25" customHeight="1">
      <c r="B118" s="385" t="n"/>
    </row>
    <row r="119" ht="14.25" customHeight="1">
      <c r="B119" s="385" t="n"/>
    </row>
    <row r="120" ht="14.25" customHeight="1">
      <c r="B120" s="385" t="n"/>
    </row>
    <row r="121" ht="14.25" customHeight="1">
      <c r="B121" s="385" t="n"/>
    </row>
    <row r="122" ht="14.25" customHeight="1">
      <c r="B122" s="385" t="n"/>
    </row>
    <row r="123" ht="14.25" customHeight="1">
      <c r="B123" s="385" t="n"/>
    </row>
    <row r="124" ht="14.25" customHeight="1">
      <c r="B124" s="385" t="n"/>
    </row>
    <row r="125" ht="14.25" customHeight="1">
      <c r="B125" s="385" t="n"/>
    </row>
    <row r="126" ht="14.25" customHeight="1">
      <c r="B126" s="385" t="n"/>
    </row>
    <row r="127" ht="14.25" customHeight="1">
      <c r="B127" s="385" t="n"/>
    </row>
    <row r="128" ht="14.25" customHeight="1">
      <c r="B128" s="385" t="n"/>
    </row>
    <row r="129" ht="14.25" customHeight="1">
      <c r="B129" s="385" t="n"/>
    </row>
    <row r="130" ht="14.25" customHeight="1">
      <c r="B130" s="385" t="n"/>
    </row>
    <row r="131" ht="14.25" customHeight="1">
      <c r="B131" s="385" t="n"/>
    </row>
    <row r="132" ht="14.25" customHeight="1">
      <c r="B132" s="385" t="n"/>
    </row>
    <row r="133" ht="14.25" customHeight="1">
      <c r="B133" s="385" t="n"/>
    </row>
    <row r="134" ht="14.25" customHeight="1">
      <c r="B134" s="385" t="n"/>
    </row>
    <row r="135" ht="14.25" customHeight="1">
      <c r="B135" s="385" t="n"/>
    </row>
    <row r="136" ht="14.25" customHeight="1">
      <c r="B136" s="385" t="n"/>
    </row>
    <row r="137" ht="14.25" customHeight="1">
      <c r="B137" s="385" t="n"/>
    </row>
    <row r="138" ht="14.25" customHeight="1">
      <c r="B138" s="385" t="n"/>
    </row>
    <row r="139" ht="14.25" customHeight="1">
      <c r="B139" s="385" t="n"/>
    </row>
    <row r="140" ht="14.25" customHeight="1">
      <c r="B140" s="385" t="n"/>
    </row>
    <row r="141" ht="14.25" customHeight="1">
      <c r="B141" s="385" t="n"/>
    </row>
    <row r="142" ht="14.25" customHeight="1">
      <c r="B142" s="385" t="n"/>
    </row>
    <row r="143" ht="14.25" customHeight="1">
      <c r="B143" s="385" t="n"/>
    </row>
    <row r="144" ht="14.25" customHeight="1">
      <c r="B144" s="385" t="n"/>
    </row>
    <row r="145" ht="14.25" customHeight="1">
      <c r="B145" s="385" t="n"/>
    </row>
    <row r="146" ht="14.25" customHeight="1">
      <c r="B146" s="385" t="n"/>
    </row>
    <row r="147" ht="14.25" customHeight="1">
      <c r="B147" s="385" t="n"/>
    </row>
    <row r="148" ht="14.25" customHeight="1">
      <c r="B148" s="385" t="n"/>
    </row>
    <row r="149" ht="14.25" customHeight="1">
      <c r="B149" s="385" t="n"/>
    </row>
    <row r="150" ht="14.25" customHeight="1">
      <c r="B150" s="385" t="n"/>
    </row>
    <row r="151" ht="14.25" customHeight="1">
      <c r="B151" s="385" t="n"/>
    </row>
    <row r="152" ht="14.25" customHeight="1">
      <c r="B152" s="385" t="n"/>
    </row>
    <row r="153" ht="14.25" customHeight="1">
      <c r="B153" s="385" t="n"/>
    </row>
    <row r="154" ht="14.25" customHeight="1">
      <c r="B154" s="385" t="n"/>
    </row>
    <row r="155" ht="14.25" customHeight="1">
      <c r="B155" s="385" t="n"/>
    </row>
    <row r="156" ht="14.25" customHeight="1">
      <c r="B156" s="385" t="n"/>
    </row>
    <row r="157" ht="14.25" customHeight="1">
      <c r="B157" s="385" t="n"/>
    </row>
    <row r="158" ht="14.25" customHeight="1">
      <c r="B158" s="385" t="n"/>
    </row>
    <row r="159" ht="14.25" customHeight="1">
      <c r="B159" s="385" t="n"/>
    </row>
    <row r="160" ht="14.25" customHeight="1">
      <c r="B160" s="385" t="n"/>
    </row>
    <row r="161" ht="14.25" customHeight="1">
      <c r="B161" s="385" t="n"/>
    </row>
    <row r="162" ht="14.25" customHeight="1">
      <c r="B162" s="385" t="n"/>
    </row>
    <row r="163" ht="14.25" customHeight="1">
      <c r="B163" s="385" t="n"/>
    </row>
    <row r="164" ht="14.25" customHeight="1">
      <c r="B164" s="385" t="n"/>
    </row>
    <row r="165" ht="14.25" customHeight="1">
      <c r="B165" s="385" t="n"/>
    </row>
    <row r="166" ht="14.25" customHeight="1">
      <c r="B166" s="385" t="n"/>
    </row>
    <row r="167" ht="14.25" customHeight="1">
      <c r="B167" s="385" t="n"/>
    </row>
    <row r="168" ht="14.25" customHeight="1">
      <c r="B168" s="385" t="n"/>
    </row>
    <row r="169" ht="14.25" customHeight="1">
      <c r="B169" s="385" t="n"/>
    </row>
    <row r="170" ht="14.25" customHeight="1">
      <c r="B170" s="385" t="n"/>
    </row>
    <row r="171" ht="14.25" customHeight="1">
      <c r="B171" s="385" t="n"/>
    </row>
    <row r="172" ht="14.25" customHeight="1">
      <c r="B172" s="385" t="n"/>
    </row>
    <row r="173" ht="14.25" customHeight="1">
      <c r="B173" s="385" t="n"/>
    </row>
    <row r="174" ht="14.25" customHeight="1">
      <c r="B174" s="385" t="n"/>
    </row>
    <row r="175" ht="14.25" customHeight="1">
      <c r="B175" s="385" t="n"/>
    </row>
    <row r="176" ht="14.25" customHeight="1">
      <c r="B176" s="385" t="n"/>
    </row>
    <row r="177" ht="14.25" customHeight="1">
      <c r="B177" s="385" t="n"/>
    </row>
    <row r="178" ht="14.25" customHeight="1">
      <c r="B178" s="385" t="n"/>
    </row>
    <row r="179" ht="14.25" customHeight="1">
      <c r="B179" s="385" t="n"/>
    </row>
    <row r="180" ht="14.25" customHeight="1">
      <c r="B180" s="385" t="n"/>
    </row>
    <row r="181" ht="14.25" customHeight="1">
      <c r="B181" s="385" t="n"/>
    </row>
    <row r="182" ht="14.25" customHeight="1">
      <c r="B182" s="385" t="n"/>
    </row>
    <row r="183" ht="14.25" customHeight="1">
      <c r="B183" s="385" t="n"/>
    </row>
    <row r="184" ht="14.25" customHeight="1">
      <c r="B184" s="385" t="n"/>
    </row>
    <row r="185" ht="14.25" customHeight="1">
      <c r="B185" s="385" t="n"/>
    </row>
    <row r="186" ht="14.25" customHeight="1">
      <c r="B186" s="385" t="n"/>
    </row>
    <row r="187" ht="14.25" customHeight="1">
      <c r="B187" s="385" t="n"/>
    </row>
    <row r="188" ht="14.25" customHeight="1">
      <c r="B188" s="385" t="n"/>
    </row>
    <row r="189" ht="14.25" customHeight="1">
      <c r="B189" s="385" t="n"/>
    </row>
    <row r="190" ht="14.25" customHeight="1">
      <c r="B190" s="385" t="n"/>
    </row>
    <row r="191" ht="14.25" customHeight="1">
      <c r="B191" s="385" t="n"/>
    </row>
    <row r="192" ht="14.25" customHeight="1">
      <c r="B192" s="385" t="n"/>
    </row>
    <row r="193" ht="14.25" customHeight="1">
      <c r="B193" s="385" t="n"/>
    </row>
    <row r="194" ht="14.25" customHeight="1">
      <c r="B194" s="385" t="n"/>
    </row>
    <row r="195" ht="14.25" customHeight="1">
      <c r="B195" s="385" t="n"/>
    </row>
    <row r="196" ht="14.25" customHeight="1">
      <c r="B196" s="385" t="n"/>
    </row>
    <row r="197" ht="14.25" customHeight="1">
      <c r="B197" s="385" t="n"/>
    </row>
    <row r="198" ht="14.25" customHeight="1">
      <c r="B198" s="385" t="n"/>
    </row>
    <row r="199" ht="14.25" customHeight="1">
      <c r="B199" s="385" t="n"/>
    </row>
    <row r="200" ht="14.25" customHeight="1">
      <c r="B200" s="385" t="n"/>
    </row>
    <row r="201" ht="14.25" customHeight="1">
      <c r="B201" s="385" t="n"/>
    </row>
    <row r="202" ht="14.25" customHeight="1">
      <c r="B202" s="385" t="n"/>
    </row>
    <row r="203" ht="14.25" customHeight="1">
      <c r="B203" s="385" t="n"/>
    </row>
    <row r="204" ht="14.25" customHeight="1">
      <c r="B204" s="385" t="n"/>
    </row>
    <row r="205" ht="14.25" customHeight="1">
      <c r="B205" s="385" t="n"/>
    </row>
    <row r="206" ht="14.25" customHeight="1">
      <c r="B206" s="385" t="n"/>
    </row>
    <row r="207" ht="14.25" customHeight="1">
      <c r="B207" s="385" t="n"/>
    </row>
    <row r="208" ht="14.25" customHeight="1">
      <c r="B208" s="385" t="n"/>
    </row>
    <row r="209" ht="14.25" customHeight="1">
      <c r="B209" s="385" t="n"/>
    </row>
    <row r="210" ht="14.25" customHeight="1">
      <c r="B210" s="385" t="n"/>
    </row>
    <row r="211" ht="14.25" customHeight="1">
      <c r="B211" s="385" t="n"/>
    </row>
    <row r="212" ht="14.25" customHeight="1">
      <c r="B212" s="385" t="n"/>
    </row>
    <row r="213" ht="14.25" customHeight="1">
      <c r="B213" s="385" t="n"/>
    </row>
    <row r="214" ht="14.25" customHeight="1">
      <c r="B214" s="385" t="n"/>
    </row>
    <row r="215" ht="14.25" customHeight="1">
      <c r="B215" s="385" t="n"/>
    </row>
    <row r="216" ht="14.25" customHeight="1">
      <c r="B216" s="385" t="n"/>
    </row>
    <row r="217" ht="14.25" customHeight="1">
      <c r="B217" s="385" t="n"/>
    </row>
    <row r="218" ht="14.25" customHeight="1">
      <c r="B218" s="385" t="n"/>
    </row>
    <row r="219" ht="14.25" customHeight="1">
      <c r="B219" s="385" t="n"/>
    </row>
    <row r="220" ht="14.25" customHeight="1">
      <c r="B220" s="385" t="n"/>
    </row>
    <row r="221" ht="14.25" customHeight="1">
      <c r="B221" s="385" t="n"/>
    </row>
    <row r="222" ht="14.25" customHeight="1">
      <c r="B222" s="385" t="n"/>
    </row>
    <row r="223" ht="14.25" customHeight="1">
      <c r="B223" s="385" t="n"/>
    </row>
    <row r="224" ht="14.25" customHeight="1">
      <c r="B224" s="385" t="n"/>
    </row>
    <row r="225" ht="14.25" customHeight="1">
      <c r="B225" s="385" t="n"/>
    </row>
    <row r="226" ht="14.25" customHeight="1">
      <c r="B226" s="385" t="n"/>
    </row>
    <row r="227" ht="14.25" customHeight="1">
      <c r="B227" s="385" t="n"/>
    </row>
    <row r="228" ht="14.25" customHeight="1">
      <c r="B228" s="385" t="n"/>
    </row>
    <row r="229" ht="14.25" customHeight="1">
      <c r="B229" s="385" t="n"/>
    </row>
    <row r="230" ht="14.25" customHeight="1">
      <c r="B230" s="385" t="n"/>
    </row>
    <row r="231" ht="14.25" customHeight="1">
      <c r="B231" s="385" t="n"/>
    </row>
    <row r="232" ht="14.25" customHeight="1">
      <c r="B232" s="385" t="n"/>
    </row>
    <row r="233" ht="14.25" customHeight="1">
      <c r="B233" s="385" t="n"/>
    </row>
    <row r="234" ht="14.25" customHeight="1">
      <c r="B234" s="385" t="n"/>
    </row>
    <row r="235" ht="14.25" customHeight="1">
      <c r="B235" s="385" t="n"/>
    </row>
    <row r="236" ht="14.25" customHeight="1">
      <c r="B236" s="385" t="n"/>
    </row>
    <row r="237" ht="14.25" customHeight="1">
      <c r="B237" s="385" t="n"/>
    </row>
    <row r="238" ht="14.25" customHeight="1">
      <c r="B238" s="385" t="n"/>
    </row>
    <row r="239" ht="14.25" customHeight="1">
      <c r="B239" s="385" t="n"/>
    </row>
    <row r="240" ht="14.25" customHeight="1">
      <c r="B240" s="385" t="n"/>
    </row>
    <row r="241" ht="14.25" customHeight="1">
      <c r="B241" s="385" t="n"/>
    </row>
    <row r="242" ht="14.25" customHeight="1">
      <c r="B242" s="385" t="n"/>
    </row>
    <row r="243" ht="14.25" customHeight="1">
      <c r="B243" s="385" t="n"/>
    </row>
    <row r="244" ht="14.25" customHeight="1">
      <c r="B244" s="385" t="n"/>
    </row>
    <row r="245" ht="14.25" customHeight="1">
      <c r="B245" s="385" t="n"/>
    </row>
    <row r="246" ht="14.25" customHeight="1">
      <c r="B246" s="385" t="n"/>
    </row>
    <row r="247" ht="14.25" customHeight="1">
      <c r="B247" s="385" t="n"/>
    </row>
    <row r="248" ht="14.25" customHeight="1">
      <c r="B248" s="385" t="n"/>
    </row>
    <row r="249" ht="14.25" customHeight="1">
      <c r="B249" s="385" t="n"/>
    </row>
    <row r="250" ht="14.25" customHeight="1">
      <c r="B250" s="385" t="n"/>
    </row>
    <row r="251" ht="14.25" customHeight="1">
      <c r="B251" s="385" t="n"/>
    </row>
    <row r="252" ht="14.25" customHeight="1">
      <c r="B252" s="385" t="n"/>
    </row>
    <row r="253" ht="14.25" customHeight="1">
      <c r="B253" s="385" t="n"/>
    </row>
    <row r="254" ht="14.25" customHeight="1">
      <c r="B254" s="385" t="n"/>
    </row>
    <row r="255" ht="14.25" customHeight="1">
      <c r="B255" s="385" t="n"/>
    </row>
    <row r="256" ht="14.25" customHeight="1">
      <c r="B256" s="385" t="n"/>
    </row>
    <row r="257" ht="14.25" customHeight="1">
      <c r="B257" s="385" t="n"/>
    </row>
    <row r="258" ht="14.25" customHeight="1">
      <c r="B258" s="385" t="n"/>
    </row>
    <row r="259" ht="14.25" customHeight="1">
      <c r="B259" s="385" t="n"/>
    </row>
    <row r="260" ht="14.25" customHeight="1">
      <c r="B260" s="385" t="n"/>
    </row>
    <row r="261" ht="14.25" customHeight="1">
      <c r="B261" s="385" t="n"/>
    </row>
    <row r="262" ht="14.25" customHeight="1">
      <c r="B262" s="385" t="n"/>
    </row>
    <row r="263" ht="14.25" customHeight="1">
      <c r="B263" s="385" t="n"/>
    </row>
    <row r="264" ht="14.25" customHeight="1">
      <c r="B264" s="385" t="n"/>
    </row>
    <row r="265" ht="14.25" customHeight="1">
      <c r="B265" s="385" t="n"/>
    </row>
    <row r="266" ht="14.25" customHeight="1">
      <c r="B266" s="385" t="n"/>
    </row>
    <row r="267" ht="14.25" customHeight="1">
      <c r="B267" s="385" t="n"/>
    </row>
    <row r="268" ht="14.25" customHeight="1">
      <c r="B268" s="385" t="n"/>
    </row>
    <row r="269" ht="14.25" customHeight="1">
      <c r="B269" s="385" t="n"/>
    </row>
    <row r="270" ht="14.25" customHeight="1">
      <c r="B270" s="385" t="n"/>
    </row>
    <row r="271" ht="14.25" customHeight="1">
      <c r="B271" s="385" t="n"/>
    </row>
    <row r="272" ht="14.25" customHeight="1">
      <c r="B272" s="385" t="n"/>
    </row>
    <row r="273" ht="14.25" customHeight="1">
      <c r="B273" s="385" t="n"/>
    </row>
    <row r="274" ht="14.25" customHeight="1">
      <c r="B274" s="385" t="n"/>
    </row>
    <row r="275" ht="14.25" customHeight="1">
      <c r="B275" s="385" t="n"/>
    </row>
    <row r="276" ht="14.25" customHeight="1">
      <c r="B276" s="385" t="n"/>
    </row>
    <row r="277" ht="14.25" customHeight="1">
      <c r="B277" s="385" t="n"/>
    </row>
    <row r="278" ht="14.25" customHeight="1">
      <c r="B278" s="385" t="n"/>
    </row>
    <row r="279" ht="14.25" customHeight="1">
      <c r="B279" s="385" t="n"/>
    </row>
    <row r="280" ht="14.25" customHeight="1">
      <c r="B280" s="385" t="n"/>
    </row>
    <row r="281" ht="14.25" customHeight="1">
      <c r="B281" s="385" t="n"/>
    </row>
    <row r="282" ht="14.25" customHeight="1">
      <c r="B282" s="385" t="n"/>
    </row>
    <row r="283" ht="14.25" customHeight="1">
      <c r="B283" s="385" t="n"/>
    </row>
    <row r="284" ht="14.25" customHeight="1">
      <c r="B284" s="385" t="n"/>
    </row>
    <row r="285" ht="14.25" customHeight="1">
      <c r="B285" s="385" t="n"/>
    </row>
    <row r="286" ht="14.25" customHeight="1">
      <c r="B286" s="385" t="n"/>
    </row>
    <row r="287" ht="14.25" customHeight="1">
      <c r="B287" s="385" t="n"/>
    </row>
    <row r="288" ht="14.25" customHeight="1">
      <c r="B288" s="385" t="n"/>
    </row>
    <row r="289" ht="14.25" customHeight="1">
      <c r="B289" s="385" t="n"/>
    </row>
    <row r="290" ht="14.25" customHeight="1">
      <c r="B290" s="385" t="n"/>
    </row>
    <row r="291" ht="14.25" customHeight="1">
      <c r="B291" s="385" t="n"/>
    </row>
    <row r="292" ht="14.25" customHeight="1">
      <c r="B292" s="385" t="n"/>
    </row>
    <row r="293" ht="14.25" customHeight="1">
      <c r="B293" s="385" t="n"/>
    </row>
    <row r="294" ht="14.25" customHeight="1">
      <c r="B294" s="385" t="n"/>
    </row>
    <row r="295" ht="14.25" customHeight="1">
      <c r="B295" s="385" t="n"/>
    </row>
    <row r="296" ht="14.25" customHeight="1">
      <c r="B296" s="385" t="n"/>
    </row>
    <row r="297" ht="14.25" customHeight="1">
      <c r="B297" s="385" t="n"/>
    </row>
    <row r="298" ht="14.25" customHeight="1">
      <c r="B298" s="385" t="n"/>
    </row>
    <row r="299" ht="14.25" customHeight="1">
      <c r="B299" s="385" t="n"/>
    </row>
    <row r="300" ht="14.25" customHeight="1">
      <c r="B300" s="385" t="n"/>
    </row>
    <row r="301" ht="14.25" customHeight="1">
      <c r="B301" s="385" t="n"/>
    </row>
    <row r="302" ht="14.25" customHeight="1">
      <c r="B302" s="385" t="n"/>
    </row>
    <row r="303" ht="14.25" customHeight="1">
      <c r="B303" s="385" t="n"/>
    </row>
    <row r="304" ht="14.25" customHeight="1">
      <c r="B304" s="385" t="n"/>
    </row>
    <row r="305" ht="14.25" customHeight="1">
      <c r="B305" s="385" t="n"/>
    </row>
    <row r="306" ht="14.25" customHeight="1">
      <c r="B306" s="385" t="n"/>
    </row>
    <row r="307" ht="14.25" customHeight="1">
      <c r="B307" s="385" t="n"/>
    </row>
    <row r="308" ht="14.25" customHeight="1">
      <c r="B308" s="385" t="n"/>
    </row>
    <row r="309" ht="14.25" customHeight="1">
      <c r="B309" s="385" t="n"/>
    </row>
    <row r="310" ht="14.25" customHeight="1">
      <c r="B310" s="385" t="n"/>
    </row>
    <row r="311" ht="14.25" customHeight="1">
      <c r="B311" s="385" t="n"/>
    </row>
    <row r="312" ht="14.25" customHeight="1">
      <c r="B312" s="385" t="n"/>
    </row>
    <row r="313" ht="14.25" customHeight="1">
      <c r="B313" s="385" t="n"/>
    </row>
    <row r="314" ht="14.25" customHeight="1">
      <c r="B314" s="385" t="n"/>
    </row>
    <row r="315" ht="14.25" customHeight="1">
      <c r="B315" s="385" t="n"/>
    </row>
    <row r="316" ht="14.25" customHeight="1">
      <c r="B316" s="385" t="n"/>
    </row>
    <row r="317" ht="14.25" customHeight="1">
      <c r="B317" s="385" t="n"/>
    </row>
    <row r="318" ht="14.25" customHeight="1">
      <c r="B318" s="385" t="n"/>
    </row>
    <row r="319" ht="14.25" customHeight="1">
      <c r="B319" s="385" t="n"/>
    </row>
    <row r="320" ht="14.25" customHeight="1">
      <c r="B320" s="385" t="n"/>
    </row>
    <row r="321" ht="14.25" customHeight="1">
      <c r="B321" s="385" t="n"/>
    </row>
    <row r="322" ht="14.25" customHeight="1">
      <c r="B322" s="385" t="n"/>
    </row>
    <row r="323" ht="14.25" customHeight="1">
      <c r="B323" s="385" t="n"/>
    </row>
    <row r="324" ht="14.25" customHeight="1">
      <c r="B324" s="385" t="n"/>
    </row>
    <row r="325" ht="14.25" customHeight="1">
      <c r="B325" s="385" t="n"/>
    </row>
    <row r="326" ht="14.25" customHeight="1">
      <c r="B326" s="385" t="n"/>
    </row>
    <row r="327" ht="14.25" customHeight="1">
      <c r="B327" s="385" t="n"/>
    </row>
    <row r="328" ht="14.25" customHeight="1">
      <c r="B328" s="385" t="n"/>
    </row>
    <row r="329" ht="14.25" customHeight="1">
      <c r="B329" s="385" t="n"/>
    </row>
    <row r="330" ht="14.25" customHeight="1">
      <c r="B330" s="385" t="n"/>
    </row>
    <row r="331" ht="14.25" customHeight="1">
      <c r="B331" s="385" t="n"/>
    </row>
    <row r="332" ht="14.25" customHeight="1">
      <c r="B332" s="385" t="n"/>
    </row>
    <row r="333" ht="14.25" customHeight="1">
      <c r="B333" s="385" t="n"/>
    </row>
    <row r="334" ht="14.25" customHeight="1">
      <c r="B334" s="385" t="n"/>
    </row>
    <row r="335" ht="14.25" customHeight="1">
      <c r="B335" s="385" t="n"/>
    </row>
    <row r="336" ht="14.25" customHeight="1">
      <c r="B336" s="385" t="n"/>
    </row>
    <row r="337" ht="14.25" customHeight="1">
      <c r="B337" s="385" t="n"/>
    </row>
    <row r="338" ht="14.25" customHeight="1">
      <c r="B338" s="385" t="n"/>
    </row>
    <row r="339" ht="14.25" customHeight="1">
      <c r="B339" s="385" t="n"/>
    </row>
    <row r="340" ht="14.25" customHeight="1">
      <c r="B340" s="385" t="n"/>
    </row>
    <row r="341" ht="14.25" customHeight="1">
      <c r="B341" s="385" t="n"/>
    </row>
    <row r="342" ht="14.25" customHeight="1">
      <c r="B342" s="385" t="n"/>
    </row>
    <row r="343" ht="14.25" customHeight="1">
      <c r="B343" s="385" t="n"/>
    </row>
    <row r="344" ht="14.25" customHeight="1">
      <c r="B344" s="385" t="n"/>
    </row>
    <row r="345" ht="14.25" customHeight="1">
      <c r="B345" s="385" t="n"/>
    </row>
    <row r="346" ht="14.25" customHeight="1">
      <c r="B346" s="385" t="n"/>
    </row>
    <row r="347" ht="14.25" customHeight="1">
      <c r="B347" s="385" t="n"/>
    </row>
    <row r="348" ht="14.25" customHeight="1">
      <c r="B348" s="385" t="n"/>
    </row>
    <row r="349" ht="14.25" customHeight="1">
      <c r="B349" s="385" t="n"/>
    </row>
    <row r="350" ht="14.25" customHeight="1">
      <c r="B350" s="385" t="n"/>
    </row>
    <row r="351" ht="14.25" customHeight="1">
      <c r="B351" s="385" t="n"/>
    </row>
    <row r="352" ht="14.25" customHeight="1">
      <c r="B352" s="385" t="n"/>
    </row>
    <row r="353" ht="14.25" customHeight="1">
      <c r="B353" s="385" t="n"/>
    </row>
    <row r="354" ht="14.25" customHeight="1">
      <c r="B354" s="385" t="n"/>
    </row>
    <row r="355" ht="14.25" customHeight="1">
      <c r="B355" s="385" t="n"/>
    </row>
    <row r="356" ht="14.25" customHeight="1">
      <c r="B356" s="385" t="n"/>
    </row>
    <row r="357" ht="14.25" customHeight="1">
      <c r="B357" s="385" t="n"/>
    </row>
    <row r="358" ht="14.25" customHeight="1">
      <c r="B358" s="385" t="n"/>
    </row>
    <row r="359" ht="14.25" customHeight="1">
      <c r="B359" s="385" t="n"/>
    </row>
    <row r="360" ht="14.25" customHeight="1">
      <c r="B360" s="385" t="n"/>
    </row>
    <row r="361" ht="14.25" customHeight="1">
      <c r="B361" s="385" t="n"/>
    </row>
    <row r="362" ht="14.25" customHeight="1">
      <c r="B362" s="385" t="n"/>
    </row>
    <row r="363" ht="14.25" customHeight="1">
      <c r="B363" s="385" t="n"/>
    </row>
    <row r="364" ht="14.25" customHeight="1">
      <c r="B364" s="385" t="n"/>
    </row>
    <row r="365" ht="14.25" customHeight="1">
      <c r="B365" s="385" t="n"/>
    </row>
    <row r="366" ht="14.25" customHeight="1">
      <c r="B366" s="385" t="n"/>
    </row>
    <row r="367" ht="14.25" customHeight="1">
      <c r="B367" s="385" t="n"/>
    </row>
    <row r="368" ht="14.25" customHeight="1">
      <c r="B368" s="385" t="n"/>
    </row>
    <row r="369" ht="14.25" customHeight="1">
      <c r="B369" s="385" t="n"/>
    </row>
    <row r="370" ht="14.25" customHeight="1">
      <c r="B370" s="385" t="n"/>
    </row>
    <row r="371" ht="14.25" customHeight="1">
      <c r="B371" s="385" t="n"/>
    </row>
    <row r="372" ht="14.25" customHeight="1">
      <c r="B372" s="385" t="n"/>
    </row>
    <row r="373" ht="14.25" customHeight="1">
      <c r="B373" s="385" t="n"/>
    </row>
    <row r="374" ht="14.25" customHeight="1">
      <c r="B374" s="385" t="n"/>
    </row>
    <row r="375" ht="14.25" customHeight="1">
      <c r="B375" s="385" t="n"/>
    </row>
    <row r="376" ht="14.25" customHeight="1">
      <c r="B376" s="385" t="n"/>
    </row>
    <row r="377" ht="14.25" customHeight="1">
      <c r="B377" s="385" t="n"/>
    </row>
    <row r="378" ht="14.25" customHeight="1">
      <c r="B378" s="385" t="n"/>
    </row>
    <row r="379" ht="14.25" customHeight="1">
      <c r="B379" s="385" t="n"/>
    </row>
    <row r="380" ht="14.25" customHeight="1">
      <c r="B380" s="385" t="n"/>
    </row>
    <row r="381" ht="14.25" customHeight="1">
      <c r="B381" s="385" t="n"/>
    </row>
    <row r="382" ht="14.25" customHeight="1">
      <c r="B382" s="385" t="n"/>
    </row>
    <row r="383" ht="14.25" customHeight="1">
      <c r="B383" s="385" t="n"/>
    </row>
    <row r="384" ht="14.25" customHeight="1">
      <c r="B384" s="385" t="n"/>
    </row>
    <row r="385" ht="14.25" customHeight="1">
      <c r="B385" s="385" t="n"/>
    </row>
    <row r="386" ht="14.25" customHeight="1">
      <c r="B386" s="385" t="n"/>
    </row>
    <row r="387" ht="14.25" customHeight="1">
      <c r="B387" s="385" t="n"/>
    </row>
    <row r="388" ht="14.25" customHeight="1">
      <c r="B388" s="385" t="n"/>
    </row>
    <row r="389" ht="14.25" customHeight="1">
      <c r="B389" s="385" t="n"/>
    </row>
    <row r="390" ht="14.25" customHeight="1">
      <c r="B390" s="385" t="n"/>
    </row>
    <row r="391" ht="14.25" customHeight="1">
      <c r="B391" s="385" t="n"/>
    </row>
    <row r="392" ht="14.25" customHeight="1">
      <c r="B392" s="385" t="n"/>
    </row>
    <row r="393" ht="14.25" customHeight="1">
      <c r="B393" s="385" t="n"/>
    </row>
    <row r="394" ht="14.25" customHeight="1">
      <c r="B394" s="385" t="n"/>
    </row>
    <row r="395" ht="14.25" customHeight="1">
      <c r="B395" s="385" t="n"/>
    </row>
    <row r="396" ht="14.25" customHeight="1">
      <c r="B396" s="385" t="n"/>
    </row>
    <row r="397" ht="14.25" customHeight="1">
      <c r="B397" s="385" t="n"/>
    </row>
    <row r="398" ht="14.25" customHeight="1">
      <c r="B398" s="385" t="n"/>
    </row>
    <row r="399" ht="14.25" customHeight="1">
      <c r="B399" s="385" t="n"/>
    </row>
    <row r="400" ht="14.25" customHeight="1">
      <c r="B400" s="385" t="n"/>
    </row>
    <row r="401" ht="14.25" customHeight="1">
      <c r="B401" s="385" t="n"/>
    </row>
    <row r="402" ht="14.25" customHeight="1">
      <c r="B402" s="385" t="n"/>
    </row>
    <row r="403" ht="14.25" customHeight="1">
      <c r="B403" s="385" t="n"/>
    </row>
    <row r="404" ht="14.25" customHeight="1">
      <c r="B404" s="385" t="n"/>
    </row>
    <row r="405" ht="14.25" customHeight="1">
      <c r="B405" s="385" t="n"/>
    </row>
    <row r="406" ht="14.25" customHeight="1">
      <c r="B406" s="385" t="n"/>
    </row>
    <row r="407" ht="14.25" customHeight="1">
      <c r="B407" s="385" t="n"/>
    </row>
    <row r="408" ht="14.25" customHeight="1">
      <c r="B408" s="385" t="n"/>
    </row>
    <row r="409" ht="14.25" customHeight="1">
      <c r="B409" s="385" t="n"/>
    </row>
    <row r="410" ht="14.25" customHeight="1">
      <c r="B410" s="385" t="n"/>
    </row>
    <row r="411" ht="14.25" customHeight="1">
      <c r="B411" s="385" t="n"/>
    </row>
    <row r="412" ht="14.25" customHeight="1">
      <c r="B412" s="385" t="n"/>
    </row>
    <row r="413" ht="14.25" customHeight="1">
      <c r="B413" s="385" t="n"/>
    </row>
    <row r="414" ht="14.25" customHeight="1">
      <c r="B414" s="385" t="n"/>
    </row>
    <row r="415" ht="14.25" customHeight="1">
      <c r="B415" s="385" t="n"/>
    </row>
    <row r="416" ht="14.25" customHeight="1">
      <c r="B416" s="385" t="n"/>
    </row>
    <row r="417" ht="14.25" customHeight="1">
      <c r="B417" s="385" t="n"/>
    </row>
    <row r="418" ht="14.25" customHeight="1">
      <c r="B418" s="385" t="n"/>
    </row>
    <row r="419" ht="14.25" customHeight="1">
      <c r="B419" s="385" t="n"/>
    </row>
    <row r="420" ht="14.25" customHeight="1">
      <c r="B420" s="385" t="n"/>
    </row>
    <row r="421" ht="14.25" customHeight="1">
      <c r="B421" s="385" t="n"/>
    </row>
    <row r="422" ht="14.25" customHeight="1">
      <c r="B422" s="385" t="n"/>
    </row>
    <row r="423" ht="14.25" customHeight="1">
      <c r="B423" s="385" t="n"/>
    </row>
    <row r="424" ht="14.25" customHeight="1">
      <c r="B424" s="385" t="n"/>
    </row>
    <row r="425" ht="14.25" customHeight="1">
      <c r="B425" s="385" t="n"/>
    </row>
    <row r="426" ht="14.25" customHeight="1">
      <c r="B426" s="385" t="n"/>
    </row>
    <row r="427" ht="14.25" customHeight="1">
      <c r="B427" s="385" t="n"/>
    </row>
    <row r="428" ht="14.25" customHeight="1">
      <c r="B428" s="385" t="n"/>
    </row>
    <row r="429" ht="14.25" customHeight="1">
      <c r="B429" s="385" t="n"/>
    </row>
    <row r="430" ht="14.25" customHeight="1">
      <c r="B430" s="385" t="n"/>
    </row>
    <row r="431" ht="14.25" customHeight="1">
      <c r="B431" s="385" t="n"/>
    </row>
    <row r="432" ht="14.25" customHeight="1">
      <c r="B432" s="385" t="n"/>
    </row>
    <row r="433" ht="14.25" customHeight="1">
      <c r="B433" s="385" t="n"/>
    </row>
    <row r="434" ht="14.25" customHeight="1">
      <c r="B434" s="385" t="n"/>
    </row>
    <row r="435" ht="14.25" customHeight="1">
      <c r="B435" s="385" t="n"/>
    </row>
    <row r="436" ht="14.25" customHeight="1">
      <c r="B436" s="385" t="n"/>
    </row>
    <row r="437" ht="14.25" customHeight="1">
      <c r="B437" s="385" t="n"/>
    </row>
    <row r="438" ht="14.25" customHeight="1">
      <c r="B438" s="385" t="n"/>
    </row>
    <row r="439" ht="14.25" customHeight="1">
      <c r="B439" s="385" t="n"/>
    </row>
    <row r="440" ht="14.25" customHeight="1">
      <c r="B440" s="385" t="n"/>
    </row>
    <row r="441" ht="14.25" customHeight="1">
      <c r="B441" s="385" t="n"/>
    </row>
    <row r="442" ht="14.25" customHeight="1">
      <c r="B442" s="385" t="n"/>
    </row>
    <row r="443" ht="14.25" customHeight="1">
      <c r="B443" s="385" t="n"/>
    </row>
    <row r="444" ht="14.25" customHeight="1">
      <c r="B444" s="385" t="n"/>
    </row>
    <row r="445" ht="14.25" customHeight="1">
      <c r="B445" s="385" t="n"/>
    </row>
    <row r="446" ht="14.25" customHeight="1">
      <c r="B446" s="385" t="n"/>
    </row>
    <row r="447" ht="14.25" customHeight="1">
      <c r="B447" s="385" t="n"/>
    </row>
    <row r="448" ht="14.25" customHeight="1">
      <c r="B448" s="385" t="n"/>
    </row>
    <row r="449" ht="14.25" customHeight="1">
      <c r="B449" s="385" t="n"/>
    </row>
    <row r="450" ht="14.25" customHeight="1">
      <c r="B450" s="385" t="n"/>
    </row>
    <row r="451" ht="14.25" customHeight="1">
      <c r="B451" s="385" t="n"/>
    </row>
    <row r="452" ht="14.25" customHeight="1">
      <c r="B452" s="385" t="n"/>
    </row>
    <row r="453" ht="14.25" customHeight="1">
      <c r="B453" s="385" t="n"/>
    </row>
    <row r="454" ht="14.25" customHeight="1">
      <c r="B454" s="385" t="n"/>
    </row>
    <row r="455" ht="14.25" customHeight="1">
      <c r="B455" s="385" t="n"/>
    </row>
    <row r="456" ht="14.25" customHeight="1">
      <c r="B456" s="385" t="n"/>
    </row>
    <row r="457" ht="14.25" customHeight="1">
      <c r="B457" s="385" t="n"/>
    </row>
    <row r="458" ht="14.25" customHeight="1">
      <c r="B458" s="385" t="n"/>
    </row>
    <row r="459" ht="14.25" customHeight="1">
      <c r="B459" s="385" t="n"/>
    </row>
    <row r="460" ht="14.25" customHeight="1">
      <c r="B460" s="385" t="n"/>
    </row>
    <row r="461" ht="14.25" customHeight="1">
      <c r="B461" s="385" t="n"/>
    </row>
    <row r="462" ht="14.25" customHeight="1">
      <c r="B462" s="385" t="n"/>
    </row>
    <row r="463" ht="14.25" customHeight="1">
      <c r="B463" s="385" t="n"/>
    </row>
    <row r="464" ht="14.25" customHeight="1">
      <c r="B464" s="385" t="n"/>
    </row>
    <row r="465" ht="14.25" customHeight="1">
      <c r="B465" s="385" t="n"/>
    </row>
    <row r="466" ht="14.25" customHeight="1">
      <c r="B466" s="385" t="n"/>
    </row>
    <row r="467" ht="14.25" customHeight="1">
      <c r="B467" s="385" t="n"/>
    </row>
    <row r="468" ht="14.25" customHeight="1">
      <c r="B468" s="385" t="n"/>
    </row>
    <row r="469" ht="14.25" customHeight="1">
      <c r="B469" s="385" t="n"/>
    </row>
    <row r="470" ht="14.25" customHeight="1">
      <c r="B470" s="385" t="n"/>
    </row>
    <row r="471" ht="14.25" customHeight="1">
      <c r="B471" s="385" t="n"/>
    </row>
    <row r="472" ht="14.25" customHeight="1">
      <c r="B472" s="385" t="n"/>
    </row>
    <row r="473" ht="14.25" customHeight="1">
      <c r="B473" s="385" t="n"/>
    </row>
    <row r="474" ht="14.25" customHeight="1">
      <c r="B474" s="385" t="n"/>
    </row>
    <row r="475" ht="14.25" customHeight="1">
      <c r="B475" s="385" t="n"/>
    </row>
    <row r="476" ht="14.25" customHeight="1">
      <c r="B476" s="385" t="n"/>
    </row>
    <row r="477" ht="14.25" customHeight="1">
      <c r="B477" s="385" t="n"/>
    </row>
    <row r="478" ht="14.25" customHeight="1">
      <c r="B478" s="385" t="n"/>
    </row>
    <row r="479" ht="14.25" customHeight="1">
      <c r="B479" s="385" t="n"/>
    </row>
    <row r="480" ht="14.25" customHeight="1">
      <c r="B480" s="385" t="n"/>
    </row>
    <row r="481" ht="14.25" customHeight="1">
      <c r="B481" s="385" t="n"/>
    </row>
    <row r="482" ht="14.25" customHeight="1">
      <c r="B482" s="385" t="n"/>
    </row>
    <row r="483" ht="14.25" customHeight="1">
      <c r="B483" s="385" t="n"/>
    </row>
    <row r="484" ht="14.25" customHeight="1">
      <c r="B484" s="385" t="n"/>
    </row>
    <row r="485" ht="14.25" customHeight="1">
      <c r="B485" s="385" t="n"/>
    </row>
    <row r="486" ht="14.25" customHeight="1">
      <c r="B486" s="385" t="n"/>
    </row>
    <row r="487" ht="14.25" customHeight="1">
      <c r="B487" s="385" t="n"/>
    </row>
    <row r="488" ht="14.25" customHeight="1">
      <c r="B488" s="385" t="n"/>
    </row>
    <row r="489" ht="14.25" customHeight="1">
      <c r="B489" s="385" t="n"/>
    </row>
    <row r="490" ht="14.25" customHeight="1">
      <c r="B490" s="385" t="n"/>
    </row>
    <row r="491" ht="14.25" customHeight="1">
      <c r="B491" s="385" t="n"/>
    </row>
    <row r="492" ht="14.25" customHeight="1">
      <c r="B492" s="385" t="n"/>
    </row>
    <row r="493" ht="14.25" customHeight="1">
      <c r="B493" s="385" t="n"/>
    </row>
    <row r="494" ht="14.25" customHeight="1">
      <c r="B494" s="385" t="n"/>
    </row>
    <row r="495" ht="14.25" customHeight="1">
      <c r="B495" s="385" t="n"/>
    </row>
    <row r="496" ht="14.25" customHeight="1">
      <c r="B496" s="385" t="n"/>
    </row>
    <row r="497" ht="14.25" customHeight="1">
      <c r="B497" s="385" t="n"/>
    </row>
    <row r="498" ht="14.25" customHeight="1">
      <c r="B498" s="385" t="n"/>
    </row>
    <row r="499" ht="14.25" customHeight="1">
      <c r="B499" s="385" t="n"/>
    </row>
    <row r="500" ht="14.25" customHeight="1">
      <c r="B500" s="385" t="n"/>
    </row>
    <row r="501" ht="14.25" customHeight="1">
      <c r="B501" s="385" t="n"/>
    </row>
    <row r="502" ht="14.25" customHeight="1">
      <c r="B502" s="385" t="n"/>
    </row>
    <row r="503" ht="14.25" customHeight="1">
      <c r="B503" s="385" t="n"/>
    </row>
    <row r="504" ht="14.25" customHeight="1">
      <c r="B504" s="385" t="n"/>
    </row>
    <row r="505" ht="14.25" customHeight="1">
      <c r="B505" s="385" t="n"/>
    </row>
    <row r="506" ht="14.25" customHeight="1">
      <c r="B506" s="385" t="n"/>
    </row>
    <row r="507" ht="14.25" customHeight="1">
      <c r="B507" s="385" t="n"/>
    </row>
    <row r="508" ht="14.25" customHeight="1">
      <c r="B508" s="385" t="n"/>
    </row>
    <row r="509" ht="14.25" customHeight="1">
      <c r="B509" s="385" t="n"/>
    </row>
    <row r="510" ht="14.25" customHeight="1">
      <c r="B510" s="385" t="n"/>
    </row>
    <row r="511" ht="14.25" customHeight="1">
      <c r="B511" s="385" t="n"/>
    </row>
    <row r="512" ht="14.25" customHeight="1">
      <c r="B512" s="385" t="n"/>
    </row>
    <row r="513" ht="14.25" customHeight="1">
      <c r="B513" s="385" t="n"/>
    </row>
    <row r="514" ht="14.25" customHeight="1">
      <c r="B514" s="385" t="n"/>
    </row>
    <row r="515" ht="14.25" customHeight="1">
      <c r="B515" s="385" t="n"/>
    </row>
    <row r="516" ht="14.25" customHeight="1">
      <c r="B516" s="385" t="n"/>
    </row>
    <row r="517" ht="14.25" customHeight="1">
      <c r="B517" s="385" t="n"/>
    </row>
    <row r="518" ht="14.25" customHeight="1">
      <c r="B518" s="385" t="n"/>
    </row>
    <row r="519" ht="14.25" customHeight="1">
      <c r="B519" s="385" t="n"/>
    </row>
    <row r="520" ht="14.25" customHeight="1">
      <c r="B520" s="385" t="n"/>
    </row>
    <row r="521" ht="14.25" customHeight="1">
      <c r="B521" s="385" t="n"/>
    </row>
    <row r="522" ht="14.25" customHeight="1">
      <c r="B522" s="385" t="n"/>
    </row>
    <row r="523" ht="14.25" customHeight="1">
      <c r="B523" s="385" t="n"/>
    </row>
    <row r="524" ht="14.25" customHeight="1">
      <c r="B524" s="385" t="n"/>
    </row>
    <row r="525" ht="14.25" customHeight="1">
      <c r="B525" s="385" t="n"/>
    </row>
    <row r="526" ht="14.25" customHeight="1">
      <c r="B526" s="385" t="n"/>
    </row>
    <row r="527" ht="14.25" customHeight="1">
      <c r="B527" s="385" t="n"/>
    </row>
    <row r="528" ht="14.25" customHeight="1">
      <c r="B528" s="385" t="n"/>
    </row>
    <row r="529" ht="14.25" customHeight="1">
      <c r="B529" s="385" t="n"/>
    </row>
    <row r="530" ht="14.25" customHeight="1">
      <c r="B530" s="385" t="n"/>
    </row>
    <row r="531" ht="14.25" customHeight="1">
      <c r="B531" s="385" t="n"/>
    </row>
    <row r="532" ht="14.25" customHeight="1">
      <c r="B532" s="385" t="n"/>
    </row>
    <row r="533" ht="14.25" customHeight="1">
      <c r="B533" s="385" t="n"/>
    </row>
    <row r="534" ht="14.25" customHeight="1">
      <c r="B534" s="385" t="n"/>
    </row>
    <row r="535" ht="14.25" customHeight="1">
      <c r="B535" s="385" t="n"/>
    </row>
    <row r="536" ht="14.25" customHeight="1">
      <c r="B536" s="385" t="n"/>
    </row>
    <row r="537" ht="14.25" customHeight="1">
      <c r="B537" s="385" t="n"/>
    </row>
    <row r="538" ht="14.25" customHeight="1">
      <c r="B538" s="385" t="n"/>
    </row>
    <row r="539" ht="14.25" customHeight="1">
      <c r="B539" s="385" t="n"/>
    </row>
    <row r="540" ht="14.25" customHeight="1">
      <c r="B540" s="385" t="n"/>
    </row>
    <row r="541" ht="14.25" customHeight="1">
      <c r="B541" s="385" t="n"/>
    </row>
    <row r="542" ht="14.25" customHeight="1">
      <c r="B542" s="385" t="n"/>
    </row>
    <row r="543" ht="14.25" customHeight="1">
      <c r="B543" s="385" t="n"/>
    </row>
    <row r="544" ht="14.25" customHeight="1">
      <c r="B544" s="385" t="n"/>
    </row>
    <row r="545" ht="14.25" customHeight="1">
      <c r="B545" s="385" t="n"/>
    </row>
    <row r="546" ht="14.25" customHeight="1">
      <c r="B546" s="385" t="n"/>
    </row>
    <row r="547" ht="14.25" customHeight="1">
      <c r="B547" s="385" t="n"/>
    </row>
    <row r="548" ht="14.25" customHeight="1">
      <c r="B548" s="385" t="n"/>
    </row>
    <row r="549" ht="14.25" customHeight="1">
      <c r="B549" s="385" t="n"/>
    </row>
    <row r="550" ht="14.25" customHeight="1">
      <c r="B550" s="385" t="n"/>
    </row>
    <row r="551" ht="14.25" customHeight="1">
      <c r="B551" s="385" t="n"/>
    </row>
    <row r="552" ht="14.25" customHeight="1">
      <c r="B552" s="385" t="n"/>
    </row>
    <row r="553" ht="14.25" customHeight="1">
      <c r="B553" s="385" t="n"/>
    </row>
    <row r="554" ht="14.25" customHeight="1">
      <c r="B554" s="385" t="n"/>
    </row>
    <row r="555" ht="14.25" customHeight="1">
      <c r="B555" s="385" t="n"/>
    </row>
    <row r="556" ht="14.25" customHeight="1">
      <c r="B556" s="385" t="n"/>
    </row>
    <row r="557" ht="14.25" customHeight="1">
      <c r="B557" s="385" t="n"/>
    </row>
    <row r="558" ht="14.25" customHeight="1">
      <c r="B558" s="385" t="n"/>
    </row>
    <row r="559" ht="14.25" customHeight="1">
      <c r="B559" s="385" t="n"/>
    </row>
    <row r="560" ht="14.25" customHeight="1">
      <c r="B560" s="385" t="n"/>
    </row>
    <row r="561" ht="14.25" customHeight="1">
      <c r="B561" s="385" t="n"/>
    </row>
    <row r="562" ht="14.25" customHeight="1">
      <c r="B562" s="385" t="n"/>
    </row>
    <row r="563" ht="14.25" customHeight="1">
      <c r="B563" s="385" t="n"/>
    </row>
    <row r="564" ht="14.25" customHeight="1">
      <c r="B564" s="385" t="n"/>
    </row>
    <row r="565" ht="14.25" customHeight="1">
      <c r="B565" s="385" t="n"/>
    </row>
    <row r="566" ht="14.25" customHeight="1">
      <c r="B566" s="385" t="n"/>
    </row>
    <row r="567" ht="14.25" customHeight="1">
      <c r="B567" s="385" t="n"/>
    </row>
    <row r="568" ht="14.25" customHeight="1">
      <c r="B568" s="385" t="n"/>
    </row>
    <row r="569" ht="14.25" customHeight="1">
      <c r="B569" s="385" t="n"/>
    </row>
    <row r="570" ht="14.25" customHeight="1">
      <c r="B570" s="385" t="n"/>
    </row>
    <row r="571" ht="14.25" customHeight="1">
      <c r="B571" s="385" t="n"/>
    </row>
    <row r="572" ht="14.25" customHeight="1">
      <c r="B572" s="385" t="n"/>
    </row>
    <row r="573" ht="14.25" customHeight="1">
      <c r="B573" s="385" t="n"/>
    </row>
    <row r="574" ht="14.25" customHeight="1">
      <c r="B574" s="385" t="n"/>
    </row>
    <row r="575" ht="14.25" customHeight="1">
      <c r="B575" s="385" t="n"/>
    </row>
    <row r="576" ht="14.25" customHeight="1">
      <c r="B576" s="385" t="n"/>
    </row>
    <row r="577" ht="14.25" customHeight="1">
      <c r="B577" s="385" t="n"/>
    </row>
    <row r="578" ht="14.25" customHeight="1">
      <c r="B578" s="385" t="n"/>
    </row>
    <row r="579" ht="14.25" customHeight="1">
      <c r="B579" s="385" t="n"/>
    </row>
    <row r="580" ht="14.25" customHeight="1">
      <c r="B580" s="385" t="n"/>
    </row>
    <row r="581" ht="14.25" customHeight="1">
      <c r="B581" s="385" t="n"/>
    </row>
    <row r="582" ht="14.25" customHeight="1">
      <c r="B582" s="385" t="n"/>
    </row>
    <row r="583" ht="14.25" customHeight="1">
      <c r="B583" s="385" t="n"/>
    </row>
    <row r="584" ht="14.25" customHeight="1">
      <c r="B584" s="385" t="n"/>
    </row>
    <row r="585" ht="14.25" customHeight="1">
      <c r="B585" s="385" t="n"/>
    </row>
    <row r="586" ht="14.25" customHeight="1">
      <c r="B586" s="385" t="n"/>
    </row>
    <row r="587" ht="14.25" customHeight="1">
      <c r="B587" s="385" t="n"/>
    </row>
    <row r="588" ht="14.25" customHeight="1">
      <c r="B588" s="385" t="n"/>
    </row>
    <row r="589" ht="14.25" customHeight="1">
      <c r="B589" s="385" t="n"/>
    </row>
    <row r="590" ht="14.25" customHeight="1">
      <c r="B590" s="385" t="n"/>
    </row>
    <row r="591" ht="14.25" customHeight="1">
      <c r="B591" s="385" t="n"/>
    </row>
    <row r="592" ht="14.25" customHeight="1">
      <c r="B592" s="385" t="n"/>
    </row>
    <row r="593" ht="14.25" customHeight="1">
      <c r="B593" s="385" t="n"/>
    </row>
    <row r="594" ht="14.25" customHeight="1">
      <c r="B594" s="385" t="n"/>
    </row>
    <row r="595" ht="14.25" customHeight="1">
      <c r="B595" s="385" t="n"/>
    </row>
    <row r="596" ht="14.25" customHeight="1">
      <c r="B596" s="385" t="n"/>
    </row>
    <row r="597" ht="14.25" customHeight="1">
      <c r="B597" s="385" t="n"/>
    </row>
    <row r="598" ht="14.25" customHeight="1">
      <c r="B598" s="385" t="n"/>
    </row>
    <row r="599" ht="14.25" customHeight="1">
      <c r="B599" s="385" t="n"/>
    </row>
    <row r="600" ht="14.25" customHeight="1">
      <c r="B600" s="385" t="n"/>
    </row>
    <row r="601" ht="14.25" customHeight="1">
      <c r="B601" s="385" t="n"/>
    </row>
    <row r="602" ht="14.25" customHeight="1">
      <c r="B602" s="385" t="n"/>
    </row>
    <row r="603" ht="14.25" customHeight="1">
      <c r="B603" s="385" t="n"/>
    </row>
    <row r="604" ht="14.25" customHeight="1">
      <c r="B604" s="385" t="n"/>
    </row>
    <row r="605" ht="14.25" customHeight="1">
      <c r="B605" s="385" t="n"/>
    </row>
    <row r="606" ht="14.25" customHeight="1">
      <c r="B606" s="385" t="n"/>
    </row>
    <row r="607" ht="14.25" customHeight="1">
      <c r="B607" s="385" t="n"/>
    </row>
    <row r="608" ht="14.25" customHeight="1">
      <c r="B608" s="385" t="n"/>
    </row>
    <row r="609" ht="14.25" customHeight="1">
      <c r="B609" s="385" t="n"/>
    </row>
    <row r="610" ht="14.25" customHeight="1">
      <c r="B610" s="385" t="n"/>
    </row>
    <row r="611" ht="14.25" customHeight="1">
      <c r="B611" s="385" t="n"/>
    </row>
    <row r="612" ht="14.25" customHeight="1">
      <c r="B612" s="385" t="n"/>
    </row>
    <row r="613" ht="14.25" customHeight="1">
      <c r="B613" s="385" t="n"/>
    </row>
    <row r="614" ht="14.25" customHeight="1">
      <c r="B614" s="385" t="n"/>
    </row>
    <row r="615" ht="14.25" customHeight="1">
      <c r="B615" s="385" t="n"/>
    </row>
    <row r="616" ht="14.25" customHeight="1">
      <c r="B616" s="385" t="n"/>
    </row>
    <row r="617" ht="14.25" customHeight="1">
      <c r="B617" s="385" t="n"/>
    </row>
    <row r="618" ht="14.25" customHeight="1">
      <c r="B618" s="385" t="n"/>
    </row>
    <row r="619" ht="14.25" customHeight="1">
      <c r="B619" s="385" t="n"/>
    </row>
    <row r="620" ht="14.25" customHeight="1">
      <c r="B620" s="385" t="n"/>
    </row>
    <row r="621" ht="14.25" customHeight="1">
      <c r="B621" s="385" t="n"/>
    </row>
    <row r="622" ht="14.25" customHeight="1">
      <c r="B622" s="385" t="n"/>
    </row>
    <row r="623" ht="14.25" customHeight="1">
      <c r="B623" s="385" t="n"/>
    </row>
    <row r="624" ht="14.25" customHeight="1">
      <c r="B624" s="385" t="n"/>
    </row>
    <row r="625" ht="14.25" customHeight="1">
      <c r="B625" s="385" t="n"/>
    </row>
    <row r="626" ht="14.25" customHeight="1">
      <c r="B626" s="385" t="n"/>
    </row>
    <row r="627" ht="14.25" customHeight="1">
      <c r="B627" s="385" t="n"/>
    </row>
    <row r="628" ht="14.25" customHeight="1">
      <c r="B628" s="385" t="n"/>
    </row>
    <row r="629" ht="14.25" customHeight="1">
      <c r="B629" s="385" t="n"/>
    </row>
    <row r="630" ht="14.25" customHeight="1">
      <c r="B630" s="385" t="n"/>
    </row>
    <row r="631" ht="14.25" customHeight="1">
      <c r="B631" s="385" t="n"/>
    </row>
    <row r="632" ht="14.25" customHeight="1">
      <c r="B632" s="385" t="n"/>
    </row>
    <row r="633" ht="14.25" customHeight="1">
      <c r="B633" s="385" t="n"/>
    </row>
    <row r="634" ht="14.25" customHeight="1">
      <c r="B634" s="385" t="n"/>
    </row>
    <row r="635" ht="14.25" customHeight="1">
      <c r="B635" s="385" t="n"/>
    </row>
    <row r="636" ht="14.25" customHeight="1">
      <c r="B636" s="385" t="n"/>
    </row>
    <row r="637" ht="14.25" customHeight="1">
      <c r="B637" s="385" t="n"/>
    </row>
    <row r="638" ht="14.25" customHeight="1">
      <c r="B638" s="385" t="n"/>
    </row>
    <row r="639" ht="14.25" customHeight="1">
      <c r="B639" s="385" t="n"/>
    </row>
    <row r="640" ht="14.25" customHeight="1">
      <c r="B640" s="385" t="n"/>
    </row>
    <row r="641" ht="14.25" customHeight="1">
      <c r="B641" s="385" t="n"/>
    </row>
    <row r="642" ht="14.25" customHeight="1">
      <c r="B642" s="385" t="n"/>
    </row>
    <row r="643" ht="14.25" customHeight="1">
      <c r="B643" s="385" t="n"/>
    </row>
    <row r="644" ht="14.25" customHeight="1">
      <c r="B644" s="385" t="n"/>
    </row>
    <row r="645" ht="14.25" customHeight="1">
      <c r="B645" s="385" t="n"/>
    </row>
    <row r="646" ht="14.25" customHeight="1">
      <c r="B646" s="385" t="n"/>
    </row>
    <row r="647" ht="14.25" customHeight="1">
      <c r="B647" s="385" t="n"/>
    </row>
    <row r="648" ht="14.25" customHeight="1">
      <c r="B648" s="385" t="n"/>
    </row>
    <row r="649" ht="14.25" customHeight="1">
      <c r="B649" s="385" t="n"/>
    </row>
    <row r="650" ht="14.25" customHeight="1">
      <c r="B650" s="385" t="n"/>
    </row>
    <row r="651" ht="14.25" customHeight="1">
      <c r="B651" s="385" t="n"/>
    </row>
    <row r="652" ht="14.25" customHeight="1">
      <c r="B652" s="385" t="n"/>
    </row>
    <row r="653" ht="14.25" customHeight="1">
      <c r="B653" s="385" t="n"/>
    </row>
    <row r="654" ht="14.25" customHeight="1">
      <c r="B654" s="385" t="n"/>
    </row>
    <row r="655" ht="14.25" customHeight="1">
      <c r="B655" s="385" t="n"/>
    </row>
    <row r="656" ht="14.25" customHeight="1">
      <c r="B656" s="385" t="n"/>
    </row>
    <row r="657" ht="14.25" customHeight="1">
      <c r="B657" s="385" t="n"/>
    </row>
    <row r="658" ht="14.25" customHeight="1">
      <c r="B658" s="385" t="n"/>
    </row>
    <row r="659" ht="14.25" customHeight="1">
      <c r="B659" s="385" t="n"/>
    </row>
    <row r="660" ht="14.25" customHeight="1">
      <c r="B660" s="385" t="n"/>
    </row>
    <row r="661" ht="14.25" customHeight="1">
      <c r="B661" s="385" t="n"/>
    </row>
    <row r="662" ht="14.25" customHeight="1">
      <c r="B662" s="385" t="n"/>
    </row>
    <row r="663" ht="14.25" customHeight="1">
      <c r="B663" s="385" t="n"/>
    </row>
    <row r="664" ht="14.25" customHeight="1">
      <c r="B664" s="385" t="n"/>
    </row>
    <row r="665" ht="14.25" customHeight="1">
      <c r="B665" s="385" t="n"/>
    </row>
    <row r="666" ht="14.25" customHeight="1">
      <c r="B666" s="385" t="n"/>
    </row>
    <row r="667" ht="14.25" customHeight="1">
      <c r="B667" s="385" t="n"/>
    </row>
    <row r="668" ht="14.25" customHeight="1">
      <c r="B668" s="385" t="n"/>
    </row>
    <row r="669" ht="14.25" customHeight="1">
      <c r="B669" s="385" t="n"/>
    </row>
    <row r="670" ht="14.25" customHeight="1">
      <c r="B670" s="385" t="n"/>
    </row>
    <row r="671" ht="14.25" customHeight="1">
      <c r="B671" s="385" t="n"/>
    </row>
    <row r="672" ht="14.25" customHeight="1">
      <c r="B672" s="385" t="n"/>
    </row>
    <row r="673" ht="14.25" customHeight="1">
      <c r="B673" s="385" t="n"/>
    </row>
    <row r="674" ht="14.25" customHeight="1">
      <c r="B674" s="385" t="n"/>
    </row>
    <row r="675" ht="14.25" customHeight="1">
      <c r="B675" s="385" t="n"/>
    </row>
    <row r="676" ht="14.25" customHeight="1">
      <c r="B676" s="385" t="n"/>
    </row>
    <row r="677" ht="14.25" customHeight="1">
      <c r="B677" s="385" t="n"/>
    </row>
    <row r="678" ht="14.25" customHeight="1">
      <c r="B678" s="385" t="n"/>
    </row>
    <row r="679" ht="14.25" customHeight="1">
      <c r="B679" s="385" t="n"/>
    </row>
    <row r="680" ht="14.25" customHeight="1">
      <c r="B680" s="385" t="n"/>
    </row>
    <row r="681" ht="14.25" customHeight="1">
      <c r="B681" s="385" t="n"/>
    </row>
    <row r="682" ht="14.25" customHeight="1">
      <c r="B682" s="385" t="n"/>
    </row>
    <row r="683" ht="14.25" customHeight="1">
      <c r="B683" s="385" t="n"/>
    </row>
    <row r="684" ht="14.25" customHeight="1">
      <c r="B684" s="385" t="n"/>
    </row>
    <row r="685" ht="14.25" customHeight="1">
      <c r="B685" s="385" t="n"/>
    </row>
    <row r="686" ht="14.25" customHeight="1">
      <c r="B686" s="385" t="n"/>
    </row>
    <row r="687" ht="14.25" customHeight="1">
      <c r="B687" s="385" t="n"/>
    </row>
    <row r="688" ht="14.25" customHeight="1">
      <c r="B688" s="385" t="n"/>
    </row>
    <row r="689" ht="14.25" customHeight="1">
      <c r="B689" s="385" t="n"/>
    </row>
    <row r="690" ht="14.25" customHeight="1">
      <c r="B690" s="385" t="n"/>
    </row>
    <row r="691" ht="14.25" customHeight="1">
      <c r="B691" s="385" t="n"/>
    </row>
    <row r="692" ht="14.25" customHeight="1">
      <c r="B692" s="385" t="n"/>
    </row>
    <row r="693" ht="14.25" customHeight="1">
      <c r="B693" s="385" t="n"/>
    </row>
    <row r="694" ht="14.25" customHeight="1">
      <c r="B694" s="385" t="n"/>
    </row>
    <row r="695" ht="14.25" customHeight="1">
      <c r="B695" s="385" t="n"/>
    </row>
    <row r="696" ht="14.25" customHeight="1">
      <c r="B696" s="385" t="n"/>
    </row>
    <row r="697" ht="14.25" customHeight="1">
      <c r="B697" s="385" t="n"/>
    </row>
    <row r="698" ht="14.25" customHeight="1">
      <c r="B698" s="385" t="n"/>
    </row>
    <row r="699" ht="14.25" customHeight="1">
      <c r="B699" s="385" t="n"/>
    </row>
    <row r="700" ht="14.25" customHeight="1">
      <c r="B700" s="385" t="n"/>
    </row>
    <row r="701" ht="14.25" customHeight="1">
      <c r="B701" s="385" t="n"/>
    </row>
    <row r="702" ht="14.25" customHeight="1">
      <c r="B702" s="385" t="n"/>
    </row>
    <row r="703" ht="14.25" customHeight="1">
      <c r="B703" s="385" t="n"/>
    </row>
    <row r="704" ht="14.25" customHeight="1">
      <c r="B704" s="385" t="n"/>
    </row>
    <row r="705" ht="14.25" customHeight="1">
      <c r="B705" s="385" t="n"/>
    </row>
    <row r="706" ht="14.25" customHeight="1">
      <c r="B706" s="385" t="n"/>
    </row>
    <row r="707" ht="14.25" customHeight="1">
      <c r="B707" s="385" t="n"/>
    </row>
    <row r="708" ht="14.25" customHeight="1">
      <c r="B708" s="385" t="n"/>
    </row>
    <row r="709" ht="14.25" customHeight="1">
      <c r="B709" s="385" t="n"/>
    </row>
    <row r="710" ht="14.25" customHeight="1">
      <c r="B710" s="385" t="n"/>
    </row>
    <row r="711" ht="14.25" customHeight="1">
      <c r="B711" s="385" t="n"/>
    </row>
    <row r="712" ht="14.25" customHeight="1">
      <c r="B712" s="385" t="n"/>
    </row>
    <row r="713" ht="14.25" customHeight="1">
      <c r="B713" s="385" t="n"/>
    </row>
    <row r="714" ht="14.25" customHeight="1">
      <c r="B714" s="385" t="n"/>
    </row>
    <row r="715" ht="14.25" customHeight="1">
      <c r="B715" s="385" t="n"/>
    </row>
    <row r="716" ht="14.25" customHeight="1">
      <c r="B716" s="385" t="n"/>
    </row>
    <row r="717" ht="14.25" customHeight="1">
      <c r="B717" s="385" t="n"/>
    </row>
    <row r="718" ht="14.25" customHeight="1">
      <c r="B718" s="385" t="n"/>
    </row>
    <row r="719" ht="14.25" customHeight="1">
      <c r="B719" s="385" t="n"/>
    </row>
    <row r="720" ht="14.25" customHeight="1">
      <c r="B720" s="385" t="n"/>
    </row>
    <row r="721" ht="14.25" customHeight="1">
      <c r="B721" s="385" t="n"/>
    </row>
    <row r="722" ht="14.25" customHeight="1">
      <c r="B722" s="385" t="n"/>
    </row>
    <row r="723" ht="14.25" customHeight="1">
      <c r="B723" s="385" t="n"/>
    </row>
    <row r="724" ht="14.25" customHeight="1">
      <c r="B724" s="385" t="n"/>
    </row>
    <row r="725" ht="14.25" customHeight="1">
      <c r="B725" s="385" t="n"/>
    </row>
    <row r="726" ht="14.25" customHeight="1">
      <c r="B726" s="385" t="n"/>
    </row>
    <row r="727" ht="14.25" customHeight="1">
      <c r="B727" s="385" t="n"/>
    </row>
    <row r="728" ht="14.25" customHeight="1">
      <c r="B728" s="385" t="n"/>
    </row>
    <row r="729" ht="14.25" customHeight="1">
      <c r="B729" s="385" t="n"/>
    </row>
    <row r="730" ht="14.25" customHeight="1">
      <c r="B730" s="385" t="n"/>
    </row>
    <row r="731" ht="14.25" customHeight="1">
      <c r="B731" s="385" t="n"/>
    </row>
    <row r="732" ht="14.25" customHeight="1">
      <c r="B732" s="385" t="n"/>
    </row>
    <row r="733" ht="14.25" customHeight="1">
      <c r="B733" s="385" t="n"/>
    </row>
    <row r="734" ht="14.25" customHeight="1">
      <c r="B734" s="385" t="n"/>
    </row>
    <row r="735" ht="14.25" customHeight="1">
      <c r="B735" s="385" t="n"/>
    </row>
    <row r="736" ht="14.25" customHeight="1">
      <c r="B736" s="385" t="n"/>
    </row>
    <row r="737" ht="14.25" customHeight="1">
      <c r="B737" s="385" t="n"/>
    </row>
    <row r="738" ht="14.25" customHeight="1">
      <c r="B738" s="385" t="n"/>
    </row>
    <row r="739" ht="14.25" customHeight="1">
      <c r="B739" s="385" t="n"/>
    </row>
    <row r="740" ht="14.25" customHeight="1">
      <c r="B740" s="385" t="n"/>
    </row>
    <row r="741" ht="14.25" customHeight="1">
      <c r="B741" s="385" t="n"/>
    </row>
    <row r="742" ht="14.25" customHeight="1">
      <c r="B742" s="385" t="n"/>
    </row>
    <row r="743" ht="14.25" customHeight="1">
      <c r="B743" s="385" t="n"/>
    </row>
    <row r="744" ht="14.25" customHeight="1">
      <c r="B744" s="385" t="n"/>
    </row>
    <row r="745" ht="14.25" customHeight="1">
      <c r="B745" s="385" t="n"/>
    </row>
    <row r="746" ht="14.25" customHeight="1">
      <c r="B746" s="385" t="n"/>
    </row>
    <row r="747" ht="14.25" customHeight="1">
      <c r="B747" s="385" t="n"/>
    </row>
    <row r="748" ht="14.25" customHeight="1">
      <c r="B748" s="385" t="n"/>
    </row>
    <row r="749" ht="14.25" customHeight="1">
      <c r="B749" s="385" t="n"/>
    </row>
    <row r="750" ht="14.25" customHeight="1">
      <c r="B750" s="385" t="n"/>
    </row>
    <row r="751" ht="14.25" customHeight="1">
      <c r="B751" s="385" t="n"/>
    </row>
    <row r="752" ht="14.25" customHeight="1">
      <c r="B752" s="385" t="n"/>
    </row>
    <row r="753" ht="14.25" customHeight="1">
      <c r="B753" s="385" t="n"/>
    </row>
    <row r="754" ht="14.25" customHeight="1">
      <c r="B754" s="385" t="n"/>
    </row>
    <row r="755" ht="14.25" customHeight="1">
      <c r="B755" s="385" t="n"/>
    </row>
    <row r="756" ht="14.25" customHeight="1">
      <c r="B756" s="385" t="n"/>
    </row>
    <row r="757" ht="14.25" customHeight="1">
      <c r="B757" s="385" t="n"/>
    </row>
    <row r="758" ht="14.25" customHeight="1">
      <c r="B758" s="385" t="n"/>
    </row>
    <row r="759" ht="14.25" customHeight="1">
      <c r="B759" s="385" t="n"/>
    </row>
    <row r="760" ht="14.25" customHeight="1">
      <c r="B760" s="385" t="n"/>
    </row>
    <row r="761" ht="14.25" customHeight="1">
      <c r="B761" s="385" t="n"/>
    </row>
    <row r="762" ht="14.25" customHeight="1">
      <c r="B762" s="385" t="n"/>
    </row>
    <row r="763" ht="14.25" customHeight="1">
      <c r="B763" s="385" t="n"/>
    </row>
    <row r="764" ht="14.25" customHeight="1">
      <c r="B764" s="385" t="n"/>
    </row>
    <row r="765" ht="14.25" customHeight="1">
      <c r="B765" s="385" t="n"/>
    </row>
    <row r="766" ht="14.25" customHeight="1">
      <c r="B766" s="385" t="n"/>
    </row>
    <row r="767" ht="14.25" customHeight="1">
      <c r="B767" s="385" t="n"/>
    </row>
    <row r="768" ht="14.25" customHeight="1">
      <c r="B768" s="385" t="n"/>
    </row>
    <row r="769" ht="14.25" customHeight="1">
      <c r="B769" s="385" t="n"/>
    </row>
    <row r="770" ht="14.25" customHeight="1">
      <c r="B770" s="385" t="n"/>
    </row>
    <row r="771" ht="14.25" customHeight="1">
      <c r="B771" s="385" t="n"/>
    </row>
    <row r="772" ht="14.25" customHeight="1">
      <c r="B772" s="385" t="n"/>
    </row>
    <row r="773" ht="14.25" customHeight="1">
      <c r="B773" s="385" t="n"/>
    </row>
    <row r="774" ht="14.25" customHeight="1">
      <c r="B774" s="385" t="n"/>
    </row>
    <row r="775" ht="14.25" customHeight="1">
      <c r="B775" s="385" t="n"/>
    </row>
    <row r="776" ht="14.25" customHeight="1">
      <c r="B776" s="385" t="n"/>
    </row>
    <row r="777" ht="14.25" customHeight="1">
      <c r="B777" s="385" t="n"/>
    </row>
    <row r="778" ht="14.25" customHeight="1">
      <c r="B778" s="385" t="n"/>
    </row>
    <row r="779" ht="14.25" customHeight="1">
      <c r="B779" s="385" t="n"/>
    </row>
    <row r="780" ht="14.25" customHeight="1">
      <c r="B780" s="385" t="n"/>
    </row>
    <row r="781" ht="14.25" customHeight="1">
      <c r="B781" s="385" t="n"/>
    </row>
    <row r="782" ht="14.25" customHeight="1">
      <c r="B782" s="385" t="n"/>
    </row>
    <row r="783" ht="14.25" customHeight="1">
      <c r="B783" s="385" t="n"/>
    </row>
    <row r="784" ht="14.25" customHeight="1">
      <c r="B784" s="385" t="n"/>
    </row>
    <row r="785" ht="14.25" customHeight="1">
      <c r="B785" s="385" t="n"/>
    </row>
    <row r="786" ht="14.25" customHeight="1">
      <c r="B786" s="385" t="n"/>
    </row>
    <row r="787" ht="14.25" customHeight="1">
      <c r="B787" s="385" t="n"/>
    </row>
    <row r="788" ht="14.25" customHeight="1">
      <c r="B788" s="385" t="n"/>
    </row>
    <row r="789" ht="14.25" customHeight="1">
      <c r="B789" s="385" t="n"/>
    </row>
    <row r="790" ht="14.25" customHeight="1">
      <c r="B790" s="385" t="n"/>
    </row>
    <row r="791" ht="14.25" customHeight="1">
      <c r="B791" s="385" t="n"/>
    </row>
    <row r="792" ht="14.25" customHeight="1">
      <c r="B792" s="385" t="n"/>
    </row>
    <row r="793" ht="14.25" customHeight="1">
      <c r="B793" s="385" t="n"/>
    </row>
    <row r="794" ht="14.25" customHeight="1">
      <c r="B794" s="385" t="n"/>
    </row>
    <row r="795" ht="14.25" customHeight="1">
      <c r="B795" s="385" t="n"/>
    </row>
    <row r="796" ht="14.25" customHeight="1">
      <c r="B796" s="385" t="n"/>
    </row>
    <row r="797" ht="14.25" customHeight="1">
      <c r="B797" s="385" t="n"/>
    </row>
    <row r="798" ht="14.25" customHeight="1">
      <c r="B798" s="385" t="n"/>
    </row>
    <row r="799" ht="14.25" customHeight="1">
      <c r="B799" s="385" t="n"/>
    </row>
    <row r="800" ht="14.25" customHeight="1">
      <c r="B800" s="385" t="n"/>
    </row>
    <row r="801" ht="14.25" customHeight="1">
      <c r="B801" s="385" t="n"/>
    </row>
    <row r="802" ht="14.25" customHeight="1">
      <c r="B802" s="385" t="n"/>
    </row>
    <row r="803" ht="14.25" customHeight="1">
      <c r="B803" s="385" t="n"/>
    </row>
    <row r="804" ht="14.25" customHeight="1">
      <c r="B804" s="385" t="n"/>
    </row>
    <row r="805" ht="14.25" customHeight="1">
      <c r="B805" s="385" t="n"/>
    </row>
    <row r="806" ht="14.25" customHeight="1">
      <c r="B806" s="385" t="n"/>
    </row>
    <row r="807" ht="14.25" customHeight="1">
      <c r="B807" s="385" t="n"/>
    </row>
    <row r="808" ht="14.25" customHeight="1">
      <c r="B808" s="385" t="n"/>
    </row>
    <row r="809" ht="14.25" customHeight="1">
      <c r="B809" s="385" t="n"/>
    </row>
    <row r="810" ht="14.25" customHeight="1">
      <c r="B810" s="385" t="n"/>
    </row>
    <row r="811" ht="14.25" customHeight="1">
      <c r="B811" s="385" t="n"/>
    </row>
    <row r="812" ht="14.25" customHeight="1">
      <c r="B812" s="385" t="n"/>
    </row>
    <row r="813" ht="14.25" customHeight="1">
      <c r="B813" s="385" t="n"/>
    </row>
    <row r="814" ht="14.25" customHeight="1">
      <c r="B814" s="385" t="n"/>
    </row>
    <row r="815" ht="14.25" customHeight="1">
      <c r="B815" s="385" t="n"/>
    </row>
    <row r="816" ht="14.25" customHeight="1">
      <c r="B816" s="385" t="n"/>
    </row>
    <row r="817" ht="14.25" customHeight="1">
      <c r="B817" s="385" t="n"/>
    </row>
    <row r="818" ht="14.25" customHeight="1">
      <c r="B818" s="385" t="n"/>
    </row>
    <row r="819" ht="14.25" customHeight="1">
      <c r="B819" s="385" t="n"/>
    </row>
    <row r="820" ht="14.25" customHeight="1">
      <c r="B820" s="385" t="n"/>
    </row>
    <row r="821" ht="14.25" customHeight="1">
      <c r="B821" s="385" t="n"/>
    </row>
    <row r="822" ht="14.25" customHeight="1">
      <c r="B822" s="385" t="n"/>
    </row>
    <row r="823" ht="14.25" customHeight="1">
      <c r="B823" s="385" t="n"/>
    </row>
    <row r="824" ht="14.25" customHeight="1">
      <c r="B824" s="385" t="n"/>
    </row>
    <row r="825" ht="14.25" customHeight="1">
      <c r="B825" s="385" t="n"/>
    </row>
    <row r="826" ht="14.25" customHeight="1">
      <c r="B826" s="385" t="n"/>
    </row>
    <row r="827" ht="14.25" customHeight="1">
      <c r="B827" s="385" t="n"/>
    </row>
    <row r="828" ht="14.25" customHeight="1">
      <c r="B828" s="385" t="n"/>
    </row>
    <row r="829" ht="14.25" customHeight="1">
      <c r="B829" s="385" t="n"/>
    </row>
    <row r="830" ht="14.25" customHeight="1">
      <c r="B830" s="385" t="n"/>
    </row>
    <row r="831" ht="14.25" customHeight="1">
      <c r="B831" s="385" t="n"/>
    </row>
    <row r="832" ht="14.25" customHeight="1">
      <c r="B832" s="385" t="n"/>
    </row>
    <row r="833" ht="14.25" customHeight="1">
      <c r="B833" s="385" t="n"/>
    </row>
    <row r="834" ht="14.25" customHeight="1">
      <c r="B834" s="385" t="n"/>
    </row>
    <row r="835" ht="14.25" customHeight="1">
      <c r="B835" s="385" t="n"/>
    </row>
    <row r="836" ht="14.25" customHeight="1">
      <c r="B836" s="385" t="n"/>
    </row>
    <row r="837" ht="14.25" customHeight="1">
      <c r="B837" s="385" t="n"/>
    </row>
    <row r="838" ht="14.25" customHeight="1">
      <c r="B838" s="385" t="n"/>
    </row>
    <row r="839" ht="14.25" customHeight="1">
      <c r="B839" s="385" t="n"/>
    </row>
    <row r="840" ht="14.25" customHeight="1">
      <c r="B840" s="385" t="n"/>
    </row>
    <row r="841" ht="14.25" customHeight="1">
      <c r="B841" s="385" t="n"/>
    </row>
    <row r="842" ht="14.25" customHeight="1">
      <c r="B842" s="385" t="n"/>
    </row>
    <row r="843" ht="14.25" customHeight="1">
      <c r="B843" s="385" t="n"/>
    </row>
    <row r="844" ht="14.25" customHeight="1">
      <c r="B844" s="385" t="n"/>
    </row>
    <row r="845" ht="14.25" customHeight="1">
      <c r="B845" s="385" t="n"/>
    </row>
    <row r="846" ht="14.25" customHeight="1">
      <c r="B846" s="385" t="n"/>
    </row>
    <row r="847" ht="14.25" customHeight="1">
      <c r="B847" s="385" t="n"/>
    </row>
    <row r="848" ht="14.25" customHeight="1">
      <c r="B848" s="385" t="n"/>
    </row>
    <row r="849" ht="14.25" customHeight="1">
      <c r="B849" s="385" t="n"/>
    </row>
    <row r="850" ht="14.25" customHeight="1">
      <c r="B850" s="385" t="n"/>
    </row>
    <row r="851" ht="14.25" customHeight="1">
      <c r="B851" s="385" t="n"/>
    </row>
    <row r="852" ht="14.25" customHeight="1">
      <c r="B852" s="385" t="n"/>
    </row>
    <row r="853" ht="14.25" customHeight="1">
      <c r="B853" s="385" t="n"/>
    </row>
    <row r="854" ht="14.25" customHeight="1">
      <c r="B854" s="385" t="n"/>
    </row>
    <row r="855" ht="14.25" customHeight="1">
      <c r="B855" s="385" t="n"/>
    </row>
    <row r="856" ht="14.25" customHeight="1">
      <c r="B856" s="385" t="n"/>
    </row>
    <row r="857" ht="14.25" customHeight="1">
      <c r="B857" s="385" t="n"/>
    </row>
    <row r="858" ht="14.25" customHeight="1">
      <c r="B858" s="385" t="n"/>
    </row>
    <row r="859" ht="14.25" customHeight="1">
      <c r="B859" s="385" t="n"/>
    </row>
    <row r="860" ht="14.25" customHeight="1">
      <c r="B860" s="385" t="n"/>
    </row>
    <row r="861" ht="14.25" customHeight="1">
      <c r="B861" s="385" t="n"/>
    </row>
    <row r="862" ht="14.25" customHeight="1">
      <c r="B862" s="385" t="n"/>
    </row>
    <row r="863" ht="14.25" customHeight="1">
      <c r="B863" s="385" t="n"/>
    </row>
    <row r="864" ht="14.25" customHeight="1">
      <c r="B864" s="385" t="n"/>
    </row>
    <row r="865" ht="14.25" customHeight="1">
      <c r="B865" s="385" t="n"/>
    </row>
    <row r="866" ht="14.25" customHeight="1">
      <c r="B866" s="385" t="n"/>
    </row>
    <row r="867" ht="14.25" customHeight="1">
      <c r="B867" s="385" t="n"/>
    </row>
    <row r="868" ht="14.25" customHeight="1">
      <c r="B868" s="385" t="n"/>
    </row>
    <row r="869" ht="14.25" customHeight="1">
      <c r="B869" s="385" t="n"/>
    </row>
    <row r="870" ht="14.25" customHeight="1">
      <c r="B870" s="385" t="n"/>
    </row>
    <row r="871" ht="14.25" customHeight="1">
      <c r="B871" s="385" t="n"/>
    </row>
    <row r="872" ht="14.25" customHeight="1">
      <c r="B872" s="385" t="n"/>
    </row>
    <row r="873" ht="14.25" customHeight="1">
      <c r="B873" s="385" t="n"/>
    </row>
    <row r="874" ht="14.25" customHeight="1">
      <c r="B874" s="385" t="n"/>
    </row>
    <row r="875" ht="14.25" customHeight="1">
      <c r="B875" s="385" t="n"/>
    </row>
    <row r="876" ht="14.25" customHeight="1">
      <c r="B876" s="385" t="n"/>
    </row>
    <row r="877" ht="14.25" customHeight="1">
      <c r="B877" s="385" t="n"/>
    </row>
    <row r="878" ht="14.25" customHeight="1">
      <c r="B878" s="385" t="n"/>
    </row>
    <row r="879" ht="14.25" customHeight="1">
      <c r="B879" s="385" t="n"/>
    </row>
    <row r="880" ht="14.25" customHeight="1">
      <c r="B880" s="385" t="n"/>
    </row>
    <row r="881" ht="14.25" customHeight="1">
      <c r="B881" s="385" t="n"/>
    </row>
    <row r="882" ht="14.25" customHeight="1">
      <c r="B882" s="385" t="n"/>
    </row>
    <row r="883" ht="14.25" customHeight="1">
      <c r="B883" s="385" t="n"/>
    </row>
    <row r="884" ht="14.25" customHeight="1">
      <c r="B884" s="385" t="n"/>
    </row>
    <row r="885" ht="14.25" customHeight="1">
      <c r="B885" s="385" t="n"/>
    </row>
    <row r="886" ht="14.25" customHeight="1">
      <c r="B886" s="385" t="n"/>
    </row>
    <row r="887" ht="14.25" customHeight="1">
      <c r="B887" s="385" t="n"/>
    </row>
    <row r="888" ht="14.25" customHeight="1">
      <c r="B888" s="385" t="n"/>
    </row>
    <row r="889" ht="14.25" customHeight="1">
      <c r="B889" s="385" t="n"/>
    </row>
    <row r="890" ht="14.25" customHeight="1">
      <c r="B890" s="385" t="n"/>
    </row>
    <row r="891" ht="14.25" customHeight="1">
      <c r="B891" s="385" t="n"/>
    </row>
    <row r="892" ht="14.25" customHeight="1">
      <c r="B892" s="385" t="n"/>
    </row>
    <row r="893" ht="14.25" customHeight="1">
      <c r="B893" s="385" t="n"/>
    </row>
    <row r="894" ht="14.25" customHeight="1">
      <c r="B894" s="385" t="n"/>
    </row>
    <row r="895" ht="14.25" customHeight="1">
      <c r="B895" s="385" t="n"/>
    </row>
    <row r="896" ht="14.25" customHeight="1">
      <c r="B896" s="385" t="n"/>
    </row>
    <row r="897" ht="14.25" customHeight="1">
      <c r="B897" s="385" t="n"/>
    </row>
    <row r="898" ht="14.25" customHeight="1">
      <c r="B898" s="385" t="n"/>
    </row>
    <row r="899" ht="14.25" customHeight="1">
      <c r="B899" s="385" t="n"/>
    </row>
    <row r="900" ht="14.25" customHeight="1">
      <c r="B900" s="385" t="n"/>
    </row>
    <row r="901" ht="14.25" customHeight="1">
      <c r="B901" s="385" t="n"/>
    </row>
    <row r="902" ht="14.25" customHeight="1">
      <c r="B902" s="385" t="n"/>
    </row>
    <row r="903" ht="14.25" customHeight="1">
      <c r="B903" s="385" t="n"/>
    </row>
    <row r="904" ht="14.25" customHeight="1">
      <c r="B904" s="385" t="n"/>
    </row>
    <row r="905" ht="14.25" customHeight="1">
      <c r="B905" s="385" t="n"/>
    </row>
    <row r="906" ht="14.25" customHeight="1">
      <c r="B906" s="385" t="n"/>
    </row>
    <row r="907" ht="14.25" customHeight="1">
      <c r="B907" s="385" t="n"/>
    </row>
    <row r="908" ht="14.25" customHeight="1">
      <c r="B908" s="385" t="n"/>
    </row>
    <row r="909" ht="14.25" customHeight="1">
      <c r="B909" s="385" t="n"/>
    </row>
    <row r="910" ht="14.25" customHeight="1">
      <c r="B910" s="385" t="n"/>
    </row>
    <row r="911" ht="14.25" customHeight="1">
      <c r="B911" s="385" t="n"/>
    </row>
    <row r="912" ht="14.25" customHeight="1">
      <c r="B912" s="385" t="n"/>
    </row>
    <row r="913" ht="14.25" customHeight="1">
      <c r="B913" s="385" t="n"/>
    </row>
    <row r="914" ht="14.25" customHeight="1">
      <c r="B914" s="385" t="n"/>
    </row>
    <row r="915" ht="14.25" customHeight="1">
      <c r="B915" s="385" t="n"/>
    </row>
    <row r="916" ht="14.25" customHeight="1">
      <c r="B916" s="385" t="n"/>
    </row>
    <row r="917" ht="14.25" customHeight="1">
      <c r="B917" s="385" t="n"/>
    </row>
    <row r="918" ht="14.25" customHeight="1">
      <c r="B918" s="385" t="n"/>
    </row>
    <row r="919" ht="14.25" customHeight="1">
      <c r="B919" s="385" t="n"/>
    </row>
    <row r="920" ht="14.25" customHeight="1">
      <c r="B920" s="385" t="n"/>
    </row>
    <row r="921" ht="14.25" customHeight="1">
      <c r="B921" s="385" t="n"/>
    </row>
    <row r="922" ht="14.25" customHeight="1">
      <c r="B922" s="385" t="n"/>
    </row>
    <row r="923" ht="14.25" customHeight="1">
      <c r="B923" s="385" t="n"/>
    </row>
    <row r="924" ht="14.25" customHeight="1">
      <c r="B924" s="385" t="n"/>
    </row>
    <row r="925" ht="14.25" customHeight="1">
      <c r="B925" s="385" t="n"/>
    </row>
    <row r="926" ht="14.25" customHeight="1">
      <c r="B926" s="385" t="n"/>
    </row>
    <row r="927" ht="14.25" customHeight="1">
      <c r="B927" s="385" t="n"/>
    </row>
    <row r="928" ht="14.25" customHeight="1">
      <c r="B928" s="385" t="n"/>
    </row>
    <row r="929" ht="14.25" customHeight="1">
      <c r="B929" s="385" t="n"/>
    </row>
    <row r="930" ht="14.25" customHeight="1">
      <c r="B930" s="385" t="n"/>
    </row>
    <row r="931" ht="14.25" customHeight="1">
      <c r="B931" s="385" t="n"/>
    </row>
    <row r="932" ht="14.25" customHeight="1">
      <c r="B932" s="385" t="n"/>
    </row>
    <row r="933" ht="14.25" customHeight="1">
      <c r="B933" s="385" t="n"/>
    </row>
    <row r="934" ht="14.25" customHeight="1">
      <c r="B934" s="385" t="n"/>
    </row>
    <row r="935" ht="14.25" customHeight="1">
      <c r="B935" s="385" t="n"/>
    </row>
    <row r="936" ht="14.25" customHeight="1">
      <c r="B936" s="385" t="n"/>
    </row>
    <row r="937" ht="14.25" customHeight="1">
      <c r="B937" s="385" t="n"/>
    </row>
    <row r="938" ht="14.25" customHeight="1">
      <c r="B938" s="385" t="n"/>
    </row>
    <row r="939" ht="14.25" customHeight="1">
      <c r="B939" s="385" t="n"/>
    </row>
    <row r="940" ht="14.25" customHeight="1">
      <c r="B940" s="385" t="n"/>
    </row>
    <row r="941" ht="14.25" customHeight="1">
      <c r="B941" s="385" t="n"/>
    </row>
    <row r="942" ht="14.25" customHeight="1">
      <c r="B942" s="385" t="n"/>
    </row>
    <row r="943" ht="14.25" customHeight="1">
      <c r="B943" s="385" t="n"/>
    </row>
    <row r="944" ht="14.25" customHeight="1">
      <c r="B944" s="385" t="n"/>
    </row>
    <row r="945" ht="14.25" customHeight="1">
      <c r="B945" s="385" t="n"/>
    </row>
    <row r="946" ht="14.25" customHeight="1">
      <c r="B946" s="385" t="n"/>
    </row>
    <row r="947" ht="14.25" customHeight="1">
      <c r="B947" s="385" t="n"/>
    </row>
    <row r="948" ht="14.25" customHeight="1">
      <c r="B948" s="385" t="n"/>
    </row>
    <row r="949" ht="14.25" customHeight="1">
      <c r="B949" s="385" t="n"/>
    </row>
    <row r="950" ht="14.25" customHeight="1">
      <c r="B950" s="385" t="n"/>
    </row>
    <row r="951" ht="14.25" customHeight="1">
      <c r="B951" s="385" t="n"/>
    </row>
    <row r="952" ht="14.25" customHeight="1">
      <c r="B952" s="385" t="n"/>
    </row>
    <row r="953" ht="14.25" customHeight="1">
      <c r="B953" s="385" t="n"/>
    </row>
    <row r="954" ht="14.25" customHeight="1">
      <c r="B954" s="385" t="n"/>
    </row>
    <row r="955" ht="14.25" customHeight="1">
      <c r="B955" s="385" t="n"/>
    </row>
    <row r="956" ht="14.25" customHeight="1">
      <c r="B956" s="385" t="n"/>
    </row>
    <row r="957" ht="14.25" customHeight="1">
      <c r="B957" s="385" t="n"/>
    </row>
    <row r="958" ht="14.25" customHeight="1">
      <c r="B958" s="385" t="n"/>
    </row>
    <row r="959" ht="14.25" customHeight="1">
      <c r="B959" s="385" t="n"/>
    </row>
    <row r="960" ht="14.25" customHeight="1">
      <c r="B960" s="385" t="n"/>
    </row>
    <row r="961" ht="14.25" customHeight="1">
      <c r="B961" s="385" t="n"/>
    </row>
    <row r="962" ht="14.25" customHeight="1">
      <c r="B962" s="385" t="n"/>
    </row>
    <row r="963" ht="14.25" customHeight="1">
      <c r="B963" s="385" t="n"/>
    </row>
    <row r="964" ht="14.25" customHeight="1">
      <c r="B964" s="385" t="n"/>
    </row>
    <row r="965" ht="14.25" customHeight="1">
      <c r="B965" s="385" t="n"/>
    </row>
    <row r="966" ht="14.25" customHeight="1">
      <c r="B966" s="385" t="n"/>
    </row>
    <row r="967" ht="14.25" customHeight="1">
      <c r="B967" s="385" t="n"/>
    </row>
    <row r="968" ht="14.25" customHeight="1">
      <c r="B968" s="385" t="n"/>
    </row>
    <row r="969" ht="14.25" customHeight="1">
      <c r="B969" s="385" t="n"/>
    </row>
    <row r="970" ht="14.25" customHeight="1">
      <c r="B970" s="385" t="n"/>
    </row>
    <row r="971" ht="14.25" customHeight="1">
      <c r="B971" s="385" t="n"/>
    </row>
    <row r="972" ht="14.25" customHeight="1">
      <c r="B972" s="385" t="n"/>
    </row>
    <row r="973" ht="14.25" customHeight="1">
      <c r="B973" s="385" t="n"/>
    </row>
    <row r="974" ht="14.25" customHeight="1">
      <c r="B974" s="385" t="n"/>
    </row>
    <row r="975" ht="14.25" customHeight="1">
      <c r="B975" s="385" t="n"/>
    </row>
    <row r="976" ht="14.25" customHeight="1">
      <c r="B976" s="385" t="n"/>
    </row>
    <row r="977" ht="14.25" customHeight="1">
      <c r="B977" s="385" t="n"/>
    </row>
    <row r="978" ht="14.25" customHeight="1">
      <c r="B978" s="385" t="n"/>
    </row>
    <row r="979" ht="14.25" customHeight="1">
      <c r="B979" s="385" t="n"/>
    </row>
    <row r="980" ht="14.25" customHeight="1">
      <c r="B980" s="385" t="n"/>
    </row>
    <row r="981" ht="14.25" customHeight="1">
      <c r="B981" s="385" t="n"/>
    </row>
    <row r="982" ht="14.25" customHeight="1">
      <c r="B982" s="385" t="n"/>
    </row>
    <row r="983" ht="14.25" customHeight="1">
      <c r="B983" s="385" t="n"/>
    </row>
    <row r="984" ht="14.25" customHeight="1">
      <c r="B984" s="385" t="n"/>
    </row>
    <row r="985" ht="14.25" customHeight="1">
      <c r="B985" s="385" t="n"/>
    </row>
    <row r="986" ht="14.25" customHeight="1">
      <c r="B986" s="385" t="n"/>
    </row>
    <row r="987" ht="14.25" customHeight="1">
      <c r="B987" s="385" t="n"/>
    </row>
    <row r="988" ht="14.25" customHeight="1">
      <c r="B988" s="385" t="n"/>
    </row>
    <row r="989" ht="14.25" customHeight="1">
      <c r="B989" s="385" t="n"/>
    </row>
    <row r="990" ht="14.25" customHeight="1">
      <c r="B990" s="385" t="n"/>
    </row>
    <row r="991" ht="14.25" customHeight="1">
      <c r="B991" s="385" t="n"/>
    </row>
    <row r="992" ht="14.25" customHeight="1">
      <c r="B992" s="385" t="n"/>
    </row>
    <row r="993" ht="14.25" customHeight="1">
      <c r="B993" s="385" t="n"/>
    </row>
    <row r="994" ht="14.25" customHeight="1">
      <c r="B994" s="385" t="n"/>
    </row>
    <row r="995" ht="14.25" customHeight="1">
      <c r="B995" s="385" t="n"/>
    </row>
    <row r="996" ht="14.25" customHeight="1">
      <c r="B996" s="385" t="n"/>
    </row>
    <row r="997" ht="14.25" customHeight="1">
      <c r="B997" s="385" t="n"/>
    </row>
    <row r="998" ht="14.25" customHeight="1">
      <c r="B998" s="385" t="n"/>
    </row>
    <row r="999" ht="14.25" customHeight="1">
      <c r="B999" s="385" t="n"/>
    </row>
    <row r="1000" ht="14.25" customHeight="1">
      <c r="B1000" s="385" t="n"/>
    </row>
    <row r="1001" ht="14.25" customHeight="1">
      <c r="B1001" s="385" t="n"/>
    </row>
    <row r="1002" ht="14.25" customHeight="1">
      <c r="B1002" s="385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P20"/>
  <sheetViews>
    <sheetView workbookViewId="0">
      <selection activeCell="E20" sqref="E20"/>
    </sheetView>
  </sheetViews>
  <sheetFormatPr baseColWidth="8" defaultColWidth="8.8984375" defaultRowHeight="13.8"/>
  <cols>
    <col width="32.59765625" customWidth="1" style="225" min="1" max="1"/>
    <col width="8.8984375" customWidth="1" style="225" min="2" max="3"/>
    <col width="14.69921875" customWidth="1" style="225" min="4" max="4"/>
    <col width="10.59765625" customWidth="1" style="225" min="5" max="16"/>
    <col width="8.8984375" customWidth="1" style="225" min="17" max="16384"/>
  </cols>
  <sheetData>
    <row r="2">
      <c r="A2" s="228" t="n"/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</row>
    <row r="3">
      <c r="A3" s="1329" t="inlineStr">
        <is>
          <t>รายการวัตถุดิบที่ใช้</t>
        </is>
      </c>
      <c r="B3" s="1329" t="inlineStr">
        <is>
          <t>หลักฐาน</t>
        </is>
      </c>
      <c r="C3" s="1329" t="inlineStr">
        <is>
          <t>หน่วย</t>
        </is>
      </c>
      <c r="D3" s="1329" t="inlineStr">
        <is>
          <t>รวม</t>
        </is>
      </c>
      <c r="E3" s="1344" t="inlineStr">
        <is>
          <t>ปริมาณการใช้แต่ละเดือน/2566</t>
        </is>
      </c>
      <c r="F3" s="1415" t="n"/>
      <c r="G3" s="1415" t="n"/>
      <c r="H3" s="1415" t="n"/>
      <c r="I3" s="1415" t="n"/>
      <c r="J3" s="1415" t="n"/>
      <c r="K3" s="1415" t="n"/>
      <c r="L3" s="1415" t="n"/>
      <c r="M3" s="1415" t="n"/>
      <c r="N3" s="1415" t="n"/>
      <c r="O3" s="1415" t="n"/>
      <c r="P3" s="1416" t="n"/>
    </row>
    <row r="4">
      <c r="A4" s="1417" t="n"/>
      <c r="B4" s="1417" t="n"/>
      <c r="C4" s="1417" t="n"/>
      <c r="D4" s="1417" t="n"/>
      <c r="E4" s="457" t="n">
        <v>243254</v>
      </c>
      <c r="F4" s="458" t="n">
        <v>243285</v>
      </c>
      <c r="G4" s="458" t="n">
        <v>243313</v>
      </c>
      <c r="H4" s="458" t="n">
        <v>243344</v>
      </c>
      <c r="I4" s="458" t="n">
        <v>243374</v>
      </c>
      <c r="J4" s="458" t="n">
        <v>243405</v>
      </c>
      <c r="K4" s="458" t="n">
        <v>243435</v>
      </c>
      <c r="L4" s="458" t="n">
        <v>243466</v>
      </c>
      <c r="M4" s="458" t="n">
        <v>243497</v>
      </c>
      <c r="N4" s="458" t="n">
        <v>243527</v>
      </c>
      <c r="O4" s="458" t="n">
        <v>243558</v>
      </c>
      <c r="P4" s="458" t="n">
        <v>243588</v>
      </c>
    </row>
    <row r="5" ht="16.8" customHeight="1">
      <c r="A5" s="525" t="inlineStr">
        <is>
          <t>กระดาษ A4  70 แกรม</t>
        </is>
      </c>
      <c r="B5" s="290" t="inlineStr">
        <is>
          <t>ใบสั่งซื้อ</t>
        </is>
      </c>
      <c r="C5" s="290" t="inlineStr">
        <is>
          <t>kg</t>
        </is>
      </c>
      <c r="D5" s="1711">
        <f>SUM(D6:D7)*B19</f>
        <v/>
      </c>
      <c r="E5" s="289" t="n"/>
      <c r="F5" s="289" t="n"/>
      <c r="G5" s="289" t="n"/>
      <c r="H5" s="289" t="n"/>
      <c r="I5" s="289" t="n"/>
      <c r="J5" s="289" t="n"/>
      <c r="K5" s="289" t="n"/>
      <c r="L5" s="289" t="n"/>
      <c r="M5" s="289" t="n"/>
      <c r="N5" s="289" t="n"/>
      <c r="O5" s="289" t="n"/>
      <c r="P5" s="289" t="n"/>
    </row>
    <row r="6" ht="15" customHeight="1">
      <c r="A6" s="574" t="inlineStr">
        <is>
          <t>กระดาษ A4  70 แกรม-BKK</t>
        </is>
      </c>
      <c r="B6" s="290" t="n"/>
      <c r="C6" s="574" t="n"/>
      <c r="D6" s="1712">
        <f>SUM(E6:P6)</f>
        <v/>
      </c>
      <c r="E6" s="1713" t="n">
        <v>0</v>
      </c>
      <c r="F6" s="1713" t="n">
        <v>0</v>
      </c>
      <c r="G6" s="1713" t="n">
        <v>0</v>
      </c>
      <c r="H6" s="1713" t="n">
        <v>0</v>
      </c>
      <c r="I6" s="1713" t="n">
        <v>0</v>
      </c>
      <c r="J6" s="1713" t="n">
        <v>0</v>
      </c>
      <c r="K6" s="1713" t="n">
        <v>0</v>
      </c>
      <c r="L6" s="1713" t="n">
        <v>0</v>
      </c>
      <c r="M6" s="1713" t="n">
        <v>0</v>
      </c>
      <c r="N6" s="1713" t="n">
        <v>0</v>
      </c>
      <c r="O6" s="1713" t="n">
        <v>0</v>
      </c>
      <c r="P6" s="1713" t="n">
        <v>0</v>
      </c>
    </row>
    <row r="7" ht="15" customHeight="1">
      <c r="A7" s="574" t="inlineStr">
        <is>
          <t>กระดาษ A4  70 แกรม-LCB</t>
        </is>
      </c>
      <c r="B7" s="290" t="n"/>
      <c r="C7" s="574" t="n"/>
      <c r="D7" s="1712">
        <f>SUM(E7:P7)</f>
        <v/>
      </c>
      <c r="E7" s="1713" t="n">
        <v>0</v>
      </c>
      <c r="F7" s="1713" t="n">
        <v>0</v>
      </c>
      <c r="G7" s="1713" t="n">
        <v>20</v>
      </c>
      <c r="H7" s="1713" t="n">
        <v>0</v>
      </c>
      <c r="I7" s="1713" t="n">
        <v>0</v>
      </c>
      <c r="J7" s="1713" t="n">
        <v>40</v>
      </c>
      <c r="K7" s="1713" t="n">
        <v>0</v>
      </c>
      <c r="L7" s="1713" t="n">
        <v>0</v>
      </c>
      <c r="M7" s="1713" t="n">
        <v>40</v>
      </c>
      <c r="N7" s="1713" t="n">
        <v>0</v>
      </c>
      <c r="O7" s="1713" t="n">
        <v>50</v>
      </c>
      <c r="P7" s="1713" t="n">
        <v>70</v>
      </c>
    </row>
    <row r="8" ht="16.8" customHeight="1">
      <c r="A8" s="525" t="inlineStr">
        <is>
          <t>กระดาษ A4  80 แกรม</t>
        </is>
      </c>
      <c r="B8" s="290" t="inlineStr">
        <is>
          <t>ใบสั่งซื้อ</t>
        </is>
      </c>
      <c r="C8" s="290" t="inlineStr">
        <is>
          <t>kg</t>
        </is>
      </c>
      <c r="D8" s="1714">
        <f>SUM(D9:D10)*B20</f>
        <v/>
      </c>
      <c r="E8" s="574" t="n"/>
      <c r="F8" s="574" t="n"/>
      <c r="G8" s="574" t="n"/>
      <c r="H8" s="574" t="n"/>
      <c r="I8" s="574" t="n"/>
      <c r="J8" s="574" t="n"/>
      <c r="K8" s="574" t="n"/>
      <c r="L8" s="574" t="n"/>
      <c r="M8" s="574" t="n"/>
      <c r="N8" s="574" t="n"/>
      <c r="O8" s="574" t="n"/>
      <c r="P8" s="574" t="n"/>
    </row>
    <row r="9" ht="15" customHeight="1">
      <c r="A9" s="574" t="inlineStr">
        <is>
          <t>กระดาษ A4  80 แกรม-BKK</t>
        </is>
      </c>
      <c r="B9" s="574" t="n"/>
      <c r="C9" s="574" t="n"/>
      <c r="D9" s="1712">
        <f>SUM(E9:P9)</f>
        <v/>
      </c>
      <c r="E9" s="1715" t="n">
        <v>0</v>
      </c>
      <c r="F9" s="1715" t="n">
        <v>0</v>
      </c>
      <c r="G9" s="1715" t="n">
        <v>0</v>
      </c>
      <c r="H9" s="1715" t="n">
        <v>100</v>
      </c>
      <c r="I9" s="1715" t="n">
        <v>0</v>
      </c>
      <c r="J9" s="1715" t="n">
        <v>0</v>
      </c>
      <c r="K9" s="1715" t="n">
        <v>0</v>
      </c>
      <c r="L9" s="1715" t="n">
        <v>0</v>
      </c>
      <c r="M9" s="1715" t="n">
        <v>0</v>
      </c>
      <c r="N9" s="1715" t="n">
        <v>0</v>
      </c>
      <c r="O9" s="1715" t="n">
        <v>100</v>
      </c>
      <c r="P9" s="1715" t="n">
        <v>0</v>
      </c>
    </row>
    <row r="10" ht="15" customHeight="1">
      <c r="A10" s="574" t="inlineStr">
        <is>
          <t>กระดาษ A4  80 แกรม-LCB</t>
        </is>
      </c>
      <c r="B10" s="574" t="n"/>
      <c r="C10" s="574" t="n"/>
      <c r="D10" s="1712">
        <f>SUM(E10:P10)</f>
        <v/>
      </c>
      <c r="E10" s="1715" t="n">
        <v>70</v>
      </c>
      <c r="F10" s="1715" t="n">
        <v>100</v>
      </c>
      <c r="G10" s="1715" t="n">
        <v>70</v>
      </c>
      <c r="H10" s="1715" t="n">
        <v>100</v>
      </c>
      <c r="I10" s="1715" t="n">
        <v>0</v>
      </c>
      <c r="J10" s="1715" t="n">
        <v>200</v>
      </c>
      <c r="K10" s="1715" t="n">
        <v>100</v>
      </c>
      <c r="L10" s="1715" t="n">
        <v>100</v>
      </c>
      <c r="M10" s="1715" t="n">
        <v>100</v>
      </c>
      <c r="N10" s="1715" t="n">
        <v>0</v>
      </c>
      <c r="O10" s="1715" t="n">
        <v>100</v>
      </c>
      <c r="P10" s="1715" t="n">
        <v>80</v>
      </c>
    </row>
    <row r="11">
      <c r="A11" s="228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8" t="n"/>
      <c r="M11" s="228" t="n"/>
      <c r="N11" s="228" t="n"/>
      <c r="O11" s="228" t="n"/>
      <c r="P11" s="228" t="n"/>
    </row>
    <row r="12">
      <c r="A12" s="228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8" t="n"/>
      <c r="M12" s="228" t="n"/>
      <c r="N12" s="228" t="n"/>
      <c r="O12" s="228" t="n"/>
      <c r="P12" s="228" t="n"/>
    </row>
    <row r="13">
      <c r="A13" s="459" t="inlineStr">
        <is>
          <t>รายการ</t>
        </is>
      </c>
      <c r="B13" s="459" t="inlineStr">
        <is>
          <t>ค่า</t>
        </is>
      </c>
      <c r="C13" s="459" t="inlineStr">
        <is>
          <t>หน่วย</t>
        </is>
      </c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8" t="n"/>
      <c r="M13" s="228" t="n"/>
      <c r="N13" s="228" t="n"/>
      <c r="O13" s="228" t="n"/>
      <c r="P13" s="228" t="n"/>
    </row>
    <row r="14">
      <c r="A14" s="1345" t="inlineStr">
        <is>
          <t>พื้นที่กระดาษ (21.0  cm x 29.7 cm)</t>
        </is>
      </c>
      <c r="B14" s="258">
        <f>21*29.7</f>
        <v/>
      </c>
      <c r="C14" s="1397" t="inlineStr">
        <is>
          <t>cm2/แผ่น</t>
        </is>
      </c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</row>
    <row r="15">
      <c r="A15" s="1417" t="n"/>
      <c r="B15" s="258">
        <f>B14/10000</f>
        <v/>
      </c>
      <c r="C15" s="1397" t="inlineStr">
        <is>
          <t>m2/แผ่น</t>
        </is>
      </c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8" t="n"/>
      <c r="M15" s="228" t="n"/>
      <c r="N15" s="228" t="n"/>
      <c r="O15" s="228" t="n"/>
      <c r="P15" s="228" t="n"/>
    </row>
    <row r="16">
      <c r="A16" s="258" t="inlineStr">
        <is>
          <t>น้ำหนักกระดาษ 70 แกรม</t>
        </is>
      </c>
      <c r="B16" s="258" t="n">
        <v>70</v>
      </c>
      <c r="C16" s="1397" t="inlineStr">
        <is>
          <t>g/m2</t>
        </is>
      </c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8" t="n"/>
      <c r="M16" s="228" t="n"/>
      <c r="N16" s="228" t="n"/>
      <c r="O16" s="228" t="n"/>
      <c r="P16" s="228" t="n"/>
    </row>
    <row r="17">
      <c r="A17" s="258" t="inlineStr">
        <is>
          <t>น้ำหนักกระดาษ 80 แกรม</t>
        </is>
      </c>
      <c r="B17" s="258" t="n">
        <v>80</v>
      </c>
      <c r="C17" s="1397" t="inlineStr">
        <is>
          <t>g/m2</t>
        </is>
      </c>
    </row>
    <row r="18">
      <c r="A18" s="565" t="inlineStr">
        <is>
          <t>จำนวนกระดาษ</t>
        </is>
      </c>
      <c r="B18" s="565" t="n">
        <v>500</v>
      </c>
      <c r="C18" s="1397" t="inlineStr">
        <is>
          <t>แผ่น/รีม</t>
        </is>
      </c>
    </row>
    <row r="19" ht="17.4" customHeight="1">
      <c r="A19" s="888" t="inlineStr">
        <is>
          <t>น้ำหนักกระดาษ A4 70 g</t>
        </is>
      </c>
      <c r="B19" s="1716">
        <f>B15*B18*B16/1000</f>
        <v/>
      </c>
      <c r="C19" s="579" t="inlineStr">
        <is>
          <t>kg/รีม</t>
        </is>
      </c>
    </row>
    <row r="20" ht="17.4" customHeight="1">
      <c r="A20" s="888" t="inlineStr">
        <is>
          <t>น้ำหนักกระดาษ A4 80 g</t>
        </is>
      </c>
      <c r="B20" s="1716">
        <f>B15*B18*B17/1000</f>
        <v/>
      </c>
      <c r="C20" s="579" t="inlineStr">
        <is>
          <t>kg/รีม</t>
        </is>
      </c>
    </row>
  </sheetData>
  <mergeCells count="6">
    <mergeCell ref="C3:C4"/>
    <mergeCell ref="A3:A4"/>
    <mergeCell ref="B3:B4"/>
    <mergeCell ref="D3:D4"/>
    <mergeCell ref="E3:P3"/>
    <mergeCell ref="A14:A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AF75"/>
  <sheetViews>
    <sheetView workbookViewId="0">
      <selection activeCell="H22" sqref="H22"/>
    </sheetView>
  </sheetViews>
  <sheetFormatPr baseColWidth="8" defaultRowHeight="13.8"/>
  <cols>
    <col width="12" customWidth="1" min="1" max="1"/>
    <col width="16.796875" customWidth="1" min="2" max="2"/>
    <col width="10.296875" customWidth="1" min="3" max="3"/>
    <col width="29" customWidth="1" min="4" max="4"/>
    <col width="12.796875" customWidth="1" min="5" max="5"/>
    <col width="21.69921875" customWidth="1" min="8" max="8"/>
    <col width="19.19921875" customWidth="1" min="9" max="9"/>
    <col width="15" customWidth="1" min="10" max="10"/>
    <col width="16.19921875" customWidth="1" min="11" max="11"/>
    <col width="12.69921875" customWidth="1" min="12" max="12"/>
  </cols>
  <sheetData>
    <row r="2" ht="17.4" customHeight="1">
      <c r="A2" s="1329" t="inlineStr">
        <is>
          <t>สายรถ</t>
        </is>
      </c>
      <c r="B2" s="1717" t="inlineStr">
        <is>
          <t>ต้นทาง</t>
        </is>
      </c>
      <c r="C2" s="1451" t="n"/>
      <c r="D2" s="1329" t="inlineStr">
        <is>
          <t>ปลายทาง</t>
        </is>
      </c>
      <c r="E2" s="1329" t="inlineStr">
        <is>
          <t>จำนวนที่นั่ง</t>
        </is>
      </c>
      <c r="F2" s="1346" t="inlineStr">
        <is>
          <t>เวลา รับ-ส่งพนักงาน</t>
        </is>
      </c>
      <c r="G2" s="1410" t="n"/>
      <c r="H2" s="1329" t="inlineStr">
        <is>
          <t>ชนิดยานพาหนะ</t>
        </is>
      </c>
      <c r="I2" s="1329" t="inlineStr">
        <is>
          <t>ชนิดเชื้อเพลิงของยานพาหนะ</t>
        </is>
      </c>
      <c r="J2" s="1329" t="inlineStr">
        <is>
          <t>ปริมาณน้ำมัน (L)</t>
        </is>
      </c>
      <c r="K2" s="1329" t="inlineStr">
        <is>
          <t>ระยะทางต่อเที่ยว (ไป-กลับ) (km)</t>
        </is>
      </c>
      <c r="L2" s="1299" t="inlineStr">
        <is>
          <t>จำนวนเที่ยว</t>
        </is>
      </c>
      <c r="M2" s="1329" t="inlineStr">
        <is>
          <t>จำนวนเที่ยวที่วิ่ง แต่ละเดือน</t>
        </is>
      </c>
      <c r="N2" s="1415" t="n"/>
      <c r="O2" s="1415" t="n"/>
      <c r="P2" s="1415" t="n"/>
      <c r="Q2" s="1415" t="n"/>
      <c r="R2" s="1415" t="n"/>
      <c r="S2" s="1415" t="n"/>
      <c r="T2" s="1415" t="n"/>
      <c r="U2" s="1415" t="n"/>
      <c r="V2" s="1415" t="n"/>
      <c r="W2" s="1415" t="n"/>
      <c r="X2" s="1416" t="n"/>
      <c r="Y2" s="260" t="n"/>
      <c r="Z2" s="260" t="n"/>
      <c r="AA2" s="260" t="n"/>
      <c r="AB2" s="260" t="n"/>
      <c r="AC2" s="260" t="n"/>
      <c r="AD2" s="260" t="n"/>
      <c r="AE2" s="260" t="n"/>
      <c r="AF2" s="260" t="n"/>
    </row>
    <row r="3" ht="15" customHeight="1">
      <c r="A3" s="1417" t="n"/>
      <c r="B3" s="1454" t="n"/>
      <c r="C3" s="830" t="n"/>
      <c r="D3" s="1417" t="n"/>
      <c r="E3" s="1417" t="n"/>
      <c r="F3" s="1329" t="inlineStr">
        <is>
          <t>ขาเข้า</t>
        </is>
      </c>
      <c r="G3" s="1329" t="inlineStr">
        <is>
          <t>ขาออก</t>
        </is>
      </c>
      <c r="H3" s="1417" t="n"/>
      <c r="I3" s="1417" t="n"/>
      <c r="J3" s="1417" t="n"/>
      <c r="K3" s="1417" t="n"/>
      <c r="L3" s="1417" t="n"/>
      <c r="M3" s="534" t="n">
        <v>1</v>
      </c>
      <c r="N3" s="534" t="n">
        <v>2</v>
      </c>
      <c r="O3" s="535" t="n">
        <v>3</v>
      </c>
      <c r="P3" s="535" t="n">
        <v>4</v>
      </c>
      <c r="Q3" s="535" t="n">
        <v>5</v>
      </c>
      <c r="R3" s="535" t="n">
        <v>6</v>
      </c>
      <c r="S3" s="535" t="n">
        <v>7</v>
      </c>
      <c r="T3" s="535" t="n">
        <v>8</v>
      </c>
      <c r="U3" s="535" t="n">
        <v>9</v>
      </c>
      <c r="V3" s="535" t="n">
        <v>10</v>
      </c>
      <c r="W3" s="535" t="n">
        <v>11</v>
      </c>
      <c r="X3" s="535" t="n">
        <v>12</v>
      </c>
      <c r="Y3" s="260" t="n"/>
      <c r="Z3" s="260" t="n"/>
      <c r="AA3" s="260" t="n"/>
      <c r="AB3" s="260" t="n"/>
      <c r="AC3" s="260" t="n"/>
      <c r="AD3" s="260" t="n"/>
      <c r="AE3" s="260" t="n"/>
      <c r="AF3" s="260" t="n"/>
    </row>
    <row r="4" ht="16.8" customHeight="1">
      <c r="A4" s="529" t="inlineStr">
        <is>
          <t>น้ำมัน Diesel B7 รถรับส่งพนักงาน</t>
        </is>
      </c>
      <c r="B4" s="530" t="n"/>
      <c r="C4" s="530" t="n"/>
      <c r="D4" s="530" t="n"/>
      <c r="E4" s="531" t="n"/>
      <c r="F4" s="532" t="n"/>
      <c r="G4" s="532" t="n"/>
      <c r="H4" s="530" t="n"/>
      <c r="I4" s="530" t="n"/>
      <c r="J4" s="1718">
        <f>SUM(J5:J13)</f>
        <v/>
      </c>
      <c r="K4" s="469" t="n"/>
      <c r="L4" s="274" t="n"/>
      <c r="M4" s="470" t="n"/>
      <c r="N4" s="470" t="n"/>
      <c r="O4" s="471" t="n"/>
      <c r="P4" s="471" t="n"/>
      <c r="Q4" s="471" t="n"/>
      <c r="R4" s="471" t="n"/>
      <c r="S4" s="471" t="n"/>
      <c r="T4" s="471" t="n"/>
      <c r="U4" s="471" t="n"/>
      <c r="V4" s="471" t="n"/>
      <c r="W4" s="471" t="n"/>
      <c r="X4" s="471" t="n"/>
      <c r="Y4" s="260" t="n"/>
      <c r="Z4" s="260" t="n"/>
      <c r="AA4" s="260" t="n"/>
      <c r="AB4" s="260" t="n"/>
      <c r="AC4" s="260" t="n"/>
      <c r="AD4" s="260" t="n"/>
      <c r="AE4" s="260" t="n"/>
      <c r="AF4" s="260" t="n"/>
    </row>
    <row r="5">
      <c r="A5" s="462" t="inlineStr">
        <is>
          <t>รถบัสเคหะ 1</t>
        </is>
      </c>
      <c r="B5" s="462" t="inlineStr">
        <is>
          <t>เซเว่น เคหะแหลมฉบัง</t>
        </is>
      </c>
      <c r="C5" s="1416" t="n"/>
      <c r="D5" s="463" t="inlineStr">
        <is>
          <t>บมจ. มัลติแบกซ์</t>
        </is>
      </c>
      <c r="E5" s="466" t="n">
        <v>40</v>
      </c>
      <c r="F5" s="464" t="inlineStr">
        <is>
          <t>07.00</t>
        </is>
      </c>
      <c r="G5" s="464" t="inlineStr">
        <is>
          <t>08.10</t>
        </is>
      </c>
      <c r="H5" s="465" t="inlineStr">
        <is>
          <t>รถโดยสารประจำทาง</t>
        </is>
      </c>
      <c r="I5" s="466" t="inlineStr">
        <is>
          <t>ดีเซล</t>
        </is>
      </c>
      <c r="J5" s="1719">
        <f>K5*L5/2.85</f>
        <v/>
      </c>
      <c r="K5" s="1720">
        <f>6.6+6.5</f>
        <v/>
      </c>
      <c r="L5" s="1721">
        <f>SUM(M5:X6)</f>
        <v/>
      </c>
      <c r="M5" s="1722" t="n">
        <v>111</v>
      </c>
      <c r="N5" s="1722" t="n">
        <v>112</v>
      </c>
      <c r="O5" s="1722" t="n">
        <v>124</v>
      </c>
      <c r="P5" s="1722" t="n">
        <v>84</v>
      </c>
      <c r="Q5" s="1722" t="n">
        <v>120</v>
      </c>
      <c r="R5" s="1722" t="n">
        <v>120</v>
      </c>
      <c r="S5" s="1722" t="n">
        <v>120</v>
      </c>
      <c r="T5" s="1722" t="n">
        <v>124</v>
      </c>
      <c r="U5" s="1722" t="n">
        <v>120</v>
      </c>
      <c r="V5" s="1722" t="n">
        <v>121</v>
      </c>
      <c r="W5" s="1722" t="n">
        <v>120</v>
      </c>
      <c r="X5" s="1722" t="n">
        <v>111</v>
      </c>
      <c r="Y5" s="260" t="n"/>
      <c r="Z5" s="260" t="n"/>
      <c r="AA5" s="260" t="n"/>
      <c r="AB5" s="260" t="n"/>
      <c r="AC5" s="260" t="n"/>
      <c r="AD5" s="260" t="n"/>
      <c r="AE5" s="260" t="n"/>
      <c r="AF5" s="260" t="n"/>
    </row>
    <row r="6">
      <c r="A6" s="463" t="inlineStr">
        <is>
          <t>รถบัสเคหะ 1</t>
        </is>
      </c>
      <c r="B6" s="463" t="inlineStr">
        <is>
          <t>บมจ. มัลติแบกซ์</t>
        </is>
      </c>
      <c r="C6" s="1416" t="n"/>
      <c r="D6" s="463" t="inlineStr">
        <is>
          <t>เซเว่น เคหะแหลมฉบัง</t>
        </is>
      </c>
      <c r="E6" s="1417" t="n"/>
      <c r="F6" s="464" t="inlineStr">
        <is>
          <t>19.00</t>
        </is>
      </c>
      <c r="G6" s="464" t="inlineStr">
        <is>
          <t>02.10</t>
        </is>
      </c>
      <c r="H6" s="465" t="inlineStr">
        <is>
          <t>รถโดยสารประจำทาง</t>
        </is>
      </c>
      <c r="I6" s="466" t="inlineStr">
        <is>
          <t>ดีเซล</t>
        </is>
      </c>
      <c r="J6" s="1417" t="n"/>
      <c r="K6" s="1417" t="n"/>
      <c r="L6" s="1417" t="n"/>
      <c r="M6" s="1417" t="n"/>
      <c r="N6" s="1417" t="n"/>
      <c r="O6" s="1417" t="n"/>
      <c r="P6" s="1417" t="n"/>
      <c r="Q6" s="1417" t="n"/>
      <c r="R6" s="1417" t="n"/>
      <c r="S6" s="1417" t="n"/>
      <c r="T6" s="1417" t="n"/>
      <c r="U6" s="1417" t="n"/>
      <c r="V6" s="1417" t="n"/>
      <c r="W6" s="1417" t="n"/>
      <c r="X6" s="1417" t="n"/>
      <c r="Y6" s="260" t="n"/>
      <c r="Z6" s="260" t="n"/>
      <c r="AA6" s="260" t="n"/>
      <c r="AB6" s="260" t="n"/>
      <c r="AC6" s="260" t="n"/>
      <c r="AD6" s="260" t="n"/>
      <c r="AE6" s="260" t="n"/>
      <c r="AF6" s="260" t="n"/>
    </row>
    <row r="7">
      <c r="A7" s="463" t="inlineStr">
        <is>
          <t>รถบัสเคหะ 2</t>
        </is>
      </c>
      <c r="B7" s="463" t="inlineStr">
        <is>
          <t>เซเว่น เคหะแหลมฉบัง</t>
        </is>
      </c>
      <c r="C7" s="1416" t="n"/>
      <c r="D7" s="463" t="inlineStr">
        <is>
          <t>บมจ. มัลติแบกซ์</t>
        </is>
      </c>
      <c r="E7" s="466" t="n">
        <v>40</v>
      </c>
      <c r="F7" s="464" t="inlineStr">
        <is>
          <t>07.00</t>
        </is>
      </c>
      <c r="G7" s="464" t="inlineStr">
        <is>
          <t>08.10</t>
        </is>
      </c>
      <c r="H7" s="465" t="inlineStr">
        <is>
          <t>รถโดยสารประจำทาง</t>
        </is>
      </c>
      <c r="I7" s="466" t="inlineStr">
        <is>
          <t>ดีเซล</t>
        </is>
      </c>
      <c r="J7" s="1719">
        <f>K7*L7/2.85</f>
        <v/>
      </c>
      <c r="K7" s="1720">
        <f>6.6+6.5</f>
        <v/>
      </c>
      <c r="L7" s="1721">
        <f>SUM(M7:X8)</f>
        <v/>
      </c>
      <c r="M7" s="1722" t="n">
        <v>111</v>
      </c>
      <c r="N7" s="1722" t="n">
        <v>112</v>
      </c>
      <c r="O7" s="1722" t="n">
        <v>124</v>
      </c>
      <c r="P7" s="1722" t="n">
        <v>84</v>
      </c>
      <c r="Q7" s="1722" t="n">
        <v>120</v>
      </c>
      <c r="R7" s="1722" t="n">
        <v>120</v>
      </c>
      <c r="S7" s="1722" t="n">
        <v>0</v>
      </c>
      <c r="T7" s="1722" t="n">
        <v>0</v>
      </c>
      <c r="U7" s="1722" t="n">
        <v>0</v>
      </c>
      <c r="V7" s="1722" t="n">
        <v>0</v>
      </c>
      <c r="W7" s="1722" t="n">
        <v>0</v>
      </c>
      <c r="X7" s="1722" t="n">
        <v>0</v>
      </c>
      <c r="Y7" s="260" t="n"/>
      <c r="Z7" s="260" t="n"/>
      <c r="AA7" s="260" t="n"/>
      <c r="AB7" s="260" t="n"/>
      <c r="AC7" s="260" t="n"/>
      <c r="AD7" s="260" t="n"/>
      <c r="AE7" s="260" t="n"/>
      <c r="AF7" s="260" t="n"/>
    </row>
    <row r="8">
      <c r="A8" s="463" t="inlineStr">
        <is>
          <t>รถบัสเคหะ 2</t>
        </is>
      </c>
      <c r="B8" s="463" t="inlineStr">
        <is>
          <t>บมจ. มัลติแบกซ์</t>
        </is>
      </c>
      <c r="C8" s="1416" t="n"/>
      <c r="D8" s="463" t="inlineStr">
        <is>
          <t>เซเว่น เคหะแหลมฉบัง</t>
        </is>
      </c>
      <c r="E8" s="1417" t="n"/>
      <c r="F8" s="464" t="inlineStr">
        <is>
          <t>19.00</t>
        </is>
      </c>
      <c r="G8" s="464" t="inlineStr">
        <is>
          <t>02.10</t>
        </is>
      </c>
      <c r="H8" s="465" t="inlineStr">
        <is>
          <t>รถโดยสารประจำทาง</t>
        </is>
      </c>
      <c r="I8" s="466" t="inlineStr">
        <is>
          <t>ดีเซล</t>
        </is>
      </c>
      <c r="J8" s="1417" t="n"/>
      <c r="K8" s="1417" t="n"/>
      <c r="L8" s="1417" t="n"/>
      <c r="M8" s="1417" t="n"/>
      <c r="N8" s="1417" t="n"/>
      <c r="O8" s="1417" t="n"/>
      <c r="P8" s="1417" t="n"/>
      <c r="Q8" s="1417" t="n"/>
      <c r="R8" s="1417" t="n"/>
      <c r="S8" s="1417" t="n"/>
      <c r="T8" s="1417" t="n"/>
      <c r="U8" s="1417" t="n"/>
      <c r="V8" s="1417" t="n"/>
      <c r="W8" s="1417" t="n"/>
      <c r="X8" s="1417" t="n"/>
      <c r="Y8" s="260" t="n"/>
      <c r="Z8" s="260" t="n"/>
      <c r="AA8" s="260" t="n"/>
      <c r="AB8" s="260" t="n"/>
      <c r="AC8" s="260" t="n"/>
      <c r="AD8" s="260" t="n"/>
      <c r="AE8" s="260" t="n"/>
      <c r="AF8" s="260" t="n"/>
    </row>
    <row r="9">
      <c r="A9" s="463" t="inlineStr">
        <is>
          <t>รถบัสกระทิงราย</t>
        </is>
      </c>
      <c r="B9" s="463" t="inlineStr">
        <is>
          <t>แยกกระทิงราย ต.บางละมุง</t>
        </is>
      </c>
      <c r="C9" s="1416" t="n"/>
      <c r="D9" s="463" t="inlineStr">
        <is>
          <t>บมจ. มัลติแบกซ์</t>
        </is>
      </c>
      <c r="E9" s="466" t="n">
        <v>40</v>
      </c>
      <c r="F9" s="464" t="inlineStr">
        <is>
          <t>07.00</t>
        </is>
      </c>
      <c r="G9" s="464" t="inlineStr">
        <is>
          <t>08.10</t>
        </is>
      </c>
      <c r="H9" s="465" t="inlineStr">
        <is>
          <t>รถโดยสารประจำทาง</t>
        </is>
      </c>
      <c r="I9" s="466" t="inlineStr">
        <is>
          <t>ดีเซล</t>
        </is>
      </c>
      <c r="J9" s="1719">
        <f>K9*L9/2.85</f>
        <v/>
      </c>
      <c r="K9" s="1720">
        <f>12.5+12.4</f>
        <v/>
      </c>
      <c r="L9" s="1721">
        <f>SUM(M9:X10)</f>
        <v/>
      </c>
      <c r="M9" s="1722" t="n">
        <v>111</v>
      </c>
      <c r="N9" s="1722" t="n">
        <v>112</v>
      </c>
      <c r="O9" s="1722" t="n">
        <v>124</v>
      </c>
      <c r="P9" s="1722" t="n">
        <v>84</v>
      </c>
      <c r="Q9" s="1722" t="n">
        <v>120</v>
      </c>
      <c r="R9" s="1722" t="n">
        <v>120</v>
      </c>
      <c r="S9" s="1722" t="n">
        <v>120</v>
      </c>
      <c r="T9" s="1722" t="n">
        <v>124</v>
      </c>
      <c r="U9" s="1722" t="n">
        <v>120</v>
      </c>
      <c r="V9" s="1722" t="n">
        <v>121</v>
      </c>
      <c r="W9" s="1722" t="n">
        <v>120</v>
      </c>
      <c r="X9" s="1722" t="n">
        <v>111</v>
      </c>
      <c r="Y9" s="260" t="n"/>
      <c r="Z9" s="260" t="n"/>
      <c r="AA9" s="260" t="n"/>
      <c r="AB9" s="260" t="n"/>
      <c r="AC9" s="260" t="n"/>
      <c r="AD9" s="260" t="n"/>
      <c r="AE9" s="260" t="n"/>
      <c r="AF9" s="260" t="n"/>
    </row>
    <row r="10">
      <c r="A10" s="463" t="inlineStr">
        <is>
          <t>รถบัสกระทิงราย</t>
        </is>
      </c>
      <c r="B10" s="463" t="inlineStr">
        <is>
          <t>บมจ. มัลติแบกซ์</t>
        </is>
      </c>
      <c r="C10" s="1416" t="n"/>
      <c r="D10" s="463" t="inlineStr">
        <is>
          <t>แยกกระทิงราย ต.บางละมุง</t>
        </is>
      </c>
      <c r="E10" s="1417" t="n"/>
      <c r="F10" s="464" t="inlineStr">
        <is>
          <t>19.00</t>
        </is>
      </c>
      <c r="G10" s="464" t="inlineStr">
        <is>
          <t>20.10</t>
        </is>
      </c>
      <c r="H10" s="465" t="inlineStr">
        <is>
          <t>รถโดยสารประจำทาง</t>
        </is>
      </c>
      <c r="I10" s="466" t="inlineStr">
        <is>
          <t>ดีเซล</t>
        </is>
      </c>
      <c r="J10" s="1417" t="n"/>
      <c r="K10" s="1417" t="n"/>
      <c r="L10" s="1417" t="n"/>
      <c r="M10" s="1417" t="n"/>
      <c r="N10" s="1417" t="n"/>
      <c r="O10" s="1417" t="n"/>
      <c r="P10" s="1417" t="n"/>
      <c r="Q10" s="1417" t="n"/>
      <c r="R10" s="1417" t="n"/>
      <c r="S10" s="1417" t="n"/>
      <c r="T10" s="1417" t="n"/>
      <c r="U10" s="1417" t="n"/>
      <c r="V10" s="1417" t="n"/>
      <c r="W10" s="1417" t="n"/>
      <c r="X10" s="1417" t="n"/>
      <c r="Y10" s="260" t="n"/>
      <c r="Z10" s="260" t="n"/>
      <c r="AA10" s="260" t="n"/>
      <c r="AB10" s="260" t="n"/>
      <c r="AC10" s="260" t="n"/>
      <c r="AD10" s="260" t="n"/>
      <c r="AE10" s="260" t="n"/>
      <c r="AF10" s="260" t="n"/>
    </row>
    <row r="11">
      <c r="A11" s="463" t="inlineStr">
        <is>
          <t>รถบัสศรีราชา</t>
        </is>
      </c>
      <c r="B11" s="463" t="inlineStr">
        <is>
          <t>ปากทางซอยวัดวังหิน ศรีราชา</t>
        </is>
      </c>
      <c r="C11" s="1416" t="n"/>
      <c r="D11" s="463" t="inlineStr">
        <is>
          <t>บมจ. มัลติแบกซ์</t>
        </is>
      </c>
      <c r="E11" s="466" t="n">
        <v>40</v>
      </c>
      <c r="F11" s="464" t="inlineStr">
        <is>
          <t>07.00</t>
        </is>
      </c>
      <c r="G11" s="464" t="inlineStr">
        <is>
          <t>08.10</t>
        </is>
      </c>
      <c r="H11" s="465" t="inlineStr">
        <is>
          <t>รถโดยสารประจำทาง</t>
        </is>
      </c>
      <c r="I11" s="466" t="inlineStr">
        <is>
          <t>ดีเซล</t>
        </is>
      </c>
      <c r="J11" s="1719">
        <f>K11*L11/2.85</f>
        <v/>
      </c>
      <c r="K11" s="1720">
        <f>14.9+14.5</f>
        <v/>
      </c>
      <c r="L11" s="1721">
        <f>SUM(M11:X12)</f>
        <v/>
      </c>
      <c r="M11" s="1722" t="n">
        <v>111</v>
      </c>
      <c r="N11" s="1722" t="n">
        <v>112</v>
      </c>
      <c r="O11" s="1722" t="n">
        <v>124</v>
      </c>
      <c r="P11" s="1722" t="n">
        <v>84</v>
      </c>
      <c r="Q11" s="1722" t="n">
        <v>120</v>
      </c>
      <c r="R11" s="1722" t="n">
        <v>120</v>
      </c>
      <c r="S11" s="1722" t="n">
        <v>120</v>
      </c>
      <c r="T11" s="1722" t="n">
        <v>124</v>
      </c>
      <c r="U11" s="1722" t="n">
        <v>120</v>
      </c>
      <c r="V11" s="1722" t="n">
        <v>121</v>
      </c>
      <c r="W11" s="1722" t="n">
        <v>120</v>
      </c>
      <c r="X11" s="1722" t="n">
        <v>111</v>
      </c>
      <c r="Y11" s="260" t="n"/>
      <c r="Z11" s="260" t="n"/>
      <c r="AA11" s="260" t="n"/>
      <c r="AB11" s="260" t="n"/>
      <c r="AC11" s="260" t="n"/>
      <c r="AD11" s="260" t="n"/>
      <c r="AE11" s="260" t="n"/>
      <c r="AF11" s="260" t="n"/>
    </row>
    <row r="12">
      <c r="A12" s="463" t="inlineStr">
        <is>
          <t>รถบัสศรีราชา</t>
        </is>
      </c>
      <c r="B12" s="463" t="inlineStr">
        <is>
          <t>บมจ. มัลติแบกซ์</t>
        </is>
      </c>
      <c r="C12" s="1416" t="n"/>
      <c r="D12" s="463" t="inlineStr">
        <is>
          <t>ปากทางซอยวัดวังหิน ศรีราชา</t>
        </is>
      </c>
      <c r="E12" s="1417" t="n"/>
      <c r="F12" s="464" t="inlineStr">
        <is>
          <t>19.00</t>
        </is>
      </c>
      <c r="G12" s="464" t="inlineStr">
        <is>
          <t>20.10</t>
        </is>
      </c>
      <c r="H12" s="465" t="inlineStr">
        <is>
          <t>รถโดยสารประจำทาง</t>
        </is>
      </c>
      <c r="I12" s="466" t="inlineStr">
        <is>
          <t>ดีเซล</t>
        </is>
      </c>
      <c r="J12" s="1417" t="n"/>
      <c r="K12" s="1417" t="n"/>
      <c r="L12" s="1417" t="n"/>
      <c r="M12" s="1417" t="n"/>
      <c r="N12" s="1417" t="n"/>
      <c r="O12" s="1417" t="n"/>
      <c r="P12" s="1417" t="n"/>
      <c r="Q12" s="1417" t="n"/>
      <c r="R12" s="1417" t="n"/>
      <c r="S12" s="1417" t="n"/>
      <c r="T12" s="1417" t="n"/>
      <c r="U12" s="1417" t="n"/>
      <c r="V12" s="1417" t="n"/>
      <c r="W12" s="1417" t="n"/>
      <c r="X12" s="1417" t="n"/>
      <c r="Y12" s="260" t="n"/>
      <c r="Z12" s="260" t="n"/>
      <c r="AA12" s="260" t="n"/>
      <c r="AB12" s="260" t="n"/>
      <c r="AC12" s="260" t="n"/>
      <c r="AD12" s="260" t="n"/>
      <c r="AE12" s="260" t="n"/>
      <c r="AF12" s="260" t="n"/>
    </row>
    <row r="13">
      <c r="A13" s="463" t="inlineStr">
        <is>
          <t>รถบัสเคหะ 17.00 น.</t>
        </is>
      </c>
      <c r="B13" s="463" t="inlineStr">
        <is>
          <t>บมจ. มัลติแบกซ์</t>
        </is>
      </c>
      <c r="C13" s="1416" t="n"/>
      <c r="D13" s="463" t="inlineStr">
        <is>
          <t>เซเว่น เคหะแหลมฉบัง</t>
        </is>
      </c>
      <c r="E13" s="466" t="n">
        <v>30</v>
      </c>
      <c r="F13" s="464" t="inlineStr">
        <is>
          <t xml:space="preserve"> -</t>
        </is>
      </c>
      <c r="G13" s="464" t="inlineStr">
        <is>
          <t>17.00</t>
        </is>
      </c>
      <c r="H13" s="465" t="inlineStr">
        <is>
          <t>รถโดยสารประจำทาง</t>
        </is>
      </c>
      <c r="I13" s="466" t="inlineStr">
        <is>
          <t>ดีเซล</t>
        </is>
      </c>
      <c r="J13" s="1719">
        <f>K13*L13/2.85</f>
        <v/>
      </c>
      <c r="K13" s="1722" t="n">
        <v>6.5</v>
      </c>
      <c r="L13" s="1723">
        <f>SUM(M13:X13)</f>
        <v/>
      </c>
      <c r="M13" s="1722" t="n">
        <v>24</v>
      </c>
      <c r="N13" s="1722" t="n">
        <v>24</v>
      </c>
      <c r="O13" s="1724" t="n">
        <v>27</v>
      </c>
      <c r="P13" s="1724" t="n">
        <v>17</v>
      </c>
      <c r="Q13" s="1724" t="n">
        <v>26</v>
      </c>
      <c r="R13" s="1724" t="n">
        <v>26</v>
      </c>
      <c r="S13" s="1724" t="n">
        <v>26</v>
      </c>
      <c r="T13" s="1724" t="n">
        <v>27</v>
      </c>
      <c r="U13" s="1724" t="n">
        <v>26</v>
      </c>
      <c r="V13" s="1724" t="n">
        <v>26</v>
      </c>
      <c r="W13" s="1724" t="n">
        <v>26</v>
      </c>
      <c r="X13" s="1724" t="n">
        <v>24</v>
      </c>
      <c r="Y13" s="260" t="n"/>
      <c r="Z13" s="260" t="n"/>
      <c r="AA13" s="260" t="n"/>
      <c r="AB13" s="260" t="n"/>
      <c r="AC13" s="260" t="n"/>
      <c r="AD13" s="260" t="n"/>
      <c r="AE13" s="260" t="n"/>
      <c r="AF13" s="260" t="n"/>
    </row>
    <row r="14">
      <c r="A14" s="260" t="n"/>
      <c r="B14" s="260" t="n"/>
      <c r="C14" s="260" t="n"/>
      <c r="D14" s="260" t="n"/>
      <c r="E14" s="260" t="n"/>
      <c r="F14" s="260" t="n"/>
      <c r="G14" s="260" t="n"/>
      <c r="H14" s="260" t="n"/>
      <c r="I14" s="260" t="n"/>
      <c r="J14" s="260" t="n"/>
      <c r="K14" s="260" t="n"/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0" t="n"/>
      <c r="Y14" s="260" t="n"/>
      <c r="Z14" s="260" t="n"/>
      <c r="AA14" s="260" t="n"/>
      <c r="AB14" s="260" t="n"/>
      <c r="AC14" s="260" t="n"/>
      <c r="AD14" s="260" t="n"/>
      <c r="AE14" s="260" t="n"/>
      <c r="AF14" s="260" t="n"/>
    </row>
    <row r="15">
      <c r="A15" s="260" t="inlineStr">
        <is>
          <t>หมายเหตุ:</t>
        </is>
      </c>
      <c r="B15" s="260" t="n"/>
      <c r="C15" s="260" t="n"/>
      <c r="D15" s="260" t="n"/>
      <c r="E15" s="260" t="n"/>
      <c r="F15" s="260" t="n"/>
      <c r="G15" s="260" t="n"/>
      <c r="H15" s="260" t="n"/>
      <c r="I15" s="260" t="n"/>
      <c r="J15" s="260" t="n"/>
      <c r="K15" s="260" t="n"/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0" t="n"/>
      <c r="Y15" s="260" t="n"/>
      <c r="Z15" s="260" t="n"/>
      <c r="AA15" s="260" t="n"/>
      <c r="AB15" s="260" t="n"/>
      <c r="AC15" s="260" t="n"/>
      <c r="AD15" s="260" t="n"/>
      <c r="AE15" s="260" t="n"/>
      <c r="AF15" s="260" t="n"/>
    </row>
    <row r="16">
      <c r="A16" s="260" t="n"/>
      <c r="B16" s="260" t="n"/>
      <c r="C16" s="260" t="n"/>
      <c r="D16" s="260" t="n"/>
      <c r="E16" s="260" t="n"/>
      <c r="F16" s="260" t="n"/>
      <c r="G16" s="260" t="n"/>
      <c r="H16" s="260" t="n"/>
      <c r="I16" s="260" t="n"/>
      <c r="J16" s="260" t="n"/>
      <c r="K16" s="260" t="n"/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0" t="n"/>
      <c r="Y16" s="260" t="n"/>
      <c r="Z16" s="260" t="n"/>
      <c r="AA16" s="260" t="n"/>
      <c r="AB16" s="260" t="n"/>
      <c r="AC16" s="260" t="n"/>
      <c r="AD16" s="260" t="n"/>
      <c r="AE16" s="260" t="n"/>
      <c r="AF16" s="260" t="n"/>
    </row>
    <row r="17">
      <c r="A17" s="260" t="n"/>
      <c r="B17" s="260" t="n"/>
      <c r="C17" s="260" t="n"/>
      <c r="D17" s="260" t="n"/>
      <c r="E17" s="260" t="n"/>
      <c r="F17" s="260" t="n"/>
      <c r="G17" s="260" t="n"/>
      <c r="H17" s="260" t="n"/>
      <c r="I17" s="260" t="n"/>
      <c r="J17" s="260" t="n"/>
      <c r="K17" s="260" t="n"/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0" t="n"/>
      <c r="Y17" s="260" t="n"/>
      <c r="Z17" s="260" t="n"/>
      <c r="AA17" s="260" t="n"/>
      <c r="AB17" s="260" t="n"/>
      <c r="AC17" s="260" t="n"/>
      <c r="AD17" s="260" t="n"/>
      <c r="AE17" s="260" t="n"/>
      <c r="AF17" s="260" t="n"/>
    </row>
    <row r="18">
      <c r="A18" s="260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  <c r="AA18" s="260" t="n"/>
      <c r="AB18" s="260" t="n"/>
      <c r="AC18" s="260" t="n"/>
      <c r="AD18" s="260" t="n"/>
      <c r="AE18" s="260" t="n"/>
      <c r="AF18" s="260" t="n"/>
    </row>
    <row r="19"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</row>
    <row r="20"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</row>
    <row r="24">
      <c r="E24" t="inlineStr">
        <is>
          <t xml:space="preserve">จาก บริษัท มัลติแบกซ์ จำกัด (มหาชน)  </t>
        </is>
      </c>
      <c r="J24" t="inlineStr">
        <is>
          <t>เซเว่นการเคหะแหลมฉบัง</t>
        </is>
      </c>
    </row>
    <row r="26">
      <c r="E26" t="inlineStr">
        <is>
          <t>ระยะทาง  6.5 กิโลเมตร</t>
        </is>
      </c>
    </row>
    <row r="28">
      <c r="E28" t="inlineStr">
        <is>
          <t>จำนวน 2 เที่ยว / วัน</t>
        </is>
      </c>
    </row>
    <row r="33">
      <c r="E33" t="inlineStr">
        <is>
          <t>จากเซเว่นการเคหะแหลมฉบัง</t>
        </is>
      </c>
      <c r="I33" t="inlineStr">
        <is>
          <t xml:space="preserve">บริษัท มัลติแบกซ์ จำกัด (มหาชน) </t>
        </is>
      </c>
    </row>
    <row r="35">
      <c r="E35" t="inlineStr">
        <is>
          <t>ระยะทาง 6.6 กิโลเมตร</t>
        </is>
      </c>
    </row>
    <row r="37">
      <c r="E37" t="inlineStr">
        <is>
          <t>จำนวน 2 เที่ยว / วัน</t>
        </is>
      </c>
    </row>
    <row r="43">
      <c r="E43" t="inlineStr">
        <is>
          <t>ปากซอยวัดวังหิน</t>
        </is>
      </c>
      <c r="H43" t="inlineStr">
        <is>
          <t xml:space="preserve">บริษัท มัลติแบกซ์ จำกัด (มหาชน) </t>
        </is>
      </c>
    </row>
    <row r="45">
      <c r="E45" t="inlineStr">
        <is>
          <t>ระยะทาง 14.9 กิโลเมตร</t>
        </is>
      </c>
    </row>
    <row r="47">
      <c r="E47" t="inlineStr">
        <is>
          <t>จำนวน 2 เที่ยว / วัน</t>
        </is>
      </c>
    </row>
    <row r="52">
      <c r="E52" t="inlineStr">
        <is>
          <t xml:space="preserve">บริษัท มัลติแบกซ์ จำกัด (มหาชน) </t>
        </is>
      </c>
      <c r="J52" t="inlineStr">
        <is>
          <t>ปากซอยวัดวังหิน</t>
        </is>
      </c>
    </row>
    <row r="54">
      <c r="E54" t="inlineStr">
        <is>
          <t>ระยะทาง 14.5 กิโลเมตร</t>
        </is>
      </c>
    </row>
    <row r="56">
      <c r="E56" t="inlineStr">
        <is>
          <t>จำนวน 2 เที่ยว / วัน</t>
        </is>
      </c>
    </row>
    <row r="62">
      <c r="E62" t="inlineStr">
        <is>
          <t xml:space="preserve">บริษัท มัลติแบกซ์ จำกัด (มหาชน) </t>
        </is>
      </c>
      <c r="J62" t="inlineStr">
        <is>
          <t>แยกกระทิงราย ต.บางละมุง อ.บางละมุง</t>
        </is>
      </c>
    </row>
    <row r="64">
      <c r="E64" t="inlineStr">
        <is>
          <t>ระยะทาง 12.4 กิโลเมตร</t>
        </is>
      </c>
    </row>
    <row r="66">
      <c r="E66" t="inlineStr">
        <is>
          <t>จำนวน 2 เที่ยว / วัน</t>
        </is>
      </c>
    </row>
    <row r="71">
      <c r="E71" t="inlineStr">
        <is>
          <t>แยกกระทิงราย ต.บางละมุง อ.บางละมุง</t>
        </is>
      </c>
      <c r="J71" t="inlineStr">
        <is>
          <t xml:space="preserve">บริษัท มัลติแบกซ์ จำกัด (มหาชน) </t>
        </is>
      </c>
    </row>
    <row r="73">
      <c r="E73" t="inlineStr">
        <is>
          <t>ระยะทาง 12.5 กิโลเมตร</t>
        </is>
      </c>
    </row>
    <row r="75">
      <c r="E75" t="inlineStr">
        <is>
          <t>จำนวน 2 เที่ยว / วัน</t>
        </is>
      </c>
    </row>
  </sheetData>
  <mergeCells count="84">
    <mergeCell ref="J9:J10"/>
    <mergeCell ref="M7:M8"/>
    <mergeCell ref="J11:J12"/>
    <mergeCell ref="B12:C12"/>
    <mergeCell ref="L5:L6"/>
    <mergeCell ref="N5:N6"/>
    <mergeCell ref="A2:A3"/>
    <mergeCell ref="P7:P8"/>
    <mergeCell ref="E2:E3"/>
    <mergeCell ref="B13:C13"/>
    <mergeCell ref="W11:W12"/>
    <mergeCell ref="T11:T12"/>
    <mergeCell ref="T7:T8"/>
    <mergeCell ref="Q11:Q12"/>
    <mergeCell ref="V7:V8"/>
    <mergeCell ref="K9:K10"/>
    <mergeCell ref="M9:M10"/>
    <mergeCell ref="O9:O10"/>
    <mergeCell ref="M2:X2"/>
    <mergeCell ref="O5:O6"/>
    <mergeCell ref="Q5:Q6"/>
    <mergeCell ref="P9:P10"/>
    <mergeCell ref="S7:S8"/>
    <mergeCell ref="H2:H3"/>
    <mergeCell ref="P11:P12"/>
    <mergeCell ref="U7:U8"/>
    <mergeCell ref="T9:T10"/>
    <mergeCell ref="W7:W8"/>
    <mergeCell ref="V9:V10"/>
    <mergeCell ref="B11:C11"/>
    <mergeCell ref="V11:V12"/>
    <mergeCell ref="X5:X6"/>
    <mergeCell ref="K2:K3"/>
    <mergeCell ref="B6:C6"/>
    <mergeCell ref="U9:U10"/>
    <mergeCell ref="L7:L8"/>
    <mergeCell ref="N7:N8"/>
    <mergeCell ref="K5:K6"/>
    <mergeCell ref="M5:M6"/>
    <mergeCell ref="S11:S12"/>
    <mergeCell ref="E5:E6"/>
    <mergeCell ref="U11:U12"/>
    <mergeCell ref="W5:W6"/>
    <mergeCell ref="B7:C7"/>
    <mergeCell ref="M11:M12"/>
    <mergeCell ref="R7:R8"/>
    <mergeCell ref="D2:D3"/>
    <mergeCell ref="K11:K12"/>
    <mergeCell ref="F2:G2"/>
    <mergeCell ref="L9:L10"/>
    <mergeCell ref="N9:N10"/>
    <mergeCell ref="O11:O12"/>
    <mergeCell ref="X9:X10"/>
    <mergeCell ref="E7:E8"/>
    <mergeCell ref="B9:C9"/>
    <mergeCell ref="O7:O8"/>
    <mergeCell ref="L11:L12"/>
    <mergeCell ref="Q7:Q8"/>
    <mergeCell ref="N11:N12"/>
    <mergeCell ref="P5:P6"/>
    <mergeCell ref="R9:R10"/>
    <mergeCell ref="R5:R6"/>
    <mergeCell ref="J5:J6"/>
    <mergeCell ref="B5:C5"/>
    <mergeCell ref="R11:R12"/>
    <mergeCell ref="T5:T6"/>
    <mergeCell ref="V5:V6"/>
    <mergeCell ref="I2:I3"/>
    <mergeCell ref="X7:X8"/>
    <mergeCell ref="E9:E10"/>
    <mergeCell ref="Q9:Q10"/>
    <mergeCell ref="S9:S10"/>
    <mergeCell ref="E11:E12"/>
    <mergeCell ref="J7:J8"/>
    <mergeCell ref="B8:C8"/>
    <mergeCell ref="S5:S6"/>
    <mergeCell ref="U5:U6"/>
    <mergeCell ref="W9:W10"/>
    <mergeCell ref="B10:C10"/>
    <mergeCell ref="K7:K8"/>
    <mergeCell ref="J2:J3"/>
    <mergeCell ref="L2:L3"/>
    <mergeCell ref="B2:C3"/>
    <mergeCell ref="X11:X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Z72"/>
  <sheetViews>
    <sheetView zoomScale="70" zoomScaleNormal="70" workbookViewId="0">
      <selection activeCell="H26" sqref="H26"/>
    </sheetView>
  </sheetViews>
  <sheetFormatPr baseColWidth="8" defaultColWidth="14.3984375" defaultRowHeight="15" customHeight="1"/>
  <cols>
    <col width="36.19921875" customWidth="1" style="228" min="1" max="1"/>
    <col width="20.69921875" customWidth="1" style="228" min="2" max="2"/>
    <col width="23.296875" customWidth="1" style="228" min="3" max="3"/>
    <col width="21.19921875" customWidth="1" style="228" min="4" max="4"/>
    <col width="37.8984375" customWidth="1" style="228" min="5" max="5"/>
    <col width="21.09765625" customWidth="1" style="228" min="6" max="8"/>
    <col width="13.796875" customWidth="1" style="228" min="9" max="14"/>
    <col width="21.296875" customWidth="1" style="228" min="15" max="15"/>
    <col width="8.796875" customWidth="1" style="228" min="16" max="26"/>
    <col width="14.3984375" customWidth="1" style="228" min="27" max="16384"/>
  </cols>
  <sheetData>
    <row r="2" ht="17.4" customHeight="1">
      <c r="A2" s="1701" t="inlineStr">
        <is>
          <t>รายการวัตถุดิบที่ใช้</t>
        </is>
      </c>
      <c r="B2" s="364" t="inlineStr">
        <is>
          <t>หลักฐานอ้างอิง</t>
        </is>
      </c>
      <c r="C2" s="364" t="inlineStr">
        <is>
          <t xml:space="preserve">หน่วย </t>
        </is>
      </c>
      <c r="D2" s="364" t="inlineStr">
        <is>
          <t>TOTAL</t>
        </is>
      </c>
      <c r="E2" s="1725" t="inlineStr">
        <is>
          <t>ชื่อผู้ขาย</t>
        </is>
      </c>
      <c r="F2" s="1329" t="inlineStr">
        <is>
          <t>ระยะทาง ท่าเรือ -  MBAX/ผู้ผลิต-MBAX (km)</t>
        </is>
      </c>
      <c r="G2" s="1329" t="inlineStr">
        <is>
          <t>ประเภทรถ</t>
        </is>
      </c>
      <c r="H2" s="1329" t="inlineStr">
        <is>
          <t>ระยะทาง ท่าเรือ-ท่าเรือ (km)</t>
        </is>
      </c>
      <c r="I2" s="1375" t="inlineStr">
        <is>
          <t>รถตู้บรรทุก 10 ล้อ</t>
        </is>
      </c>
      <c r="J2" s="1416" t="n"/>
      <c r="K2" s="1375" t="inlineStr">
        <is>
          <t>รถตุ้บรรทุก 6 ล้อ ขนาดใหญ่</t>
        </is>
      </c>
      <c r="L2" s="1416" t="n"/>
      <c r="M2" s="1375" t="inlineStr">
        <is>
          <t>รถตู้บรรทุก 4 ล้อ</t>
        </is>
      </c>
      <c r="N2" s="1416" t="n"/>
      <c r="O2" s="1375" t="inlineStr">
        <is>
          <t>เรือบรรทุก Container</t>
        </is>
      </c>
    </row>
    <row r="3" ht="17.4" customHeight="1">
      <c r="A3" s="1726" t="n"/>
      <c r="B3" s="1726" t="n"/>
      <c r="C3" s="1726" t="n"/>
      <c r="D3" s="364" t="inlineStr">
        <is>
          <t>รวมทั้งสิ้น</t>
        </is>
      </c>
      <c r="E3" s="1727" t="n"/>
      <c r="F3" s="1412" t="n"/>
      <c r="G3" s="1412" t="n"/>
      <c r="H3" s="1412" t="n"/>
      <c r="I3" s="1324" t="inlineStr">
        <is>
          <t>tkm</t>
        </is>
      </c>
      <c r="J3" s="1324" t="inlineStr">
        <is>
          <t>km</t>
        </is>
      </c>
      <c r="K3" s="1324" t="inlineStr">
        <is>
          <t>tkm</t>
        </is>
      </c>
      <c r="L3" s="1324" t="inlineStr">
        <is>
          <t>km</t>
        </is>
      </c>
      <c r="M3" s="1324" t="inlineStr">
        <is>
          <t>tkm</t>
        </is>
      </c>
      <c r="N3" s="1324" t="inlineStr">
        <is>
          <t>km</t>
        </is>
      </c>
      <c r="O3" s="1324" t="inlineStr">
        <is>
          <t>tkm</t>
        </is>
      </c>
    </row>
    <row r="4" ht="22.2" customHeight="1">
      <c r="A4" s="1641" t="n"/>
      <c r="B4" s="1641" t="n"/>
      <c r="C4" s="1641" t="n"/>
      <c r="D4" s="1641" t="n"/>
      <c r="E4" s="1728" t="n"/>
      <c r="F4" s="1417" t="n"/>
      <c r="G4" s="1417" t="n"/>
      <c r="H4" s="1417" t="n"/>
      <c r="I4" s="1729">
        <f>SUM(I5:I20)</f>
        <v/>
      </c>
      <c r="J4" s="1729">
        <f>SUM(J5:J20)</f>
        <v/>
      </c>
      <c r="K4" s="1729">
        <f>SUM(K5:K20)</f>
        <v/>
      </c>
      <c r="L4" s="1729">
        <f>SUM(L5:L20)</f>
        <v/>
      </c>
      <c r="M4" s="1729">
        <f>SUM(M5:M20)</f>
        <v/>
      </c>
      <c r="N4" s="1729">
        <f>SUM(N5:N20)</f>
        <v/>
      </c>
      <c r="O4" s="1729">
        <f>SUM(O5:O20)</f>
        <v/>
      </c>
    </row>
    <row r="5" ht="15" customHeight="1">
      <c r="A5" s="358" t="inlineStr">
        <is>
          <t>วัตถุดิบชนิด : LDPE</t>
        </is>
      </c>
      <c r="B5" s="358" t="inlineStr">
        <is>
          <t>ใบสั่งซื้อ/ใบกำกับภาษี</t>
        </is>
      </c>
      <c r="C5" s="308" t="inlineStr">
        <is>
          <t>Kg</t>
        </is>
      </c>
      <c r="D5" s="1646">
        <f>'[2]CAT 1-วัตถุดิบผลิต'!F5</f>
        <v/>
      </c>
      <c r="E5" s="404" t="inlineStr">
        <is>
          <t>BOROUGE PTE LTD.</t>
        </is>
      </c>
      <c r="F5" s="1730">
        <f>$F$64</f>
        <v/>
      </c>
      <c r="G5" s="1397">
        <f>$D$27</f>
        <v/>
      </c>
      <c r="H5" s="1731">
        <f>$B$64</f>
        <v/>
      </c>
      <c r="I5" s="1731">
        <f>F5*D5/1000</f>
        <v/>
      </c>
      <c r="J5" s="1732">
        <f>I5/16</f>
        <v/>
      </c>
      <c r="K5" s="258" t="n"/>
      <c r="L5" s="258" t="n"/>
      <c r="M5" s="258" t="n"/>
      <c r="N5" s="258" t="n"/>
      <c r="O5" s="1731">
        <f>H5*D5/1000</f>
        <v/>
      </c>
    </row>
    <row r="6" ht="15" customHeight="1">
      <c r="A6" s="358" t="inlineStr">
        <is>
          <t>วัตถุดิบชนิด : LDPE</t>
        </is>
      </c>
      <c r="B6" s="358" t="inlineStr">
        <is>
          <t>ใบสั่งซื้อ/ใบกำกับภาษี</t>
        </is>
      </c>
      <c r="C6" s="308" t="inlineStr">
        <is>
          <t>Kg</t>
        </is>
      </c>
      <c r="D6" s="1646">
        <f>'[2]CAT 1-วัตถุดิบผลิต'!F6</f>
        <v/>
      </c>
      <c r="E6" s="408" t="inlineStr">
        <is>
          <t>บริษัท พีทีที โกลบอล เคมิคอล จำกัด (มหาชน)</t>
        </is>
      </c>
      <c r="F6" s="409">
        <f>$B$27</f>
        <v/>
      </c>
      <c r="G6" s="1397">
        <f>$D$27</f>
        <v/>
      </c>
      <c r="H6" s="1731" t="n"/>
      <c r="I6" s="1731">
        <f>F6*D6/1000</f>
        <v/>
      </c>
      <c r="J6" s="1732">
        <f>I6/16</f>
        <v/>
      </c>
      <c r="K6" s="258" t="n"/>
      <c r="L6" s="258" t="n"/>
      <c r="M6" s="258" t="n"/>
      <c r="N6" s="258" t="n"/>
      <c r="O6" s="258" t="n"/>
    </row>
    <row r="7" ht="15" customHeight="1">
      <c r="A7" s="358" t="inlineStr">
        <is>
          <t>วัตถุดิบชนิด : LLDPE</t>
        </is>
      </c>
      <c r="B7" s="358" t="inlineStr">
        <is>
          <t>ใบสั่งซื้อ/ใบกำกับภาษี</t>
        </is>
      </c>
      <c r="C7" s="308" t="inlineStr">
        <is>
          <t>Kg</t>
        </is>
      </c>
      <c r="D7" s="1646">
        <f>'[2]CAT 1-วัตถุดิบผลิต'!F8</f>
        <v/>
      </c>
      <c r="E7" s="410" t="inlineStr">
        <is>
          <t>BOROUGE PTE LTD.</t>
        </is>
      </c>
      <c r="F7" s="1730">
        <f>$F$64</f>
        <v/>
      </c>
      <c r="G7" s="1397">
        <f>$D$27</f>
        <v/>
      </c>
      <c r="H7" s="1731">
        <f>$B$64</f>
        <v/>
      </c>
      <c r="I7" s="1731">
        <f>F7*D7/1000</f>
        <v/>
      </c>
      <c r="J7" s="1732">
        <f>I7/16</f>
        <v/>
      </c>
      <c r="K7" s="258" t="n"/>
      <c r="L7" s="258" t="n"/>
      <c r="M7" s="258" t="n"/>
      <c r="N7" s="258" t="n"/>
      <c r="O7" s="1731">
        <f>H7*D7/1000</f>
        <v/>
      </c>
    </row>
    <row r="8" ht="15" customHeight="1">
      <c r="A8" s="358" t="inlineStr">
        <is>
          <t>วัตถุดิบชนิด : LLDPE</t>
        </is>
      </c>
      <c r="B8" s="358" t="inlineStr">
        <is>
          <t>ใบสั่งซื้อ/ใบกำกับภาษี</t>
        </is>
      </c>
      <c r="C8" s="308" t="inlineStr">
        <is>
          <t>Kg</t>
        </is>
      </c>
      <c r="D8" s="1646">
        <f>'[2]CAT 1-วัตถุดิบผลิต'!F9</f>
        <v/>
      </c>
      <c r="E8" s="410" t="inlineStr">
        <is>
          <t>EQUATE Petrochemical Company K.S.C.C.</t>
        </is>
      </c>
      <c r="F8" s="1733">
        <f>$F$65</f>
        <v/>
      </c>
      <c r="G8" s="1397">
        <f>$D$27</f>
        <v/>
      </c>
      <c r="H8" s="1731">
        <f>$B$65</f>
        <v/>
      </c>
      <c r="I8" s="1731">
        <f>F8*D8/1000</f>
        <v/>
      </c>
      <c r="J8" s="1732">
        <f>I8/16</f>
        <v/>
      </c>
      <c r="K8" s="258" t="n"/>
      <c r="L8" s="258" t="n"/>
      <c r="M8" s="258" t="n"/>
      <c r="N8" s="258" t="n"/>
      <c r="O8" s="1731">
        <f>H8*D8/1000</f>
        <v/>
      </c>
    </row>
    <row r="9" ht="15" customHeight="1">
      <c r="A9" s="358" t="inlineStr">
        <is>
          <t>วัตถุดิบชนิด : LLDPE</t>
        </is>
      </c>
      <c r="B9" s="358" t="inlineStr">
        <is>
          <t>ใบสั่งซื้อ/ใบกำกับภาษี</t>
        </is>
      </c>
      <c r="C9" s="308" t="inlineStr">
        <is>
          <t>Kg</t>
        </is>
      </c>
      <c r="D9" s="1646">
        <f>'[2]CAT 1-วัตถุดิบผลิต'!F10</f>
        <v/>
      </c>
      <c r="E9" s="410" t="inlineStr">
        <is>
          <t>บริษัท ไทยโพลิเอททีลีน จำกัด</t>
        </is>
      </c>
      <c r="F9" s="1734">
        <f>$B$28</f>
        <v/>
      </c>
      <c r="G9" s="1397">
        <f>$D$28</f>
        <v/>
      </c>
      <c r="H9" s="258" t="n"/>
      <c r="I9" s="1731">
        <f>F9*D9/1000</f>
        <v/>
      </c>
      <c r="J9" s="1732">
        <f>I9/16</f>
        <v/>
      </c>
      <c r="K9" s="258" t="n"/>
      <c r="L9" s="258" t="n"/>
      <c r="M9" s="258" t="n"/>
      <c r="N9" s="258" t="n"/>
      <c r="O9" s="258" t="n"/>
    </row>
    <row r="10" ht="15" customHeight="1">
      <c r="A10" s="358" t="inlineStr">
        <is>
          <t>วัตถุดิบชนิด : LLDPE</t>
        </is>
      </c>
      <c r="B10" s="358" t="inlineStr">
        <is>
          <t>ใบสั่งซื้อ/ใบกำกับภาษี</t>
        </is>
      </c>
      <c r="C10" s="308" t="inlineStr">
        <is>
          <t>Kg</t>
        </is>
      </c>
      <c r="D10" s="1646">
        <f>'[2]CAT 1-วัตถุดิบผลิต'!F11</f>
        <v/>
      </c>
      <c r="E10" s="410" t="inlineStr">
        <is>
          <t>บริษัท พีทีที โกลบอล เคมิคอล จำกัด (มหาชน)</t>
        </is>
      </c>
      <c r="F10" s="1735">
        <f>$B$27</f>
        <v/>
      </c>
      <c r="G10" s="1397">
        <f>$D$27</f>
        <v/>
      </c>
      <c r="H10" s="1731" t="n"/>
      <c r="I10" s="1731">
        <f>F10*D10/1000</f>
        <v/>
      </c>
      <c r="J10" s="1732">
        <f>I10/16</f>
        <v/>
      </c>
      <c r="K10" s="258" t="n"/>
      <c r="L10" s="258" t="n"/>
      <c r="M10" s="258" t="n"/>
      <c r="N10" s="258" t="n"/>
      <c r="O10" s="258" t="n"/>
    </row>
    <row r="11" ht="15" customHeight="1">
      <c r="A11" s="358" t="inlineStr">
        <is>
          <t>วัตถุดิบชนิด : HDPE</t>
        </is>
      </c>
      <c r="B11" s="358" t="inlineStr">
        <is>
          <t>ใบสั่งซื้อ/ใบกำกับภาษี</t>
        </is>
      </c>
      <c r="C11" s="308" t="inlineStr">
        <is>
          <t>Kg</t>
        </is>
      </c>
      <c r="D11" s="1646">
        <f>'[2]CAT 1-วัตถุดิบผลิต'!F13</f>
        <v/>
      </c>
      <c r="E11" s="410" t="inlineStr">
        <is>
          <t>EQUATE Petrochemical Company K.S.C.C.</t>
        </is>
      </c>
      <c r="F11" s="1733">
        <f>$F$65</f>
        <v/>
      </c>
      <c r="G11" s="1397">
        <f>$D$27</f>
        <v/>
      </c>
      <c r="H11" s="1731">
        <f>$B$65</f>
        <v/>
      </c>
      <c r="I11" s="1731">
        <f>F11*D11/1000</f>
        <v/>
      </c>
      <c r="J11" s="1732">
        <f>I11/16</f>
        <v/>
      </c>
      <c r="K11" s="258" t="n"/>
      <c r="L11" s="258" t="n"/>
      <c r="M11" s="258" t="n"/>
      <c r="N11" s="258" t="n"/>
      <c r="O11" s="1731">
        <f>H11*D11/1000</f>
        <v/>
      </c>
    </row>
    <row r="12" ht="15" customHeight="1">
      <c r="A12" s="358" t="inlineStr">
        <is>
          <t>วัตถุดิบชนิด : HDPE</t>
        </is>
      </c>
      <c r="B12" s="358" t="inlineStr">
        <is>
          <t>ใบสั่งซื้อ/ใบกำกับภาษี</t>
        </is>
      </c>
      <c r="C12" s="308" t="inlineStr">
        <is>
          <t>Kg</t>
        </is>
      </c>
      <c r="D12" s="1646">
        <f>'[2]CAT 1-วัตถุดิบผลิต'!F14</f>
        <v/>
      </c>
      <c r="E12" s="410" t="inlineStr">
        <is>
          <t>บริษัท ไทยโพลิเอททีลีน จำกัด</t>
        </is>
      </c>
      <c r="F12" s="1736">
        <f>$B$28</f>
        <v/>
      </c>
      <c r="G12" s="1397">
        <f>$D$28</f>
        <v/>
      </c>
      <c r="H12" s="258" t="n"/>
      <c r="I12" s="1731">
        <f>F12*D12/1000</f>
        <v/>
      </c>
      <c r="J12" s="1732">
        <f>I12/16</f>
        <v/>
      </c>
      <c r="K12" s="258" t="n"/>
      <c r="L12" s="258" t="n"/>
      <c r="M12" s="258" t="n"/>
      <c r="N12" s="258" t="n"/>
      <c r="O12" s="258" t="n"/>
    </row>
    <row r="13" ht="15" customHeight="1">
      <c r="A13" s="358">
        <f>'Scope 3.1.1 วัตถุดิบผลิต'!A79</f>
        <v/>
      </c>
      <c r="B13" s="358" t="inlineStr">
        <is>
          <t>ใบสั่งซื้อ/ใบกำกับภาษี</t>
        </is>
      </c>
      <c r="C13" s="308" t="inlineStr">
        <is>
          <t>Kg</t>
        </is>
      </c>
      <c r="D13" s="1646">
        <f>'Scope 3.1.1 วัตถุดิบผลิต'!F79</f>
        <v/>
      </c>
      <c r="E13" s="410">
        <f>'Scope 3.1.1 วัตถุดิบผลิต'!G79</f>
        <v/>
      </c>
      <c r="F13" s="1735">
        <f>B39</f>
        <v/>
      </c>
      <c r="G13" s="1397">
        <f>D39</f>
        <v/>
      </c>
      <c r="H13" s="258" t="n"/>
      <c r="I13" s="258" t="n"/>
      <c r="J13" s="258" t="n"/>
      <c r="K13" s="1731">
        <f>F13*D13/1000</f>
        <v/>
      </c>
      <c r="L13" s="1732">
        <f>K13/11</f>
        <v/>
      </c>
      <c r="M13" s="1731" t="n"/>
      <c r="N13" s="1732" t="n"/>
      <c r="O13" s="258" t="n"/>
    </row>
    <row r="14" ht="15" customHeight="1">
      <c r="A14" s="358">
        <f>'Scope 3.1.1 วัตถุดิบผลิต'!A80</f>
        <v/>
      </c>
      <c r="B14" s="358" t="inlineStr">
        <is>
          <t>ใบสั่งซื้อ/ใบกำกับภาษี</t>
        </is>
      </c>
      <c r="C14" s="308" t="inlineStr">
        <is>
          <t>Kg</t>
        </is>
      </c>
      <c r="D14" s="1646">
        <f>'Scope 3.1.1 วัตถุดิบผลิต'!F80</f>
        <v/>
      </c>
      <c r="E14" s="410">
        <f>'Scope 3.1.1 วัตถุดิบผลิต'!G80</f>
        <v/>
      </c>
      <c r="F14" s="1735">
        <f>B45</f>
        <v/>
      </c>
      <c r="G14" s="1397">
        <f>D45</f>
        <v/>
      </c>
      <c r="H14" s="258" t="n"/>
      <c r="I14" s="258" t="n"/>
      <c r="J14" s="258" t="n"/>
      <c r="K14" s="1731" t="n"/>
      <c r="L14" s="1732" t="n"/>
      <c r="M14" s="1731">
        <f>F14*D14/1000</f>
        <v/>
      </c>
      <c r="N14" s="1732">
        <f>M14/7</f>
        <v/>
      </c>
      <c r="O14" s="258" t="n"/>
    </row>
    <row r="15" ht="15" customHeight="1">
      <c r="A15" s="358">
        <f>'Scope 3.1.1 วัตถุดิบผลิต'!A81</f>
        <v/>
      </c>
      <c r="B15" s="358" t="inlineStr">
        <is>
          <t>ใบสั่งซื้อ/ใบกำกับภาษี</t>
        </is>
      </c>
      <c r="C15" s="308" t="inlineStr">
        <is>
          <t>Kg</t>
        </is>
      </c>
      <c r="D15" s="1646">
        <f>'Scope 3.1.1 วัตถุดิบผลิต'!F81</f>
        <v/>
      </c>
      <c r="E15" s="410">
        <f>'Scope 3.1.1 วัตถุดิบผลิต'!G81</f>
        <v/>
      </c>
      <c r="F15" s="1735">
        <f>B38</f>
        <v/>
      </c>
      <c r="G15" s="1397">
        <f>D38</f>
        <v/>
      </c>
      <c r="H15" s="258" t="n"/>
      <c r="I15" s="258" t="n"/>
      <c r="J15" s="258" t="n"/>
      <c r="K15" s="1731">
        <f>F15*D15/1000</f>
        <v/>
      </c>
      <c r="L15" s="1732">
        <f>K15/11</f>
        <v/>
      </c>
      <c r="M15" s="1731" t="n"/>
      <c r="N15" s="1732" t="n"/>
      <c r="O15" s="258" t="n"/>
    </row>
    <row r="16" ht="15" customHeight="1">
      <c r="A16" s="358">
        <f>'Scope 3.1.1 วัตถุดิบผลิต'!A82</f>
        <v/>
      </c>
      <c r="B16" s="358" t="inlineStr">
        <is>
          <t>ใบสั่งซื้อ/ใบกำกับภาษี</t>
        </is>
      </c>
      <c r="C16" s="308" t="inlineStr">
        <is>
          <t>Kg</t>
        </is>
      </c>
      <c r="D16" s="1646">
        <f>'Scope 3.1.1 วัตถุดิบผลิต'!F82</f>
        <v/>
      </c>
      <c r="E16" s="410">
        <f>'Scope 3.1.1 วัตถุดิบผลิต'!G82</f>
        <v/>
      </c>
      <c r="F16" s="1735">
        <f>B39</f>
        <v/>
      </c>
      <c r="G16" s="1397">
        <f>D39</f>
        <v/>
      </c>
      <c r="H16" s="258" t="n"/>
      <c r="I16" s="258" t="n"/>
      <c r="J16" s="258" t="n"/>
      <c r="K16" s="1731">
        <f>F16*D16/1000</f>
        <v/>
      </c>
      <c r="L16" s="1732">
        <f>K16/11</f>
        <v/>
      </c>
      <c r="M16" s="258" t="n"/>
      <c r="N16" s="258" t="n"/>
      <c r="O16" s="258" t="n"/>
    </row>
    <row r="17" ht="15" customHeight="1">
      <c r="A17" s="358">
        <f>'Scope 3.1.1 วัตถุดิบผลิต'!A83</f>
        <v/>
      </c>
      <c r="B17" s="358" t="inlineStr">
        <is>
          <t>ใบสั่งซื้อ/ใบกำกับภาษี</t>
        </is>
      </c>
      <c r="C17" s="308" t="inlineStr">
        <is>
          <t>Kg</t>
        </is>
      </c>
      <c r="D17" s="1646">
        <f>'Scope 3.1.1 วัตถุดิบผลิต'!F83</f>
        <v/>
      </c>
      <c r="E17" s="410">
        <f>'Scope 3.1.1 วัตถุดิบผลิต'!G83</f>
        <v/>
      </c>
      <c r="F17" s="1735">
        <f>B40</f>
        <v/>
      </c>
      <c r="G17" s="1397">
        <f>D40</f>
        <v/>
      </c>
      <c r="H17" s="258" t="n"/>
      <c r="I17" s="258" t="n"/>
      <c r="J17" s="258" t="n"/>
      <c r="K17" s="1731">
        <f>F17*D17/1000</f>
        <v/>
      </c>
      <c r="L17" s="1732">
        <f>K17/11</f>
        <v/>
      </c>
      <c r="M17" s="258" t="n"/>
      <c r="N17" s="258" t="n"/>
      <c r="O17" s="258" t="n"/>
    </row>
    <row r="18" ht="15" customHeight="1">
      <c r="A18" s="358">
        <f>'Scope 3.1.1 วัตถุดิบผลิต'!A84</f>
        <v/>
      </c>
      <c r="B18" s="358" t="inlineStr">
        <is>
          <t>ใบสั่งซื้อ/ใบกำกับภาษี</t>
        </is>
      </c>
      <c r="C18" s="308" t="inlineStr">
        <is>
          <t>Kg</t>
        </is>
      </c>
      <c r="D18" s="1646">
        <f>'Scope 3.1.1 วัตถุดิบผลิต'!F84</f>
        <v/>
      </c>
      <c r="E18" s="410">
        <f>'Scope 3.1.1 วัตถุดิบผลิต'!G84</f>
        <v/>
      </c>
      <c r="F18" s="1735">
        <f>B41</f>
        <v/>
      </c>
      <c r="G18" s="1397">
        <f>D41</f>
        <v/>
      </c>
      <c r="H18" s="258" t="n"/>
      <c r="I18" s="258" t="n"/>
      <c r="J18" s="258" t="n"/>
      <c r="K18" s="1731">
        <f>F18*D18/1000</f>
        <v/>
      </c>
      <c r="L18" s="1732">
        <f>K18/11</f>
        <v/>
      </c>
      <c r="M18" s="258" t="n"/>
      <c r="N18" s="258" t="n"/>
      <c r="O18" s="258" t="n"/>
    </row>
    <row r="19" ht="15" customHeight="1">
      <c r="A19" s="358">
        <f>'Scope 3.1.1 วัตถุดิบผลิต'!A85</f>
        <v/>
      </c>
      <c r="B19" s="358" t="inlineStr">
        <is>
          <t>ใบสั่งซื้อ/ใบกำกับภาษี</t>
        </is>
      </c>
      <c r="C19" s="308" t="inlineStr">
        <is>
          <t>Kg</t>
        </is>
      </c>
      <c r="D19" s="1646">
        <f>'Scope 3.1.1 วัตถุดิบผลิต'!F85</f>
        <v/>
      </c>
      <c r="E19" s="410">
        <f>'Scope 3.1.1 วัตถุดิบผลิต'!G85</f>
        <v/>
      </c>
      <c r="F19" s="1735">
        <f>B43</f>
        <v/>
      </c>
      <c r="G19" s="1397">
        <f>D43</f>
        <v/>
      </c>
      <c r="H19" s="258" t="n"/>
      <c r="I19" s="258" t="n"/>
      <c r="J19" s="258" t="n"/>
      <c r="K19" s="1731">
        <f>F19*D19/1000</f>
        <v/>
      </c>
      <c r="L19" s="1732">
        <f>K19/11</f>
        <v/>
      </c>
      <c r="M19" s="258" t="n"/>
      <c r="N19" s="258" t="n"/>
      <c r="O19" s="258" t="n"/>
    </row>
    <row r="20" ht="15" customHeight="1">
      <c r="A20" s="358">
        <f>'Scope 3.1.1 วัตถุดิบผลิต'!A86</f>
        <v/>
      </c>
      <c r="B20" s="358" t="inlineStr">
        <is>
          <t>ใบสั่งซื้อ/ใบกำกับภาษี</t>
        </is>
      </c>
      <c r="C20" s="308" t="inlineStr">
        <is>
          <t>Kg</t>
        </is>
      </c>
      <c r="D20" s="1646">
        <f>'Scope 3.1.1 วัตถุดิบผลิต'!F86</f>
        <v/>
      </c>
      <c r="E20" s="410">
        <f>'Scope 3.1.1 วัตถุดิบผลิต'!G86</f>
        <v/>
      </c>
      <c r="F20" s="1735">
        <f>B46</f>
        <v/>
      </c>
      <c r="G20" s="1397">
        <f>D46</f>
        <v/>
      </c>
      <c r="H20" s="258" t="n"/>
      <c r="I20" s="258" t="n"/>
      <c r="J20" s="258" t="n"/>
      <c r="K20" s="1731">
        <f>F20*D20/1000</f>
        <v/>
      </c>
      <c r="L20" s="1732">
        <f>K20/11</f>
        <v/>
      </c>
      <c r="M20" s="1731" t="n"/>
      <c r="N20" s="1732" t="n"/>
      <c r="O20" s="258" t="n"/>
    </row>
    <row r="23" ht="26.4" customHeight="1">
      <c r="A23" s="415" t="inlineStr">
        <is>
          <t>รายการขนส่งจากผู้ผลิตวัตถุดิบ ในประเทศ</t>
        </is>
      </c>
    </row>
    <row r="24" ht="17.4" customHeight="1">
      <c r="A24" s="1691" t="inlineStr">
        <is>
          <t>ตำแหน่งที่ตั้งผู้ผลิตวัตถุดิบ</t>
        </is>
      </c>
      <c r="B24" s="1691" t="inlineStr">
        <is>
          <t>ระยะทางจากผู้ผลิตมายังโรงงาน</t>
        </is>
      </c>
      <c r="C24" s="1691" t="inlineStr">
        <is>
          <t>หน่วย</t>
        </is>
      </c>
      <c r="D24" s="1691" t="inlineStr">
        <is>
          <t>ประเภทรถ</t>
        </is>
      </c>
      <c r="E24" s="1691" t="inlineStr">
        <is>
          <t>ภาระบรรทุกขามาส่งของที่โรงงาน (%)</t>
        </is>
      </c>
      <c r="F24" s="1691" t="inlineStr">
        <is>
          <t>ภาระบรรทุกขากลับออกจากโรงงาน (%)</t>
        </is>
      </c>
      <c r="G24" s="1691" t="inlineStr">
        <is>
          <t>หลักฐาน</t>
        </is>
      </c>
      <c r="H24" s="416" t="n"/>
      <c r="I24" s="416" t="n"/>
      <c r="J24" s="416" t="n"/>
      <c r="K24" s="416" t="n"/>
      <c r="L24" s="416" t="n"/>
      <c r="M24" s="416" t="n"/>
      <c r="N24" s="416" t="n"/>
      <c r="O24" s="416" t="n"/>
      <c r="P24" s="416" t="n"/>
      <c r="Q24" s="416" t="n"/>
      <c r="R24" s="416" t="n"/>
      <c r="S24" s="416" t="n"/>
      <c r="T24" s="416" t="n"/>
      <c r="U24" s="416" t="n"/>
      <c r="V24" s="416" t="n"/>
      <c r="W24" s="416" t="n"/>
      <c r="X24" s="416" t="n"/>
      <c r="Y24" s="416" t="n"/>
      <c r="Z24" s="416" t="n"/>
    </row>
    <row r="25" ht="17.4" customHeight="1">
      <c r="A25" s="1641" t="n"/>
      <c r="B25" s="1641" t="n"/>
      <c r="C25" s="1641" t="n"/>
      <c r="D25" s="1641" t="n"/>
      <c r="E25" s="1641" t="n"/>
      <c r="F25" s="1641" t="n"/>
      <c r="G25" s="1641" t="n"/>
      <c r="H25" s="416" t="n"/>
      <c r="I25" s="416" t="n"/>
      <c r="J25" s="416" t="n"/>
      <c r="K25" s="416" t="n"/>
      <c r="L25" s="416" t="n"/>
      <c r="M25" s="416" t="n"/>
      <c r="N25" s="416" t="n"/>
      <c r="O25" s="416" t="n"/>
      <c r="P25" s="416" t="n"/>
      <c r="Q25" s="416" t="n"/>
      <c r="R25" s="416" t="n"/>
      <c r="S25" s="416" t="n"/>
      <c r="T25" s="416" t="n"/>
      <c r="U25" s="416" t="n"/>
      <c r="V25" s="416" t="n"/>
      <c r="W25" s="416" t="n"/>
      <c r="X25" s="416" t="n"/>
      <c r="Y25" s="416" t="n"/>
      <c r="Z25" s="416" t="n"/>
    </row>
    <row r="26" ht="17.4" customHeight="1">
      <c r="A26" s="304" t="inlineStr">
        <is>
          <t xml:space="preserve">1.การขนส่งวัตถุดิบ </t>
        </is>
      </c>
      <c r="B26" s="417" t="n"/>
      <c r="C26" s="349" t="n"/>
      <c r="D26" s="349" t="n"/>
      <c r="E26" s="349" t="n"/>
      <c r="F26" s="349" t="n"/>
      <c r="G26" s="308" t="n"/>
    </row>
    <row r="27" ht="17.4" customHeight="1">
      <c r="A27" s="349" t="inlineStr">
        <is>
          <t>บริษัท พีทีที โกลบอล เคมิคอล จำกัด (มหาชน)</t>
        </is>
      </c>
      <c r="B27" s="418" t="inlineStr">
        <is>
          <t>65</t>
        </is>
      </c>
      <c r="C27" s="308" t="inlineStr">
        <is>
          <t>km</t>
        </is>
      </c>
      <c r="D27" s="308" t="inlineStr">
        <is>
          <t>10 ล้อ/ตู้บรรทุก</t>
        </is>
      </c>
      <c r="E27" s="308" t="n">
        <v>100</v>
      </c>
      <c r="F27" s="419" t="n">
        <v>0</v>
      </c>
      <c r="G27" s="358" t="inlineStr">
        <is>
          <t>google Map</t>
        </is>
      </c>
    </row>
    <row r="28" ht="17.4" customHeight="1">
      <c r="A28" s="349" t="inlineStr">
        <is>
          <t>บริษัท ไทยโพลิเอททีลีน จำกัด</t>
        </is>
      </c>
      <c r="B28" s="418" t="inlineStr">
        <is>
          <t>61</t>
        </is>
      </c>
      <c r="C28" s="308" t="inlineStr">
        <is>
          <t>km</t>
        </is>
      </c>
      <c r="D28" s="308" t="inlineStr">
        <is>
          <t>10 ล้อ/ตู้บรรทุก</t>
        </is>
      </c>
      <c r="E28" s="308" t="n">
        <v>100</v>
      </c>
      <c r="F28" s="419" t="n">
        <v>0</v>
      </c>
      <c r="G28" s="358" t="inlineStr">
        <is>
          <t>google Map</t>
        </is>
      </c>
    </row>
    <row r="29" ht="17.4" customHeight="1">
      <c r="A29" s="349" t="inlineStr">
        <is>
          <t>บริษัท ทีเอช คัลเล่อร์  จำกัด</t>
        </is>
      </c>
      <c r="B29" s="418" t="inlineStr">
        <is>
          <t>85</t>
        </is>
      </c>
      <c r="C29" s="308" t="inlineStr">
        <is>
          <t>km</t>
        </is>
      </c>
      <c r="D29" s="308" t="inlineStr">
        <is>
          <t>6 ล้อ/ตู้บรรทุก</t>
        </is>
      </c>
      <c r="E29" s="308" t="n">
        <v>100</v>
      </c>
      <c r="F29" s="419" t="n">
        <v>0</v>
      </c>
      <c r="G29" s="358" t="inlineStr">
        <is>
          <t>google Map</t>
        </is>
      </c>
    </row>
    <row r="30" ht="17.4" customHeight="1">
      <c r="A30" s="349" t="inlineStr">
        <is>
          <t>AMPACET (Thailand) Co., Ltd.</t>
        </is>
      </c>
      <c r="B30" s="418" t="inlineStr">
        <is>
          <t>40</t>
        </is>
      </c>
      <c r="C30" s="308" t="inlineStr">
        <is>
          <t>km</t>
        </is>
      </c>
      <c r="D30" s="308" t="inlineStr">
        <is>
          <t>4 ล้อ/บรรทุก</t>
        </is>
      </c>
      <c r="E30" s="308" t="n">
        <v>100</v>
      </c>
      <c r="F30" s="419" t="n">
        <v>0</v>
      </c>
      <c r="G30" s="358" t="inlineStr">
        <is>
          <t>google Map</t>
        </is>
      </c>
    </row>
    <row r="31" ht="17.4" customHeight="1">
      <c r="A31" s="349" t="inlineStr">
        <is>
          <t>บริษัท อีเทอนอล ซากาตะ อิ้งซ์ จำกัด</t>
        </is>
      </c>
      <c r="B31" s="418" t="inlineStr">
        <is>
          <t>136</t>
        </is>
      </c>
      <c r="C31" s="308" t="inlineStr">
        <is>
          <t>km</t>
        </is>
      </c>
      <c r="D31" s="308" t="inlineStr">
        <is>
          <t>4 ล้อ/บรรทุก</t>
        </is>
      </c>
      <c r="E31" s="308" t="n">
        <v>100</v>
      </c>
      <c r="F31" s="419" t="n">
        <v>0</v>
      </c>
      <c r="G31" s="358" t="inlineStr">
        <is>
          <t>google Map</t>
        </is>
      </c>
    </row>
    <row r="32" ht="17.4" customHeight="1">
      <c r="A32" s="349" t="inlineStr">
        <is>
          <t>SIEGWERK (THAILAND)  LTD.</t>
        </is>
      </c>
      <c r="B32" s="418" t="inlineStr">
        <is>
          <t>155</t>
        </is>
      </c>
      <c r="C32" s="308" t="inlineStr">
        <is>
          <t>km</t>
        </is>
      </c>
      <c r="D32" s="308" t="inlineStr">
        <is>
          <t>4 ล้อ/บรรทุก</t>
        </is>
      </c>
      <c r="E32" s="308" t="n">
        <v>100</v>
      </c>
      <c r="F32" s="419" t="n">
        <v>0</v>
      </c>
      <c r="G32" s="358" t="inlineStr">
        <is>
          <t>google Map</t>
        </is>
      </c>
    </row>
    <row r="33" ht="17.4" customHeight="1">
      <c r="A33" s="349" t="inlineStr">
        <is>
          <t>บริษัท เอเวียนท์ คัลเลอร์แร้นท์ (ประเทศไทย) จำกัด</t>
        </is>
      </c>
      <c r="B33" s="418" t="inlineStr">
        <is>
          <t>50</t>
        </is>
      </c>
      <c r="C33" s="308" t="inlineStr">
        <is>
          <t>km</t>
        </is>
      </c>
      <c r="D33" s="308" t="inlineStr">
        <is>
          <t>4 ล้อ/บรรทุก</t>
        </is>
      </c>
      <c r="E33" s="308" t="n">
        <v>100</v>
      </c>
      <c r="F33" s="419" t="n">
        <v>0</v>
      </c>
      <c r="G33" s="358" t="inlineStr">
        <is>
          <t>google Map</t>
        </is>
      </c>
    </row>
    <row r="34" ht="17.4" customHeight="1">
      <c r="A34" s="349" t="inlineStr">
        <is>
          <t>บริษัท เอเวียนท์ (ประเทศไทย) จำกัด</t>
        </is>
      </c>
      <c r="B34" s="418" t="inlineStr">
        <is>
          <t>106</t>
        </is>
      </c>
      <c r="C34" s="308" t="inlineStr">
        <is>
          <t>km</t>
        </is>
      </c>
      <c r="D34" s="308" t="inlineStr">
        <is>
          <t>4 ล้อ/บรรทุก</t>
        </is>
      </c>
      <c r="E34" s="308" t="n">
        <v>100</v>
      </c>
      <c r="F34" s="419" t="n">
        <v>0</v>
      </c>
      <c r="G34" s="358" t="inlineStr">
        <is>
          <t>google Map</t>
        </is>
      </c>
    </row>
    <row r="35" ht="17.4" customHeight="1">
      <c r="A35" s="349" t="inlineStr">
        <is>
          <t>Chemical Innovation Co.,Ltd.</t>
        </is>
      </c>
      <c r="B35" s="418" t="inlineStr">
        <is>
          <t>112</t>
        </is>
      </c>
      <c r="C35" s="308" t="inlineStr">
        <is>
          <t>km</t>
        </is>
      </c>
      <c r="D35" s="308" t="inlineStr">
        <is>
          <t>4 ล้อ/บรรทุก</t>
        </is>
      </c>
      <c r="E35" s="308" t="n">
        <v>100</v>
      </c>
      <c r="F35" s="419" t="n">
        <v>0</v>
      </c>
      <c r="G35" s="358" t="inlineStr">
        <is>
          <t>google Map</t>
        </is>
      </c>
    </row>
    <row r="36" ht="17.4" customHeight="1">
      <c r="A36" s="349" t="inlineStr">
        <is>
          <t>บริษัท พาโนราม่า อิ้งค์ จำกัด</t>
        </is>
      </c>
      <c r="B36" s="418" t="inlineStr">
        <is>
          <t>118</t>
        </is>
      </c>
      <c r="C36" s="308" t="inlineStr">
        <is>
          <t>km</t>
        </is>
      </c>
      <c r="D36" s="308" t="inlineStr">
        <is>
          <t>4 ล้อ/บรรทุก</t>
        </is>
      </c>
      <c r="E36" s="308" t="n">
        <v>50</v>
      </c>
      <c r="F36" s="419" t="n">
        <v>0</v>
      </c>
      <c r="G36" s="358" t="inlineStr">
        <is>
          <t>google Map</t>
        </is>
      </c>
    </row>
    <row r="37" ht="17.4" customHeight="1">
      <c r="A37" s="304" t="inlineStr">
        <is>
          <t>2. การขนส่งบรรจุภัณฑ์</t>
        </is>
      </c>
      <c r="B37" s="418" t="n"/>
      <c r="C37" s="308" t="n"/>
      <c r="D37" s="308" t="n"/>
      <c r="E37" s="308" t="n"/>
      <c r="F37" s="419" t="n"/>
      <c r="G37" s="358" t="n"/>
    </row>
    <row r="38" ht="17.4" customHeight="1">
      <c r="A38" s="349" t="inlineStr">
        <is>
          <t>บริษัท สำราญจิตต์การพิมพ์ จำกัด</t>
        </is>
      </c>
      <c r="B38" s="418" t="inlineStr">
        <is>
          <t>108</t>
        </is>
      </c>
      <c r="C38" s="308" t="inlineStr">
        <is>
          <t>km</t>
        </is>
      </c>
      <c r="D38" s="308" t="inlineStr">
        <is>
          <t>6 ล้อ/ตู้บรรทุก</t>
        </is>
      </c>
      <c r="E38" s="308" t="n">
        <v>100</v>
      </c>
      <c r="F38" s="419" t="n">
        <v>0</v>
      </c>
      <c r="G38" s="358" t="inlineStr">
        <is>
          <t>google Map</t>
        </is>
      </c>
    </row>
    <row r="39" ht="17.4" customHeight="1">
      <c r="A39" s="349" t="inlineStr">
        <is>
          <t>บริษัท เค.อาร์.ที. แพค แอนด์ ซัพพลาย จำกัด</t>
        </is>
      </c>
      <c r="B39" s="418" t="inlineStr">
        <is>
          <t>132</t>
        </is>
      </c>
      <c r="C39" s="308" t="inlineStr">
        <is>
          <t>km</t>
        </is>
      </c>
      <c r="D39" s="308" t="inlineStr">
        <is>
          <t>6 ล้อ/ตู้บรรทุก</t>
        </is>
      </c>
      <c r="E39" s="308" t="n">
        <v>100</v>
      </c>
      <c r="F39" s="419" t="n">
        <v>0</v>
      </c>
      <c r="G39" s="358" t="inlineStr">
        <is>
          <t>google Map</t>
        </is>
      </c>
    </row>
    <row r="40" ht="17.4" customHeight="1">
      <c r="A40" s="349" t="inlineStr">
        <is>
          <t>บริษัท เอส.พี.ที.แพ็คกิ้งกรุ๊ป จำกัด</t>
        </is>
      </c>
      <c r="B40" s="418" t="inlineStr">
        <is>
          <t>172</t>
        </is>
      </c>
      <c r="C40" s="308" t="inlineStr">
        <is>
          <t>km</t>
        </is>
      </c>
      <c r="D40" s="308" t="inlineStr">
        <is>
          <t>6 ล้อ/ตู้บรรทุก</t>
        </is>
      </c>
      <c r="E40" s="308" t="n">
        <v>100</v>
      </c>
      <c r="F40" s="419" t="n">
        <v>0</v>
      </c>
      <c r="G40" s="358" t="inlineStr">
        <is>
          <t>google Map</t>
        </is>
      </c>
    </row>
    <row r="41" ht="17.4" customHeight="1">
      <c r="A41" s="349" t="inlineStr">
        <is>
          <t>บริษัท บรรเจิดบรรจุภัณฑ์ จำกัด</t>
        </is>
      </c>
      <c r="B41" s="418" t="inlineStr">
        <is>
          <t>150</t>
        </is>
      </c>
      <c r="C41" s="308" t="inlineStr">
        <is>
          <t>km</t>
        </is>
      </c>
      <c r="D41" s="308" t="inlineStr">
        <is>
          <t>6 ล้อ/ตู้บรรทุก</t>
        </is>
      </c>
      <c r="E41" s="308" t="n">
        <v>100</v>
      </c>
      <c r="F41" s="419" t="n">
        <v>0</v>
      </c>
      <c r="G41" s="358" t="inlineStr">
        <is>
          <t>google Map</t>
        </is>
      </c>
    </row>
    <row r="42" ht="17.4" customHeight="1">
      <c r="A42" s="349" t="inlineStr">
        <is>
          <t>บริษัท ยูนิเวอร์ส แพ็ค จำกัด</t>
        </is>
      </c>
      <c r="B42" s="418" t="inlineStr">
        <is>
          <t>153</t>
        </is>
      </c>
      <c r="C42" s="308" t="inlineStr">
        <is>
          <t>km</t>
        </is>
      </c>
      <c r="D42" s="308" t="inlineStr">
        <is>
          <t>4 ล้อ/บรรทุก</t>
        </is>
      </c>
      <c r="E42" s="308" t="n">
        <v>100</v>
      </c>
      <c r="F42" s="419" t="n">
        <v>0</v>
      </c>
      <c r="G42" s="358" t="inlineStr">
        <is>
          <t>google Map</t>
        </is>
      </c>
    </row>
    <row r="43" ht="17.4" customHeight="1">
      <c r="A43" s="349" t="inlineStr">
        <is>
          <t>บริษัท บาแล็นซ์ แพ็คกิ้ง จำกัด</t>
        </is>
      </c>
      <c r="B43" s="418" t="inlineStr">
        <is>
          <t>157</t>
        </is>
      </c>
      <c r="C43" s="308" t="inlineStr">
        <is>
          <t>km</t>
        </is>
      </c>
      <c r="D43" s="308" t="inlineStr">
        <is>
          <t>6 ล้อ/ตู้บรรทุก</t>
        </is>
      </c>
      <c r="E43" s="308" t="n">
        <v>100</v>
      </c>
      <c r="F43" s="419" t="n">
        <v>0</v>
      </c>
      <c r="G43" s="358" t="inlineStr">
        <is>
          <t>google Map</t>
        </is>
      </c>
    </row>
    <row r="44" ht="17.4" customHeight="1">
      <c r="A44" s="349" t="inlineStr">
        <is>
          <t>บริษัท แสงศิริ กรุ๊ป จำกัด</t>
        </is>
      </c>
      <c r="B44" s="418" t="inlineStr">
        <is>
          <t>31</t>
        </is>
      </c>
      <c r="C44" s="308" t="inlineStr">
        <is>
          <t>km</t>
        </is>
      </c>
      <c r="D44" s="308" t="inlineStr">
        <is>
          <t>6 ล้อ/ตู้บรรทุก</t>
        </is>
      </c>
      <c r="E44" s="308" t="n">
        <v>100</v>
      </c>
      <c r="F44" s="419" t="n">
        <v>0</v>
      </c>
      <c r="G44" s="358" t="inlineStr">
        <is>
          <t>google Map</t>
        </is>
      </c>
    </row>
    <row r="45" ht="17.4" customHeight="1">
      <c r="A45" s="349" t="inlineStr">
        <is>
          <t>บริษัท เหรียญทองการพิมพ์ จำกัด</t>
        </is>
      </c>
      <c r="B45" s="418" t="inlineStr">
        <is>
          <t>116</t>
        </is>
      </c>
      <c r="C45" s="308" t="inlineStr">
        <is>
          <t>km</t>
        </is>
      </c>
      <c r="D45" s="308" t="inlineStr">
        <is>
          <t>4 ล้อ/บรรทุก</t>
        </is>
      </c>
      <c r="E45" s="308" t="n">
        <v>50</v>
      </c>
      <c r="F45" s="419" t="n">
        <v>0</v>
      </c>
      <c r="G45" s="358" t="inlineStr">
        <is>
          <t>google Map</t>
        </is>
      </c>
    </row>
    <row r="46" ht="17.4" customHeight="1">
      <c r="A46" s="349" t="inlineStr">
        <is>
          <t>ห้างหุ้นส่วนจำกัด อชราบรรจุภัณฑ์</t>
        </is>
      </c>
      <c r="B46" s="418" t="inlineStr">
        <is>
          <t>110</t>
        </is>
      </c>
      <c r="C46" s="308" t="inlineStr">
        <is>
          <t>km</t>
        </is>
      </c>
      <c r="D46" s="308" t="inlineStr">
        <is>
          <t>6 ล้อ/บรรทุก</t>
        </is>
      </c>
      <c r="E46" s="308" t="n">
        <v>100</v>
      </c>
      <c r="F46" s="419" t="n">
        <v>0</v>
      </c>
      <c r="G46" s="358" t="inlineStr">
        <is>
          <t>google Map</t>
        </is>
      </c>
    </row>
    <row r="47" ht="17.4" customHeight="1">
      <c r="A47" s="349" t="inlineStr">
        <is>
          <t>บจก.ธงไชย โมลด์ แอนด์ พลาส(72)</t>
        </is>
      </c>
      <c r="B47" s="418" t="inlineStr">
        <is>
          <t>130</t>
        </is>
      </c>
      <c r="C47" s="308" t="inlineStr">
        <is>
          <t>km</t>
        </is>
      </c>
      <c r="D47" s="308" t="inlineStr">
        <is>
          <t>4 ล้อ/บรรทุก</t>
        </is>
      </c>
      <c r="E47" s="308" t="n">
        <v>100</v>
      </c>
      <c r="F47" s="419" t="n">
        <v>0</v>
      </c>
      <c r="G47" s="358" t="inlineStr">
        <is>
          <t>google Map</t>
        </is>
      </c>
    </row>
    <row r="48" ht="17.4" customHeight="1">
      <c r="A48" s="304" t="inlineStr">
        <is>
          <t>3.การขนส่งวัสดุสิ้นเปลือง</t>
        </is>
      </c>
      <c r="B48" s="418" t="n"/>
      <c r="C48" s="308" t="n"/>
      <c r="D48" s="308" t="n"/>
      <c r="E48" s="308" t="n"/>
      <c r="F48" s="419" t="n"/>
      <c r="G48" s="358" t="n"/>
    </row>
    <row r="49" ht="17.4" customHeight="1">
      <c r="A49" s="349" t="inlineStr">
        <is>
          <t>บริษัท เอ็มซี อินดัสเทรียลเคมิคัล จำกัด</t>
        </is>
      </c>
      <c r="B49" s="418" t="inlineStr">
        <is>
          <t>127</t>
        </is>
      </c>
      <c r="C49" s="308" t="inlineStr">
        <is>
          <t>km</t>
        </is>
      </c>
      <c r="D49" s="308" t="inlineStr">
        <is>
          <t>4 ล้อ/บรรทุก</t>
        </is>
      </c>
      <c r="E49" s="308" t="n">
        <v>100</v>
      </c>
      <c r="F49" s="419" t="n">
        <v>0</v>
      </c>
      <c r="G49" s="358" t="inlineStr">
        <is>
          <t>google Map</t>
        </is>
      </c>
    </row>
    <row r="50" ht="17.4" customHeight="1">
      <c r="A50" s="349" t="inlineStr">
        <is>
          <t>บริษัท โชคเจริญ 2020 จำกัด</t>
        </is>
      </c>
      <c r="B50" s="418" t="inlineStr">
        <is>
          <t>94</t>
        </is>
      </c>
      <c r="C50" s="308" t="inlineStr">
        <is>
          <t>km</t>
        </is>
      </c>
      <c r="D50" s="308" t="inlineStr">
        <is>
          <t>4 ล้อ/บรรทุก</t>
        </is>
      </c>
      <c r="E50" s="308" t="n">
        <v>100</v>
      </c>
      <c r="F50" s="419" t="n">
        <v>0</v>
      </c>
      <c r="G50" s="358" t="inlineStr">
        <is>
          <t>google Map</t>
        </is>
      </c>
    </row>
    <row r="51" ht="17.4" customHeight="1">
      <c r="A51" s="349" t="inlineStr">
        <is>
          <t>บริษัท บางบอนอุตสาหกรรม จำกัด</t>
        </is>
      </c>
      <c r="B51" s="418" t="inlineStr">
        <is>
          <t>132</t>
        </is>
      </c>
      <c r="C51" s="308" t="inlineStr">
        <is>
          <t>km</t>
        </is>
      </c>
      <c r="D51" s="308" t="inlineStr">
        <is>
          <t>4 ล้อ/บรรทุก</t>
        </is>
      </c>
      <c r="E51" s="308" t="n">
        <v>100</v>
      </c>
      <c r="F51" s="419" t="n">
        <v>0</v>
      </c>
      <c r="G51" s="358" t="inlineStr">
        <is>
          <t>google Map</t>
        </is>
      </c>
    </row>
    <row r="52" ht="17.4" customHeight="1">
      <c r="A52" s="349" t="inlineStr">
        <is>
          <t>บริษัท เปอร์มาเฟล็กซ์ จำกัด</t>
        </is>
      </c>
      <c r="B52" s="418" t="inlineStr">
        <is>
          <t>105</t>
        </is>
      </c>
      <c r="C52" s="308" t="inlineStr">
        <is>
          <t>km</t>
        </is>
      </c>
      <c r="D52" s="308" t="inlineStr">
        <is>
          <t>4 ล้อ/บรรทุก</t>
        </is>
      </c>
      <c r="E52" s="308" t="n">
        <v>100</v>
      </c>
      <c r="F52" s="419" t="n">
        <v>0</v>
      </c>
      <c r="G52" s="358" t="inlineStr">
        <is>
          <t>google Map</t>
        </is>
      </c>
    </row>
    <row r="53" ht="17.4" customHeight="1">
      <c r="A53" s="349" t="inlineStr">
        <is>
          <t>บริษัท โพลีพลาส พรีซีชั่น จำกัด</t>
        </is>
      </c>
      <c r="B53" s="418" t="inlineStr">
        <is>
          <t>100</t>
        </is>
      </c>
      <c r="C53" s="308" t="inlineStr">
        <is>
          <t>km</t>
        </is>
      </c>
      <c r="D53" s="308" t="inlineStr">
        <is>
          <t>4 ล้อ/บรรทุก</t>
        </is>
      </c>
      <c r="E53" s="308" t="n">
        <v>100</v>
      </c>
      <c r="F53" s="419" t="n">
        <v>0</v>
      </c>
      <c r="G53" s="358" t="inlineStr">
        <is>
          <t>google Map</t>
        </is>
      </c>
    </row>
    <row r="54" ht="17.4" customHeight="1">
      <c r="A54" s="349" t="inlineStr">
        <is>
          <t>บริษัท จาคานา จำกัด</t>
        </is>
      </c>
      <c r="B54" s="418" t="inlineStr">
        <is>
          <t>113</t>
        </is>
      </c>
      <c r="C54" s="308" t="inlineStr">
        <is>
          <t>km</t>
        </is>
      </c>
      <c r="D54" s="308" t="inlineStr">
        <is>
          <t>4 ล้อ/บรรทุก</t>
        </is>
      </c>
      <c r="E54" s="308" t="n">
        <v>100</v>
      </c>
      <c r="F54" s="419" t="n">
        <v>0</v>
      </c>
      <c r="G54" s="358" t="inlineStr">
        <is>
          <t>google Map</t>
        </is>
      </c>
    </row>
    <row r="55" ht="17.4" customHeight="1">
      <c r="A55" s="349" t="inlineStr">
        <is>
          <t>บริษัท  อเมริกัน ปิโตรเคมิคอล (ประเทศไทย)  จำกัด</t>
        </is>
      </c>
      <c r="B55" s="418" t="inlineStr">
        <is>
          <t>150</t>
        </is>
      </c>
      <c r="C55" s="308" t="inlineStr">
        <is>
          <t>km</t>
        </is>
      </c>
      <c r="D55" s="308" t="inlineStr">
        <is>
          <t>4 ล้อ/บรรทุก</t>
        </is>
      </c>
      <c r="E55" s="308" t="n">
        <v>100</v>
      </c>
      <c r="F55" s="419" t="n">
        <v>0</v>
      </c>
      <c r="G55" s="358" t="inlineStr">
        <is>
          <t>google Map</t>
        </is>
      </c>
    </row>
    <row r="56" ht="17.4" customHeight="1">
      <c r="A56" s="349" t="inlineStr">
        <is>
          <t>บริษัท เอ็มเอ็มพี คอร์ปอเรชั่น  จำกัด</t>
        </is>
      </c>
      <c r="B56" s="418" t="inlineStr">
        <is>
          <t>105</t>
        </is>
      </c>
      <c r="C56" s="308" t="inlineStr">
        <is>
          <t>km</t>
        </is>
      </c>
      <c r="D56" s="308" t="inlineStr">
        <is>
          <t>4 ล้อ/บรรทุก</t>
        </is>
      </c>
      <c r="E56" s="308" t="n">
        <v>100</v>
      </c>
      <c r="F56" s="419" t="n">
        <v>0</v>
      </c>
      <c r="G56" s="358" t="inlineStr">
        <is>
          <t>google Map</t>
        </is>
      </c>
    </row>
    <row r="57" ht="17.4" customHeight="1">
      <c r="A57" s="349" t="inlineStr">
        <is>
          <t>บริษัท วัฒนพันธุ์แพคเกจจิ้งซิสเท็ม จำกัด</t>
        </is>
      </c>
      <c r="B57" s="418" t="inlineStr">
        <is>
          <t>16</t>
        </is>
      </c>
      <c r="C57" s="308" t="inlineStr">
        <is>
          <t>km</t>
        </is>
      </c>
      <c r="D57" s="308" t="inlineStr">
        <is>
          <t>4 ล้อ/บรรทุก</t>
        </is>
      </c>
      <c r="E57" s="308" t="n">
        <v>100</v>
      </c>
      <c r="F57" s="419" t="n">
        <v>0</v>
      </c>
      <c r="G57" s="358" t="inlineStr">
        <is>
          <t>google Map</t>
        </is>
      </c>
    </row>
    <row r="58" ht="17.4" customHeight="1">
      <c r="A58" s="349" t="inlineStr">
        <is>
          <t>บริษัท เค.เอ.มาร์เก็ตติ้ง จำกัด</t>
        </is>
      </c>
      <c r="B58" s="418" t="inlineStr">
        <is>
          <t>133</t>
        </is>
      </c>
      <c r="C58" s="308" t="inlineStr">
        <is>
          <t>km</t>
        </is>
      </c>
      <c r="D58" s="308" t="inlineStr">
        <is>
          <t>4 ล้อ/บรรทุก</t>
        </is>
      </c>
      <c r="E58" s="308" t="n">
        <v>100</v>
      </c>
      <c r="F58" s="419" t="n">
        <v>0</v>
      </c>
      <c r="G58" s="358" t="inlineStr">
        <is>
          <t>google Map</t>
        </is>
      </c>
    </row>
    <row r="59" ht="14.25" customHeight="1"/>
    <row r="60" ht="24" customHeight="1">
      <c r="A60" s="415" t="inlineStr">
        <is>
          <t>รายการขนส่งจากผู้ผลิตวัตถุดิบ ต่างประเทศ</t>
        </is>
      </c>
      <c r="H60" s="385" t="n"/>
    </row>
    <row r="61" ht="21" customHeight="1">
      <c r="A61" s="261" t="inlineStr">
        <is>
          <t>ตำแหน่งที่ตั้งผู้ผลิตวัตถุดิบ</t>
        </is>
      </c>
      <c r="B61" s="1691" t="inlineStr">
        <is>
          <t>ระยะทางจากผู้ผลิตมายังท่าเรือของ Supplier (km)</t>
        </is>
      </c>
      <c r="C61" s="1691" t="inlineStr">
        <is>
          <t>หน่วย</t>
        </is>
      </c>
      <c r="D61" s="261" t="inlineStr">
        <is>
          <t>ชื่อท่าเรือของ  Supplier</t>
        </is>
      </c>
      <c r="E61" s="261" t="inlineStr">
        <is>
          <t>ชื่อท่าเรือของ ผู้ซื้อ</t>
        </is>
      </c>
      <c r="F61" s="1737" t="inlineStr">
        <is>
          <t>ระยะทางจากท่าเรือในประเทศมายังโรงงานของผู้ผลิต (km)</t>
        </is>
      </c>
      <c r="G61" s="261" t="inlineStr">
        <is>
          <t>ประเภทพาหนะ</t>
        </is>
      </c>
      <c r="H61" s="1738" t="inlineStr">
        <is>
          <t>ภาระบรรทุกขามาส่งของที่โรงงาน (%)</t>
        </is>
      </c>
      <c r="I61" s="1738" t="inlineStr">
        <is>
          <t>ภาระบรรทุกขากลับออกจากโรงงาน (%)</t>
        </is>
      </c>
      <c r="J61" s="261" t="inlineStr">
        <is>
          <t>หลักฐาน</t>
        </is>
      </c>
    </row>
    <row r="62" ht="21" customHeight="1">
      <c r="A62" s="1641" t="n"/>
      <c r="B62" s="1641" t="n"/>
      <c r="C62" s="1641" t="n"/>
      <c r="D62" s="1641" t="n"/>
      <c r="E62" s="1641" t="n"/>
      <c r="F62" s="1641" t="n"/>
      <c r="G62" s="1641" t="n"/>
      <c r="H62" s="1641" t="n"/>
      <c r="I62" s="1641" t="n"/>
      <c r="J62" s="1641" t="n"/>
    </row>
    <row r="63" ht="18.6" customHeight="1">
      <c r="A63" s="304" t="inlineStr">
        <is>
          <t xml:space="preserve">1.การขนส่งวัตถุดิบ </t>
        </is>
      </c>
      <c r="B63" s="420" t="n"/>
      <c r="C63" s="349" t="n"/>
      <c r="D63" s="349" t="n"/>
      <c r="E63" s="349" t="n"/>
      <c r="F63" s="308" t="n"/>
      <c r="G63" s="349" t="n"/>
      <c r="H63" s="349" t="n"/>
      <c r="I63" s="308" t="n"/>
      <c r="J63" s="358" t="n"/>
    </row>
    <row r="64" ht="18.6" customHeight="1">
      <c r="A64" s="421" t="inlineStr">
        <is>
          <t>BOROUGE PTE LTD.</t>
        </is>
      </c>
      <c r="B64" s="1731" t="n">
        <v>7944.93</v>
      </c>
      <c r="C64" s="271" t="inlineStr">
        <is>
          <t>km</t>
        </is>
      </c>
      <c r="D64" s="358" t="inlineStr">
        <is>
          <t>KHALIFA PORT, ABU DHABI</t>
        </is>
      </c>
      <c r="E64" s="308" t="inlineStr">
        <is>
          <t>แหลมฉบัง</t>
        </is>
      </c>
      <c r="F64" s="308" t="n">
        <v>2</v>
      </c>
      <c r="G64" s="308" t="inlineStr">
        <is>
          <t>เรือ</t>
        </is>
      </c>
      <c r="H64" s="308" t="n">
        <v>100</v>
      </c>
      <c r="I64" s="308" t="n">
        <v>0</v>
      </c>
      <c r="J64" s="358" t="inlineStr">
        <is>
          <t>google Map</t>
        </is>
      </c>
      <c r="K64" s="1739" t="n">
        <v>7944.93</v>
      </c>
    </row>
    <row r="65" ht="18.6" customHeight="1">
      <c r="A65" s="421" t="inlineStr">
        <is>
          <t>EQUATE Petrochemical Company K.S.C.C.</t>
        </is>
      </c>
      <c r="B65" s="1740" t="n">
        <v>8560.68</v>
      </c>
      <c r="C65" s="271" t="inlineStr">
        <is>
          <t>km</t>
        </is>
      </c>
      <c r="D65" s="358" t="inlineStr">
        <is>
          <t>SHUAIBA PORT, KUWAIT</t>
        </is>
      </c>
      <c r="E65" s="308" t="inlineStr">
        <is>
          <t>แหลมฉบัง</t>
        </is>
      </c>
      <c r="F65" s="308" t="n">
        <v>2</v>
      </c>
      <c r="G65" s="308" t="inlineStr">
        <is>
          <t>เรือ</t>
        </is>
      </c>
      <c r="H65" s="308" t="n">
        <v>100</v>
      </c>
      <c r="I65" s="308" t="n">
        <v>0</v>
      </c>
      <c r="J65" s="358" t="inlineStr">
        <is>
          <t>google Map</t>
        </is>
      </c>
      <c r="K65" s="1741" t="n">
        <v>8560.68</v>
      </c>
    </row>
    <row r="66" ht="18.6" customHeight="1">
      <c r="A66" s="421" t="inlineStr">
        <is>
          <t>SOJITZ PLA-NET CORPORATION</t>
        </is>
      </c>
      <c r="B66" s="1670" t="n">
        <v>18132.08</v>
      </c>
      <c r="C66" s="271" t="inlineStr">
        <is>
          <t>km</t>
        </is>
      </c>
      <c r="D66" s="358" t="inlineStr">
        <is>
          <t>RIO GRANDE PORT IN BRAZIL</t>
        </is>
      </c>
      <c r="E66" s="308" t="inlineStr">
        <is>
          <t>แหลมฉบัง</t>
        </is>
      </c>
      <c r="F66" s="308" t="n">
        <v>2</v>
      </c>
      <c r="G66" s="308" t="inlineStr">
        <is>
          <t>เรือ</t>
        </is>
      </c>
      <c r="H66" s="308" t="n">
        <v>100</v>
      </c>
      <c r="I66" s="308" t="n">
        <v>0</v>
      </c>
      <c r="J66" s="358" t="inlineStr">
        <is>
          <t>google Map</t>
        </is>
      </c>
      <c r="K66" s="1742" t="n">
        <v>18132.08</v>
      </c>
    </row>
    <row r="67" ht="18.6" customHeight="1">
      <c r="A67" s="421" t="inlineStr">
        <is>
          <t>SOJITZ PLA-NET CORPORATION OSAKA BRANCH</t>
        </is>
      </c>
      <c r="B67" s="1670" t="n">
        <v>18132.08</v>
      </c>
      <c r="C67" s="271" t="inlineStr">
        <is>
          <t>km</t>
        </is>
      </c>
      <c r="D67" s="358" t="inlineStr">
        <is>
          <t>RIO GRANDE PORT IN BRAZIL</t>
        </is>
      </c>
      <c r="E67" s="308" t="inlineStr">
        <is>
          <t>แหลมฉบัง</t>
        </is>
      </c>
      <c r="F67" s="308" t="n">
        <v>2</v>
      </c>
      <c r="G67" s="308" t="inlineStr">
        <is>
          <t>เรือ</t>
        </is>
      </c>
      <c r="H67" s="308" t="n">
        <v>100</v>
      </c>
      <c r="I67" s="308" t="n">
        <v>0</v>
      </c>
      <c r="J67" s="358" t="inlineStr">
        <is>
          <t>google Map</t>
        </is>
      </c>
      <c r="K67" s="1742" t="n">
        <v>18132.08</v>
      </c>
    </row>
    <row r="68" ht="18.6" customHeight="1">
      <c r="A68" s="421" t="inlineStr">
        <is>
          <t>International Flavors &amp; Fragrances Inc.</t>
        </is>
      </c>
      <c r="B68" s="1670" t="n">
        <v>23759.14</v>
      </c>
      <c r="C68" s="271" t="inlineStr">
        <is>
          <t>km</t>
        </is>
      </c>
      <c r="D68" s="358" t="inlineStr">
        <is>
          <t>NEW YORK PORT</t>
        </is>
      </c>
      <c r="E68" s="308" t="inlineStr">
        <is>
          <t>แหลมฉบัง</t>
        </is>
      </c>
      <c r="F68" s="308" t="n">
        <v>2</v>
      </c>
      <c r="G68" s="308" t="inlineStr">
        <is>
          <t>เรือ</t>
        </is>
      </c>
      <c r="H68" s="308" t="n">
        <v>100</v>
      </c>
      <c r="I68" s="308" t="n">
        <v>0</v>
      </c>
      <c r="J68" s="358" t="inlineStr">
        <is>
          <t>google Map</t>
        </is>
      </c>
      <c r="K68" s="1742" t="n">
        <v>23759.14</v>
      </c>
    </row>
    <row r="69" ht="18.6" customHeight="1">
      <c r="A69" s="421" t="inlineStr">
        <is>
          <t>International Flavor &amp; Fragrances (Thailand) Ltd.</t>
        </is>
      </c>
      <c r="B69" s="1670" t="n">
        <v>23759.14</v>
      </c>
      <c r="C69" s="271" t="inlineStr">
        <is>
          <t>km</t>
        </is>
      </c>
      <c r="D69" s="358" t="inlineStr">
        <is>
          <t>NEW YORK PORT</t>
        </is>
      </c>
      <c r="E69" s="308" t="inlineStr">
        <is>
          <t>แหลมฉบัง</t>
        </is>
      </c>
      <c r="F69" s="308" t="n">
        <v>2</v>
      </c>
      <c r="G69" s="308" t="inlineStr">
        <is>
          <t>เรือ</t>
        </is>
      </c>
      <c r="H69" s="308" t="n">
        <v>100</v>
      </c>
      <c r="I69" s="308" t="n">
        <v>0</v>
      </c>
      <c r="J69" s="358" t="inlineStr">
        <is>
          <t>google Map</t>
        </is>
      </c>
      <c r="K69" s="1742" t="n">
        <v>23759.14</v>
      </c>
    </row>
    <row r="70" ht="18.6" customHeight="1">
      <c r="A70" s="421" t="inlineStr">
        <is>
          <t>บริษัท ซันนา  เซอเทรด จำกัด</t>
        </is>
      </c>
      <c r="B70" s="1670" t="n">
        <v>16507.2</v>
      </c>
      <c r="C70" s="271" t="inlineStr">
        <is>
          <t>km</t>
        </is>
      </c>
      <c r="D70" s="358" t="inlineStr">
        <is>
          <t>FELIXSTOWE PORT</t>
        </is>
      </c>
      <c r="E70" s="308" t="inlineStr">
        <is>
          <t>แหลมฉบัง</t>
        </is>
      </c>
      <c r="F70" s="308" t="n">
        <v>2</v>
      </c>
      <c r="G70" s="308" t="inlineStr">
        <is>
          <t>เรือ</t>
        </is>
      </c>
      <c r="H70" s="308" t="n">
        <v>100</v>
      </c>
      <c r="I70" s="308" t="n">
        <v>0</v>
      </c>
      <c r="J70" s="358" t="inlineStr">
        <is>
          <t>google Map</t>
        </is>
      </c>
      <c r="K70" s="1742" t="n">
        <v>16507.2</v>
      </c>
    </row>
    <row r="71" ht="18.6" customHeight="1">
      <c r="A71" s="421" t="inlineStr">
        <is>
          <t>Symphony Environmental Ltd.</t>
        </is>
      </c>
      <c r="B71" s="1670" t="n">
        <v>2424.08</v>
      </c>
      <c r="C71" s="271" t="inlineStr">
        <is>
          <t>km</t>
        </is>
      </c>
      <c r="D71" s="358" t="inlineStr">
        <is>
          <t>KAOHSIUNG PORT</t>
        </is>
      </c>
      <c r="E71" s="308" t="inlineStr">
        <is>
          <t>แหลมฉบัง</t>
        </is>
      </c>
      <c r="F71" s="308" t="n">
        <v>2</v>
      </c>
      <c r="G71" s="308" t="inlineStr">
        <is>
          <t>เรือ</t>
        </is>
      </c>
      <c r="H71" s="308" t="n">
        <v>100</v>
      </c>
      <c r="I71" s="308" t="n">
        <v>0</v>
      </c>
      <c r="J71" s="358" t="inlineStr">
        <is>
          <t>google Map</t>
        </is>
      </c>
      <c r="K71" s="1742" t="n">
        <v>2424.08</v>
      </c>
    </row>
    <row r="72" ht="18.6" customHeight="1">
      <c r="A72" s="421" t="inlineStr">
        <is>
          <t>Kingfa Environmental Sci. &amp; Tech. Co.,Ltd.</t>
        </is>
      </c>
      <c r="B72" s="1670" t="n">
        <v>2570.59</v>
      </c>
      <c r="C72" s="271" t="inlineStr">
        <is>
          <t>km</t>
        </is>
      </c>
      <c r="D72" s="358" t="inlineStr">
        <is>
          <t>NANSHA NEW PORT</t>
        </is>
      </c>
      <c r="E72" s="308" t="inlineStr">
        <is>
          <t>แหลมฉบัง</t>
        </is>
      </c>
      <c r="F72" s="308" t="n">
        <v>2</v>
      </c>
      <c r="G72" s="308" t="inlineStr">
        <is>
          <t>เรือ</t>
        </is>
      </c>
      <c r="H72" s="308" t="n">
        <v>100</v>
      </c>
      <c r="I72" s="308" t="n">
        <v>0</v>
      </c>
      <c r="J72" s="358" t="inlineStr">
        <is>
          <t>google Map</t>
        </is>
      </c>
      <c r="K72" s="1742" t="n">
        <v>2570.59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</sheetData>
  <mergeCells count="28">
    <mergeCell ref="A24:A25"/>
    <mergeCell ref="A61:A62"/>
    <mergeCell ref="G61:G62"/>
    <mergeCell ref="I61:I62"/>
    <mergeCell ref="A2:A4"/>
    <mergeCell ref="C2:C4"/>
    <mergeCell ref="I2:J2"/>
    <mergeCell ref="B61:B62"/>
    <mergeCell ref="D61:D62"/>
    <mergeCell ref="M2:N2"/>
    <mergeCell ref="H61:H62"/>
    <mergeCell ref="D3:D4"/>
    <mergeCell ref="G24:G25"/>
    <mergeCell ref="B24:B25"/>
    <mergeCell ref="D24:D25"/>
    <mergeCell ref="C61:C62"/>
    <mergeCell ref="E61:E62"/>
    <mergeCell ref="F61:F62"/>
    <mergeCell ref="K2:L2"/>
    <mergeCell ref="G2:G4"/>
    <mergeCell ref="B2:B4"/>
    <mergeCell ref="J61:J62"/>
    <mergeCell ref="F2:F4"/>
    <mergeCell ref="H2:H4"/>
    <mergeCell ref="C24:C25"/>
    <mergeCell ref="E24:E25"/>
    <mergeCell ref="F24:F25"/>
    <mergeCell ref="E2:E4"/>
  </mergeCells>
  <pageMargins left="0.7" right="0.7" top="0.75" bottom="0.75" header="0.3" footer="0.3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A1003"/>
  <sheetViews>
    <sheetView workbookViewId="0">
      <selection activeCell="H15" sqref="H15"/>
    </sheetView>
  </sheetViews>
  <sheetFormatPr baseColWidth="8" defaultColWidth="14.3984375" defaultRowHeight="15" customHeight="1"/>
  <cols>
    <col width="31" customWidth="1" style="228" min="1" max="1"/>
    <col width="17.59765625" customWidth="1" style="228" min="2" max="2"/>
    <col width="18.8984375" customWidth="1" style="228" min="3" max="3"/>
    <col width="16.19921875" customWidth="1" style="228" min="4" max="4"/>
    <col width="8.796875" customWidth="1" style="228" min="5" max="5"/>
    <col width="15.19921875" customWidth="1" style="228" min="6" max="18"/>
    <col width="8.796875" customWidth="1" style="228" min="19" max="27"/>
    <col width="14.3984375" customWidth="1" style="228" min="28" max="16384"/>
  </cols>
  <sheetData>
    <row r="1" ht="14.25" customHeight="1">
      <c r="A1" s="416" t="n"/>
    </row>
    <row r="2" ht="22.8" customHeight="1">
      <c r="A2" s="1390" t="inlineStr">
        <is>
          <t>รายการของเสียจากการผลิต/อาคารสำนักงาน</t>
        </is>
      </c>
      <c r="B2" s="1390" t="inlineStr">
        <is>
          <t>ตำแหน่งที่เกิดของเสีย</t>
        </is>
      </c>
      <c r="C2" s="1382" t="inlineStr">
        <is>
          <t>หลักฐาน</t>
        </is>
      </c>
      <c r="D2" s="1390" t="inlineStr">
        <is>
          <t>วิธีการกำจัด/รหัสกำจัดตามเอกสาร Manifest</t>
        </is>
      </c>
      <c r="E2" s="1382" t="inlineStr">
        <is>
          <t xml:space="preserve">หน่วย </t>
        </is>
      </c>
      <c r="F2" s="1391" t="inlineStr">
        <is>
          <t>รวม</t>
        </is>
      </c>
      <c r="G2" s="1382" t="inlineStr">
        <is>
          <t>ปริมาณการเกิดของเสียแต่ละเดือน/2566</t>
        </is>
      </c>
      <c r="H2" s="1415" t="n"/>
      <c r="I2" s="1415" t="n"/>
      <c r="J2" s="1415" t="n"/>
      <c r="K2" s="1415" t="n"/>
      <c r="L2" s="1415" t="n"/>
      <c r="M2" s="1415" t="n"/>
      <c r="N2" s="1415" t="n"/>
      <c r="O2" s="1415" t="n"/>
      <c r="P2" s="1415" t="n"/>
      <c r="Q2" s="1415" t="n"/>
      <c r="R2" s="1416" t="n"/>
    </row>
    <row r="3" ht="22.8" customHeight="1">
      <c r="A3" s="1417" t="n"/>
      <c r="B3" s="1417" t="n"/>
      <c r="C3" s="1417" t="n"/>
      <c r="D3" s="1417" t="n"/>
      <c r="E3" s="1417" t="n"/>
      <c r="F3" s="1417" t="n"/>
      <c r="G3" s="1382" t="n">
        <v>1</v>
      </c>
      <c r="H3" s="1382" t="n">
        <v>2</v>
      </c>
      <c r="I3" s="1382" t="n">
        <v>3</v>
      </c>
      <c r="J3" s="1382" t="n">
        <v>4</v>
      </c>
      <c r="K3" s="1382" t="n">
        <v>5</v>
      </c>
      <c r="L3" s="1382" t="n">
        <v>6</v>
      </c>
      <c r="M3" s="1382" t="n">
        <v>7</v>
      </c>
      <c r="N3" s="1382" t="n">
        <v>8</v>
      </c>
      <c r="O3" s="1382" t="n">
        <v>9</v>
      </c>
      <c r="P3" s="1382" t="n">
        <v>10</v>
      </c>
      <c r="Q3" s="1382" t="n">
        <v>11</v>
      </c>
      <c r="R3" s="1382" t="n">
        <v>12</v>
      </c>
    </row>
    <row r="4" ht="21.6" customFormat="1" customHeight="1" s="260">
      <c r="A4" s="283" t="inlineStr">
        <is>
          <t>ขยะมูลฝอยทั่วไป</t>
        </is>
      </c>
      <c r="B4" s="427" t="inlineStr">
        <is>
          <t>จากร้านค้าโรงอาหาร / จากพนักงาน เช่น เศษถุงอาหาร ซองขนม  แก้วพลาสติก ใบไม้</t>
        </is>
      </c>
      <c r="C4" s="427" t="inlineStr">
        <is>
          <t>ใบกำกับการขนส่งขยะมูลฝอยประจำเดือน</t>
        </is>
      </c>
      <c r="D4" s="428" t="inlineStr">
        <is>
          <t>ฝังกลบ</t>
        </is>
      </c>
      <c r="E4" s="429" t="inlineStr">
        <is>
          <t>Kg</t>
        </is>
      </c>
      <c r="F4" s="1743">
        <f>SUM(G4:R4)</f>
        <v/>
      </c>
      <c r="G4" s="1744" t="n">
        <v>12000</v>
      </c>
      <c r="H4" s="1632" t="n">
        <v>12000</v>
      </c>
      <c r="I4" s="1632" t="n">
        <v>13000</v>
      </c>
      <c r="J4" s="1632" t="n">
        <v>9000</v>
      </c>
      <c r="K4" s="1632" t="n">
        <v>13000</v>
      </c>
      <c r="L4" s="1632" t="n">
        <v>13000</v>
      </c>
      <c r="M4" s="1632" t="n">
        <v>13000</v>
      </c>
      <c r="N4" s="1632" t="n">
        <v>14000</v>
      </c>
      <c r="O4" s="1632" t="n">
        <v>13000</v>
      </c>
      <c r="P4" s="1632" t="n">
        <v>13000</v>
      </c>
      <c r="Q4" s="1632" t="n">
        <v>13000</v>
      </c>
      <c r="R4" s="1632" t="n">
        <v>12000</v>
      </c>
    </row>
    <row r="5" ht="21.6" customFormat="1" customHeight="1" s="260">
      <c r="A5" s="283" t="inlineStr">
        <is>
          <t>ขยะอันตราย</t>
        </is>
      </c>
      <c r="B5" s="431" t="n"/>
      <c r="C5" s="431" t="inlineStr">
        <is>
          <t>ใบ manifest</t>
        </is>
      </c>
      <c r="D5" s="428" t="inlineStr">
        <is>
          <t>ฝังกลบ (073)</t>
        </is>
      </c>
      <c r="E5" s="429" t="inlineStr">
        <is>
          <t>Kg</t>
        </is>
      </c>
      <c r="F5" s="1745">
        <f>F14</f>
        <v/>
      </c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</row>
    <row r="6" ht="21.6" customFormat="1" customHeight="1" s="260">
      <c r="A6" s="283" t="inlineStr">
        <is>
          <t>ขยะรีไซเคิล</t>
        </is>
      </c>
      <c r="B6" s="431" t="n"/>
      <c r="C6" s="431" t="n"/>
      <c r="D6" s="433" t="inlineStr">
        <is>
          <t>ใช้ประโยชน์ (042,049,011)</t>
        </is>
      </c>
      <c r="E6" s="429" t="inlineStr">
        <is>
          <t>Kg</t>
        </is>
      </c>
      <c r="F6" s="1745">
        <f>SUM(F7:F13,F15:F18)</f>
        <v/>
      </c>
      <c r="G6" s="288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</row>
    <row r="7" ht="21.6" customFormat="1" customHeight="1" s="260">
      <c r="A7" s="434" t="inlineStr">
        <is>
          <t>สีพิมพ์เสื่อมสภาพ</t>
        </is>
      </c>
      <c r="B7" s="435" t="inlineStr">
        <is>
          <t>กระบวนการเกิดของเสีย  เนื่องจากการผสมสีพิมพ์ที่ไม่ได้ตามคุณภาพ และเกิดสีพิมพ์หมดอายุไม่สามารถใช้งานได้</t>
        </is>
      </c>
      <c r="C7" s="435" t="inlineStr">
        <is>
          <t xml:space="preserve">ใบกำกับการขนส่งวัสดุที่ไม่ใช้แล้ว (Manifest) </t>
        </is>
      </c>
      <c r="D7" s="436" t="inlineStr">
        <is>
          <t>042</t>
        </is>
      </c>
      <c r="E7" s="437" t="inlineStr">
        <is>
          <t>Kgs.</t>
        </is>
      </c>
      <c r="F7" s="1746">
        <f>SUM(G7:R7)</f>
        <v/>
      </c>
      <c r="G7" s="437" t="inlineStr">
        <is>
          <t>-</t>
        </is>
      </c>
      <c r="H7" s="1747" t="n">
        <v>2156</v>
      </c>
      <c r="I7" s="1747" t="n"/>
      <c r="J7" s="1747" t="n">
        <v>1000</v>
      </c>
      <c r="K7" s="437" t="inlineStr">
        <is>
          <t>-</t>
        </is>
      </c>
      <c r="L7" s="1747" t="n">
        <v>1200</v>
      </c>
      <c r="M7" s="437" t="inlineStr">
        <is>
          <t>-</t>
        </is>
      </c>
      <c r="N7" s="437" t="inlineStr">
        <is>
          <t>-</t>
        </is>
      </c>
      <c r="O7" s="1747" t="n">
        <v>1800</v>
      </c>
      <c r="P7" s="437" t="inlineStr">
        <is>
          <t>-</t>
        </is>
      </c>
      <c r="Q7" s="1747" t="n">
        <v>2000</v>
      </c>
      <c r="R7" s="437" t="inlineStr">
        <is>
          <t>-</t>
        </is>
      </c>
      <c r="S7" s="440" t="n"/>
      <c r="T7" s="1748" t="n"/>
      <c r="U7" s="440" t="n"/>
      <c r="V7" s="440" t="n"/>
      <c r="W7" s="440" t="n"/>
      <c r="X7" s="440" t="n"/>
      <c r="Y7" s="440" t="n"/>
      <c r="Z7" s="440" t="n"/>
      <c r="AA7" s="440" t="n"/>
    </row>
    <row r="8" ht="21.6" customFormat="1" customHeight="1" s="260">
      <c r="A8" s="442" t="inlineStr">
        <is>
          <t>น้ำมันใช้แล้ว</t>
        </is>
      </c>
      <c r="B8" s="350" t="inlineStr">
        <is>
          <t>กระบวนการเกิดของเสียเนื่องจากการทำ PM เครื่องจักรไม่สามารถนำกลับมาใช้งานได้</t>
        </is>
      </c>
      <c r="C8" s="350" t="inlineStr">
        <is>
          <t xml:space="preserve">ใบกำกับการขนส่งวัสดุที่ไม่ใช้แล้ว (Manifest) </t>
        </is>
      </c>
      <c r="D8" s="443" t="inlineStr">
        <is>
          <t>042</t>
        </is>
      </c>
      <c r="E8" s="357" t="inlineStr">
        <is>
          <t>Kgs.</t>
        </is>
      </c>
      <c r="F8" s="1746">
        <f>SUM(G8:R8)</f>
        <v/>
      </c>
      <c r="G8" s="357" t="inlineStr">
        <is>
          <t>-</t>
        </is>
      </c>
      <c r="H8" s="357" t="inlineStr">
        <is>
          <t>-</t>
        </is>
      </c>
      <c r="I8" s="1749" t="n"/>
      <c r="J8" s="1749" t="n">
        <v>800</v>
      </c>
      <c r="K8" s="1749" t="inlineStr">
        <is>
          <t>-</t>
        </is>
      </c>
      <c r="L8" s="1749" t="n">
        <v>400</v>
      </c>
      <c r="M8" s="1749" t="inlineStr">
        <is>
          <t>-</t>
        </is>
      </c>
      <c r="N8" s="1749" t="inlineStr">
        <is>
          <t>-</t>
        </is>
      </c>
      <c r="O8" s="1749" t="n">
        <v>1400</v>
      </c>
      <c r="P8" s="1749" t="inlineStr">
        <is>
          <t>-</t>
        </is>
      </c>
      <c r="Q8" s="1749" t="n">
        <v>600</v>
      </c>
      <c r="R8" s="357" t="inlineStr">
        <is>
          <t>-</t>
        </is>
      </c>
      <c r="S8" s="440" t="n"/>
      <c r="T8" s="440" t="n"/>
      <c r="U8" s="440" t="n"/>
      <c r="V8" s="440" t="n"/>
      <c r="W8" s="440" t="n"/>
      <c r="X8" s="440" t="n"/>
      <c r="Y8" s="440" t="n"/>
      <c r="Z8" s="440" t="n"/>
      <c r="AA8" s="440" t="n"/>
    </row>
    <row r="9" ht="21.6" customFormat="1" customHeight="1" s="260">
      <c r="A9" s="442" t="inlineStr">
        <is>
          <t>ภาชนะปนเปื้อน</t>
        </is>
      </c>
      <c r="B9" s="350" t="inlineStr">
        <is>
          <t>กระบวนการเกิดของเสียเนื่องจากเป็นภาชนะบรรจุสีพิมพ์ที่ใช้งานแล้ว และภาชนะมีการปนเปื้อนของสีพิมพ์</t>
        </is>
      </c>
      <c r="C9" s="350" t="inlineStr">
        <is>
          <t xml:space="preserve">ใบกำกับการขนส่งวัสดุที่ไม่ใช้แล้ว (Manifest) </t>
        </is>
      </c>
      <c r="D9" s="443" t="inlineStr">
        <is>
          <t>049</t>
        </is>
      </c>
      <c r="E9" s="357" t="inlineStr">
        <is>
          <t>Kgs.</t>
        </is>
      </c>
      <c r="F9" s="1746">
        <f>SUM(G9:R9)</f>
        <v/>
      </c>
      <c r="G9" s="357" t="inlineStr">
        <is>
          <t>-</t>
        </is>
      </c>
      <c r="H9" s="1749" t="n">
        <v>156</v>
      </c>
      <c r="I9" s="1749" t="n"/>
      <c r="J9" s="1749" t="n">
        <v>505</v>
      </c>
      <c r="K9" s="1749" t="inlineStr">
        <is>
          <t>-</t>
        </is>
      </c>
      <c r="L9" s="1749" t="n">
        <v>323.3</v>
      </c>
      <c r="M9" s="1749" t="inlineStr">
        <is>
          <t>-</t>
        </is>
      </c>
      <c r="N9" s="1749" t="inlineStr">
        <is>
          <t>-</t>
        </is>
      </c>
      <c r="O9" s="1749" t="n">
        <v>106.2</v>
      </c>
      <c r="P9" s="1749" t="inlineStr">
        <is>
          <t>-</t>
        </is>
      </c>
      <c r="Q9" s="1749" t="n">
        <v>130</v>
      </c>
      <c r="R9" s="357" t="inlineStr">
        <is>
          <t>-</t>
        </is>
      </c>
      <c r="S9" s="440" t="n"/>
      <c r="T9" s="440" t="n"/>
      <c r="U9" s="440" t="n"/>
      <c r="V9" s="440" t="n"/>
      <c r="W9" s="440" t="n"/>
      <c r="X9" s="440" t="n"/>
      <c r="Y9" s="440" t="n"/>
      <c r="Z9" s="440" t="n"/>
      <c r="AA9" s="440" t="n"/>
    </row>
    <row r="10" ht="21.6" customFormat="1" customHeight="1" s="260">
      <c r="A10" s="442" t="inlineStr">
        <is>
          <t>เศษผ้าปนเปื้อน</t>
        </is>
      </c>
      <c r="B10" s="445" t="inlineStr">
        <is>
          <t>กระบวนการเกิดของเสีย  เนื่องจาก การนำเศษผ้าเช็ดทำความสะอาดตามเครื่องจักรเกิดการปนเปื้อน น้ำมันหรือสีพิมพ์</t>
        </is>
      </c>
      <c r="C10" s="350" t="inlineStr">
        <is>
          <t xml:space="preserve">ใบกำกับการขนส่งวัสดุที่ไม่ใช้แล้ว (Manifest) </t>
        </is>
      </c>
      <c r="D10" s="443" t="inlineStr">
        <is>
          <t>042</t>
        </is>
      </c>
      <c r="E10" s="357" t="inlineStr">
        <is>
          <t>Kgs.</t>
        </is>
      </c>
      <c r="F10" s="1746">
        <f>SUM(G10:R10)</f>
        <v/>
      </c>
      <c r="G10" s="357" t="inlineStr">
        <is>
          <t>-</t>
        </is>
      </c>
      <c r="H10" s="1749" t="n">
        <v>2010</v>
      </c>
      <c r="I10" s="1749" t="n"/>
      <c r="J10" s="1749" t="n">
        <v>1251.2</v>
      </c>
      <c r="K10" s="357" t="inlineStr">
        <is>
          <t>-</t>
        </is>
      </c>
      <c r="L10" s="1749" t="n">
        <v>2654.8</v>
      </c>
      <c r="M10" s="357" t="inlineStr">
        <is>
          <t>-</t>
        </is>
      </c>
      <c r="N10" s="357" t="inlineStr">
        <is>
          <t>-</t>
        </is>
      </c>
      <c r="O10" s="1749" t="n">
        <v>2383.9</v>
      </c>
      <c r="P10" s="357" t="inlineStr">
        <is>
          <t>-</t>
        </is>
      </c>
      <c r="Q10" s="1749" t="n">
        <v>2690</v>
      </c>
      <c r="R10" s="357" t="inlineStr">
        <is>
          <t>-</t>
        </is>
      </c>
      <c r="S10" s="440" t="n"/>
      <c r="T10" s="440" t="n"/>
      <c r="U10" s="440" t="n"/>
      <c r="V10" s="440" t="n"/>
      <c r="W10" s="440" t="n"/>
      <c r="X10" s="440" t="n"/>
      <c r="Y10" s="440" t="n"/>
      <c r="Z10" s="440" t="n"/>
      <c r="AA10" s="440" t="n"/>
    </row>
    <row r="11" ht="21.6" customFormat="1" customHeight="1" s="260">
      <c r="A11" s="442" t="inlineStr">
        <is>
          <t>เม็ดพลาสติกเสื่อมสภาพ</t>
        </is>
      </c>
      <c r="B11" s="350" t="inlineStr">
        <is>
          <t>เกิดจากกระบวนการผลิตเนื่องจากการผสมวัตถุดิบที่ไม่ได้ตามคุณภาพ และเม็ดพลาสติกหมดอายุไม่สามารถนำมาผลิตได้</t>
        </is>
      </c>
      <c r="C11" s="350" t="inlineStr">
        <is>
          <t xml:space="preserve">ใบกำกับการขนส่งวัสดุที่ไม่ใช้แล้ว (Manifest) </t>
        </is>
      </c>
      <c r="D11" s="443" t="inlineStr">
        <is>
          <t>011</t>
        </is>
      </c>
      <c r="E11" s="357" t="inlineStr">
        <is>
          <t>Kgs.</t>
        </is>
      </c>
      <c r="F11" s="1746">
        <f>SUM(G11:R11)</f>
        <v/>
      </c>
      <c r="G11" s="357" t="inlineStr">
        <is>
          <t>-</t>
        </is>
      </c>
      <c r="H11" s="1749" t="n">
        <v>4452</v>
      </c>
      <c r="I11" s="357" t="inlineStr">
        <is>
          <t>-</t>
        </is>
      </c>
      <c r="J11" s="357" t="inlineStr">
        <is>
          <t>-</t>
        </is>
      </c>
      <c r="K11" s="357" t="inlineStr">
        <is>
          <t>-</t>
        </is>
      </c>
      <c r="L11" s="357" t="inlineStr">
        <is>
          <t>-</t>
        </is>
      </c>
      <c r="M11" s="357" t="inlineStr">
        <is>
          <t>-</t>
        </is>
      </c>
      <c r="N11" s="357" t="inlineStr">
        <is>
          <t>-</t>
        </is>
      </c>
      <c r="O11" s="1749" t="n">
        <v>2600</v>
      </c>
      <c r="P11" s="357" t="inlineStr">
        <is>
          <t>-</t>
        </is>
      </c>
      <c r="Q11" s="357" t="inlineStr">
        <is>
          <t>-</t>
        </is>
      </c>
      <c r="R11" s="357" t="inlineStr">
        <is>
          <t>-</t>
        </is>
      </c>
      <c r="S11" s="440" t="n"/>
      <c r="T11" s="440" t="n"/>
      <c r="U11" s="440" t="n"/>
      <c r="V11" s="440" t="n"/>
      <c r="W11" s="440" t="n"/>
      <c r="X11" s="440" t="n"/>
      <c r="Y11" s="440" t="n"/>
      <c r="Z11" s="440" t="n"/>
      <c r="AA11" s="440" t="n"/>
    </row>
    <row r="12" ht="21.6" customFormat="1" customHeight="1" s="260">
      <c r="A12" s="442" t="inlineStr">
        <is>
          <t>เม็ดพลาสติกเสื่อมสภาพ</t>
        </is>
      </c>
      <c r="B12" s="350" t="inlineStr">
        <is>
          <t xml:space="preserve">กระบวนการเกิดของเสียเนื่องจากเป็นเม็ดพลาสติกที่หมดอายุ และเสื่อมสภาพ ซึ่งไม่สามารถนำมาใช้ขึ้นรูปในการผลิตได้ </t>
        </is>
      </c>
      <c r="C12" s="350" t="inlineStr">
        <is>
          <t xml:space="preserve">ใบกำกับการขนส่งวัสดุที่ไม่ใช้แล้ว (Manifest) </t>
        </is>
      </c>
      <c r="D12" s="443" t="inlineStr">
        <is>
          <t>042</t>
        </is>
      </c>
      <c r="E12" s="357" t="inlineStr">
        <is>
          <t>Kgs.</t>
        </is>
      </c>
      <c r="F12" s="1746">
        <f>SUM(G12:R12)</f>
        <v/>
      </c>
      <c r="G12" s="357" t="inlineStr">
        <is>
          <t>-</t>
        </is>
      </c>
      <c r="H12" s="357" t="inlineStr">
        <is>
          <t>-</t>
        </is>
      </c>
      <c r="I12" s="357" t="inlineStr">
        <is>
          <t>-</t>
        </is>
      </c>
      <c r="J12" s="357" t="inlineStr">
        <is>
          <t>-</t>
        </is>
      </c>
      <c r="K12" s="1749" t="n">
        <v>62597</v>
      </c>
      <c r="L12" s="357" t="inlineStr">
        <is>
          <t>-</t>
        </is>
      </c>
      <c r="M12" s="357" t="inlineStr">
        <is>
          <t>-</t>
        </is>
      </c>
      <c r="N12" s="357" t="inlineStr">
        <is>
          <t>-</t>
        </is>
      </c>
      <c r="O12" s="357" t="inlineStr">
        <is>
          <t>-</t>
        </is>
      </c>
      <c r="P12" s="357" t="inlineStr">
        <is>
          <t>-</t>
        </is>
      </c>
      <c r="Q12" s="357" t="inlineStr">
        <is>
          <t>-</t>
        </is>
      </c>
      <c r="R12" s="357" t="inlineStr">
        <is>
          <t>-</t>
        </is>
      </c>
      <c r="S12" s="440" t="n"/>
      <c r="T12" s="440" t="n"/>
      <c r="U12" s="440" t="n"/>
      <c r="V12" s="440" t="n"/>
      <c r="W12" s="440" t="n"/>
      <c r="X12" s="440" t="n"/>
      <c r="Y12" s="440" t="n"/>
      <c r="Z12" s="440" t="n"/>
      <c r="AA12" s="440" t="n"/>
    </row>
    <row r="13" ht="21.6" customFormat="1" customHeight="1" s="260">
      <c r="A13" s="442" t="inlineStr">
        <is>
          <t>หลอดไฟ</t>
        </is>
      </c>
      <c r="B13" s="350" t="inlineStr">
        <is>
          <t xml:space="preserve">กระบวนการเกิดของเสีย เนื่องจากการหลอดไฟหมดอายุการใช้งาน </t>
        </is>
      </c>
      <c r="C13" s="350" t="inlineStr">
        <is>
          <t xml:space="preserve">ใบกำกับการขนส่งวัสดุที่ไม่ใช้แล้ว (Manifest) </t>
        </is>
      </c>
      <c r="D13" s="443" t="inlineStr">
        <is>
          <t>049</t>
        </is>
      </c>
      <c r="E13" s="357" t="inlineStr">
        <is>
          <t>Kgs.</t>
        </is>
      </c>
      <c r="F13" s="1746">
        <f>SUM(G13:R13)</f>
        <v/>
      </c>
      <c r="G13" s="357" t="inlineStr">
        <is>
          <t>-</t>
        </is>
      </c>
      <c r="H13" s="1749" t="n">
        <v>7.6</v>
      </c>
      <c r="I13" s="1749" t="inlineStr">
        <is>
          <t>-</t>
        </is>
      </c>
      <c r="J13" s="1749" t="inlineStr">
        <is>
          <t>-</t>
        </is>
      </c>
      <c r="K13" s="1749" t="inlineStr">
        <is>
          <t>-</t>
        </is>
      </c>
      <c r="L13" s="1749" t="inlineStr">
        <is>
          <t>-</t>
        </is>
      </c>
      <c r="M13" s="1749" t="inlineStr">
        <is>
          <t>-</t>
        </is>
      </c>
      <c r="N13" s="1749" t="inlineStr">
        <is>
          <t>-</t>
        </is>
      </c>
      <c r="O13" s="1749" t="n">
        <v>8</v>
      </c>
      <c r="P13" s="357" t="inlineStr">
        <is>
          <t>-</t>
        </is>
      </c>
      <c r="Q13" s="357" t="inlineStr">
        <is>
          <t>-</t>
        </is>
      </c>
      <c r="R13" s="357" t="inlineStr">
        <is>
          <t>-</t>
        </is>
      </c>
      <c r="S13" s="440" t="n"/>
      <c r="T13" s="440" t="n"/>
      <c r="U13" s="440" t="n"/>
      <c r="V13" s="440" t="n"/>
      <c r="W13" s="440" t="n"/>
      <c r="X13" s="440" t="n"/>
      <c r="Y13" s="440" t="n"/>
      <c r="Z13" s="440" t="n"/>
      <c r="AA13" s="440" t="n"/>
    </row>
    <row r="14" ht="21.6" customFormat="1" customHeight="1" s="260">
      <c r="A14" s="442" t="inlineStr">
        <is>
          <t>ขยะอิเล็กทรอนิกส์</t>
        </is>
      </c>
      <c r="B14" s="350" t="inlineStr">
        <is>
          <t>อุปกรณ์อิเล็กทรอนิกส์เสื่อมสภาพ เช่น แผงวงจร คอมเพรสเซอร์ หน้าจอทัชสกรีน ที่เสื่อมสภาพเก็บรวบรวมส่งกำจัด</t>
        </is>
      </c>
      <c r="C14" s="350" t="inlineStr">
        <is>
          <t xml:space="preserve">ใบกำกับการขนส่งวัสดุที่ไม่ใช้แล้ว (Manifest) </t>
        </is>
      </c>
      <c r="D14" s="443" t="inlineStr">
        <is>
          <t>073</t>
        </is>
      </c>
      <c r="E14" s="357" t="inlineStr">
        <is>
          <t>Kgs.</t>
        </is>
      </c>
      <c r="F14" s="1746">
        <f>SUM(G14:R14)</f>
        <v/>
      </c>
      <c r="G14" s="1749" t="inlineStr">
        <is>
          <t>-</t>
        </is>
      </c>
      <c r="H14" s="1749" t="inlineStr">
        <is>
          <t>-</t>
        </is>
      </c>
      <c r="I14" s="1749" t="inlineStr">
        <is>
          <t>-</t>
        </is>
      </c>
      <c r="J14" s="1749" t="inlineStr">
        <is>
          <t>-</t>
        </is>
      </c>
      <c r="K14" s="1749" t="inlineStr">
        <is>
          <t>-</t>
        </is>
      </c>
      <c r="L14" s="1749" t="inlineStr">
        <is>
          <t>-</t>
        </is>
      </c>
      <c r="M14" s="1749" t="inlineStr">
        <is>
          <t>-</t>
        </is>
      </c>
      <c r="N14" s="1749" t="inlineStr">
        <is>
          <t>-</t>
        </is>
      </c>
      <c r="O14" s="1749" t="inlineStr">
        <is>
          <t>-</t>
        </is>
      </c>
      <c r="P14" s="1749" t="inlineStr">
        <is>
          <t>-</t>
        </is>
      </c>
      <c r="Q14" s="1749" t="n">
        <v>680</v>
      </c>
      <c r="R14" s="357" t="inlineStr">
        <is>
          <t>-</t>
        </is>
      </c>
      <c r="S14" s="440" t="n"/>
      <c r="T14" s="440" t="n"/>
      <c r="U14" s="440" t="n"/>
      <c r="V14" s="440" t="n"/>
      <c r="W14" s="440" t="n"/>
      <c r="X14" s="440" t="n"/>
      <c r="Y14" s="440" t="n"/>
      <c r="Z14" s="440" t="n"/>
      <c r="AA14" s="440" t="n"/>
    </row>
    <row r="15" ht="21.6" customFormat="1" customHeight="1" s="260">
      <c r="A15" s="442" t="inlineStr">
        <is>
          <t>เศษเหล็ก</t>
        </is>
      </c>
      <c r="B15" s="350" t="inlineStr">
        <is>
          <t>เศษเหล็ก จากการซ่อมแซม เช่น การตัด เจียร ตะไบ ไส กลึง หรือเปลี่ยนใหม่ เนื่องจากเกิดสนิม</t>
        </is>
      </c>
      <c r="C15" s="350" t="inlineStr">
        <is>
          <t xml:space="preserve">ใบกำกับการขนส่งวัสดุที่ไม่ใช้แล้ว (Manifest) </t>
        </is>
      </c>
      <c r="D15" s="443" t="inlineStr">
        <is>
          <t>011</t>
        </is>
      </c>
      <c r="E15" s="357" t="inlineStr">
        <is>
          <t>Kgs.</t>
        </is>
      </c>
      <c r="F15" s="1746">
        <f>SUM(G15:R15)</f>
        <v/>
      </c>
      <c r="G15" s="1749" t="n">
        <v>400</v>
      </c>
      <c r="H15" s="1749" t="n">
        <v>1550</v>
      </c>
      <c r="I15" s="1749" t="n">
        <v>2595</v>
      </c>
      <c r="J15" s="1749" t="n">
        <v>1450</v>
      </c>
      <c r="K15" s="1749" t="n">
        <v>470</v>
      </c>
      <c r="L15" s="1749" t="n">
        <v>1030</v>
      </c>
      <c r="M15" s="1749" t="n">
        <v>1060</v>
      </c>
      <c r="N15" s="1749" t="n">
        <v>470</v>
      </c>
      <c r="O15" s="1749" t="n">
        <v>495</v>
      </c>
      <c r="P15" s="1749" t="n">
        <v>695</v>
      </c>
      <c r="Q15" s="1749" t="n">
        <v>5200</v>
      </c>
      <c r="R15" s="1749" t="n">
        <v>2990</v>
      </c>
      <c r="S15" s="440" t="n"/>
      <c r="T15" s="440" t="n"/>
      <c r="U15" s="440" t="n"/>
      <c r="V15" s="440" t="n"/>
      <c r="W15" s="440" t="n"/>
      <c r="X15" s="440" t="n"/>
      <c r="Y15" s="440" t="n"/>
      <c r="Z15" s="440" t="n"/>
      <c r="AA15" s="440" t="n"/>
    </row>
    <row r="16" ht="21.6" customFormat="1" customHeight="1" s="260">
      <c r="A16" s="442" t="inlineStr">
        <is>
          <t>เศษพลาสติก</t>
        </is>
      </c>
      <c r="B16" s="350" t="inlineStr">
        <is>
          <t>เศษพลาสติกจากการห่อหุ้มสินค้าและวัตถุดิบ และจากการผลิตสินค้าในโรงงาน ที่ขาด ไม่สามารถใช้งานได้</t>
        </is>
      </c>
      <c r="C16" s="350" t="inlineStr">
        <is>
          <t xml:space="preserve">ใบกำกับการขนส่งวัสดุที่ไม่ใช้แล้ว (Manifest) </t>
        </is>
      </c>
      <c r="D16" s="443" t="inlineStr">
        <is>
          <t>011</t>
        </is>
      </c>
      <c r="E16" s="357" t="inlineStr">
        <is>
          <t>Kgs.</t>
        </is>
      </c>
      <c r="F16" s="1746">
        <f>SUM(G16:R16)</f>
        <v/>
      </c>
      <c r="G16" s="1750" t="n">
        <v>3568.8</v>
      </c>
      <c r="H16" s="1750" t="n">
        <v>4253.8</v>
      </c>
      <c r="I16" s="1750" t="n">
        <v>3686.4</v>
      </c>
      <c r="J16" s="1750" t="n">
        <v>2574.4</v>
      </c>
      <c r="K16" s="1750" t="n">
        <v>6233.2</v>
      </c>
      <c r="L16" s="1750" t="n">
        <v>4925.6</v>
      </c>
      <c r="M16" s="1750" t="n">
        <v>7195.2</v>
      </c>
      <c r="N16" s="1750" t="n">
        <v>8567.200000000001</v>
      </c>
      <c r="O16" s="1750" t="n">
        <v>5861.2</v>
      </c>
      <c r="P16" s="1750" t="n">
        <v>5961.4</v>
      </c>
      <c r="Q16" s="1750" t="n">
        <v>10500</v>
      </c>
      <c r="R16" s="1750" t="n">
        <v>12600</v>
      </c>
      <c r="S16" s="440" t="n"/>
      <c r="T16" s="440" t="n"/>
      <c r="U16" s="440" t="n"/>
      <c r="V16" s="440" t="n"/>
      <c r="W16" s="440" t="n"/>
      <c r="X16" s="440" t="n"/>
      <c r="Y16" s="440" t="n"/>
      <c r="Z16" s="440" t="n"/>
      <c r="AA16" s="440" t="n"/>
    </row>
    <row r="17" ht="21.6" customFormat="1" customHeight="1" s="260">
      <c r="A17" s="442" t="inlineStr">
        <is>
          <t>เศษไม้</t>
        </is>
      </c>
      <c r="B17" s="350" t="inlineStr">
        <is>
          <t>เศษไม้ เป็นไม้พาเลทที่ใช้รองวัตถุดิบ หรือสินค้าจากทางผู้ผลิต เกิดการชำรุดหัก แตก ใช้งานไม่ได้</t>
        </is>
      </c>
      <c r="C17" s="350" t="inlineStr">
        <is>
          <t xml:space="preserve">ใบกำกับการขนส่งวัสดุที่ไม่ใช้แล้ว (Manifest) </t>
        </is>
      </c>
      <c r="D17" s="443" t="inlineStr">
        <is>
          <t>011</t>
        </is>
      </c>
      <c r="E17" s="357" t="inlineStr">
        <is>
          <t>Kgs.</t>
        </is>
      </c>
      <c r="F17" s="1746">
        <f>SUM(G17:R17)</f>
        <v/>
      </c>
      <c r="G17" s="1749" t="inlineStr">
        <is>
          <t>-</t>
        </is>
      </c>
      <c r="H17" s="1749" t="n">
        <v>165</v>
      </c>
      <c r="I17" s="1749" t="n">
        <v>0</v>
      </c>
      <c r="J17" s="1749" t="n">
        <v>110</v>
      </c>
      <c r="K17" s="1749" t="n">
        <v>0</v>
      </c>
      <c r="L17" s="1749" t="n">
        <v>155</v>
      </c>
      <c r="M17" s="1749" t="n">
        <v>0</v>
      </c>
      <c r="N17" s="1749" t="n">
        <v>70</v>
      </c>
      <c r="O17" s="1749" t="n">
        <v>100</v>
      </c>
      <c r="P17" s="1749" t="n">
        <v>119</v>
      </c>
      <c r="Q17" s="1749" t="n">
        <v>13000</v>
      </c>
      <c r="R17" s="1749" t="n">
        <v>10280</v>
      </c>
      <c r="S17" s="440" t="n"/>
      <c r="T17" s="440" t="n"/>
      <c r="U17" s="440" t="n"/>
      <c r="V17" s="440" t="n"/>
      <c r="W17" s="440" t="n"/>
      <c r="X17" s="440" t="n"/>
      <c r="Y17" s="440" t="n"/>
      <c r="Z17" s="440" t="n"/>
      <c r="AA17" s="440" t="n"/>
    </row>
    <row r="18" ht="21.6" customFormat="1" customHeight="1" s="260">
      <c r="A18" s="442" t="inlineStr">
        <is>
          <t>เศษกระดาษหรือกระดาษแข็ง</t>
        </is>
      </c>
      <c r="B18" s="350" t="inlineStr">
        <is>
          <t>เป็นเศษกระดาษจากการใช้ในงานผลิตหรือกระดาษรองสินค้า กระดาษแข็งจากกล่องที่ขาดชำรุดแล้ว ของเสียประเภทบรรจุภัณฑ์ประเภทกระดาษ ได้แก่ กล่องหรือลังกระดาษ</t>
        </is>
      </c>
      <c r="C18" s="350" t="inlineStr">
        <is>
          <t xml:space="preserve">ใบกำกับการขนส่งวัสดุที่ไม่ใช้แล้ว (Manifest) </t>
        </is>
      </c>
      <c r="D18" s="443" t="inlineStr">
        <is>
          <t>011</t>
        </is>
      </c>
      <c r="E18" s="357" t="inlineStr">
        <is>
          <t>Kgs.</t>
        </is>
      </c>
      <c r="F18" s="1746">
        <f>SUM(G18:R18)</f>
        <v/>
      </c>
      <c r="G18" s="1749" t="n">
        <v>2275.4</v>
      </c>
      <c r="H18" s="1749" t="n">
        <v>2398</v>
      </c>
      <c r="I18" s="1749" t="n">
        <v>2166.1</v>
      </c>
      <c r="J18" s="1749" t="n">
        <v>2904.9</v>
      </c>
      <c r="K18" s="1749" t="n">
        <v>1948.2</v>
      </c>
      <c r="L18" s="1749" t="n">
        <v>2929.2</v>
      </c>
      <c r="M18" s="1749" t="n">
        <v>2596.8</v>
      </c>
      <c r="N18" s="1749" t="n">
        <v>5274.1</v>
      </c>
      <c r="O18" s="1749" t="n">
        <v>2684.4</v>
      </c>
      <c r="P18" s="1749" t="n">
        <v>3419.1</v>
      </c>
      <c r="Q18" s="1749" t="n">
        <v>12000</v>
      </c>
      <c r="R18" s="1749" t="n">
        <v>11000</v>
      </c>
      <c r="S18" s="440" t="n"/>
      <c r="T18" s="440" t="n"/>
      <c r="U18" s="440" t="n"/>
      <c r="V18" s="440" t="n"/>
      <c r="W18" s="440" t="n"/>
      <c r="X18" s="440" t="n"/>
      <c r="Y18" s="440" t="n"/>
      <c r="Z18" s="440" t="n"/>
      <c r="AA18" s="440" t="n"/>
    </row>
    <row r="19" ht="30" customHeight="1"/>
    <row r="20" ht="30" customHeight="1">
      <c r="A20" s="447" t="inlineStr">
        <is>
          <t>การขนส่ง</t>
        </is>
      </c>
      <c r="B20" s="448" t="n"/>
    </row>
    <row r="21" ht="30" customHeight="1">
      <c r="A21" s="1288" t="inlineStr">
        <is>
          <t>ลำดับ</t>
        </is>
      </c>
      <c r="B21" s="1288" t="inlineStr">
        <is>
          <t>บริษัทผู้ก่อกำเนิด</t>
        </is>
      </c>
      <c r="C21" s="1751" t="inlineStr">
        <is>
          <t>บริษัทที่รับกำจัด</t>
        </is>
      </c>
      <c r="D21" s="1672" t="inlineStr">
        <is>
          <t>ระยะทาง (km)</t>
        </is>
      </c>
      <c r="E21" s="1672" t="inlineStr">
        <is>
          <t>น้ำหนัก (kg)</t>
        </is>
      </c>
      <c r="F21" s="1389" t="inlineStr">
        <is>
          <t>รถกระบะบรรทุก 10 ล้อ วิ่งปกติ</t>
        </is>
      </c>
      <c r="G21" s="1416" t="n"/>
      <c r="H21" s="1389" t="inlineStr">
        <is>
          <t>รถกระบะ 4 ล้อ</t>
        </is>
      </c>
      <c r="I21" s="1416" t="n"/>
      <c r="J21" s="1389" t="inlineStr">
        <is>
          <t>รถบรรทุกขยะ 6 ล้อ</t>
        </is>
      </c>
      <c r="K21" s="1416" t="n"/>
    </row>
    <row r="22" ht="16.8" customHeight="1">
      <c r="A22" s="1412" t="n"/>
      <c r="B22" s="1412" t="n"/>
      <c r="C22" s="1412" t="n"/>
      <c r="D22" s="1412" t="n"/>
      <c r="E22" s="1412" t="n"/>
      <c r="F22" s="449" t="inlineStr">
        <is>
          <t>tkm</t>
        </is>
      </c>
      <c r="G22" s="449" t="inlineStr">
        <is>
          <t>km</t>
        </is>
      </c>
      <c r="H22" s="449" t="inlineStr">
        <is>
          <t>tkm</t>
        </is>
      </c>
      <c r="I22" s="449" t="inlineStr">
        <is>
          <t>km</t>
        </is>
      </c>
      <c r="J22" s="449" t="inlineStr">
        <is>
          <t>tkm</t>
        </is>
      </c>
      <c r="K22" s="449" t="inlineStr">
        <is>
          <t>km</t>
        </is>
      </c>
    </row>
    <row r="23" ht="16.8" customHeight="1">
      <c r="A23" s="1417" t="n"/>
      <c r="B23" s="1417" t="n"/>
      <c r="C23" s="1417" t="n"/>
      <c r="D23" s="1417" t="n"/>
      <c r="E23" s="1417" t="n"/>
      <c r="F23" s="1752">
        <f>SUM(F24:F26)</f>
        <v/>
      </c>
      <c r="G23" s="1752">
        <f>SUM(G24:G26)</f>
        <v/>
      </c>
      <c r="H23" s="1752">
        <f>SUM(H24:H26)</f>
        <v/>
      </c>
      <c r="I23" s="1752">
        <f>SUM(I24:I26)</f>
        <v/>
      </c>
      <c r="J23" s="1752">
        <f>SUM(J24:J26)</f>
        <v/>
      </c>
      <c r="K23" s="1752">
        <f>SUM(K24:K26)</f>
        <v/>
      </c>
    </row>
    <row r="24" ht="14.25" customHeight="1">
      <c r="A24" s="451" t="inlineStr">
        <is>
          <t>ขยะมูลฝอยทั่วไป</t>
        </is>
      </c>
      <c r="B24" s="1397" t="inlineStr">
        <is>
          <t>MBAX</t>
        </is>
      </c>
      <c r="C24" s="258" t="inlineStr">
        <is>
          <t xml:space="preserve">หลุมฝังกลบชุมชน </t>
        </is>
      </c>
      <c r="D24" s="1731" t="n">
        <v>40</v>
      </c>
      <c r="E24" s="1732">
        <f>E4</f>
        <v/>
      </c>
      <c r="F24" s="1731" t="n"/>
      <c r="G24" s="1731" t="n"/>
      <c r="H24" s="258" t="n"/>
      <c r="I24" s="258" t="n"/>
      <c r="J24" s="1732">
        <f>D24*F4/1000</f>
        <v/>
      </c>
      <c r="K24" s="1732">
        <f>J24/11</f>
        <v/>
      </c>
    </row>
    <row r="25" ht="14.25" customHeight="1">
      <c r="A25" s="451" t="inlineStr">
        <is>
          <t>ขยะอันตราย</t>
        </is>
      </c>
      <c r="B25" s="1397" t="inlineStr">
        <is>
          <t>MBAX</t>
        </is>
      </c>
      <c r="C25" s="258" t="inlineStr">
        <is>
          <t>บริษัท กรีน เอ็นไวรอนเม้นท์ แลนด์ฟิล จำกัด</t>
        </is>
      </c>
      <c r="D25" s="1731" t="n">
        <v>118</v>
      </c>
      <c r="E25" s="1732">
        <f>E5</f>
        <v/>
      </c>
      <c r="F25" s="1731">
        <f>D25*F5/1000</f>
        <v/>
      </c>
      <c r="G25" s="1731">
        <f>F25/16</f>
        <v/>
      </c>
      <c r="H25" s="1732" t="n"/>
      <c r="I25" s="1732" t="n"/>
      <c r="J25" s="258" t="n"/>
      <c r="K25" s="258" t="n"/>
    </row>
    <row r="26" ht="14.25" customHeight="1">
      <c r="A26" s="451" t="inlineStr">
        <is>
          <t>ขยะรีไซเคิล</t>
        </is>
      </c>
      <c r="B26" s="1397" t="inlineStr">
        <is>
          <t>MBAX</t>
        </is>
      </c>
      <c r="C26" s="258" t="inlineStr">
        <is>
          <t>บริษัท กรีน เอ็นไวรอนเม้นท์ แลนด์ฟิล จำกัด</t>
        </is>
      </c>
      <c r="D26" s="1731" t="n">
        <v>118</v>
      </c>
      <c r="E26" s="1732">
        <f>E6</f>
        <v/>
      </c>
      <c r="F26" s="1732">
        <f>D26*F6/1000</f>
        <v/>
      </c>
      <c r="G26" s="1732">
        <f>F26/16</f>
        <v/>
      </c>
      <c r="H26" s="258" t="n"/>
      <c r="I26" s="258" t="n"/>
      <c r="J26" s="1731" t="n"/>
      <c r="K26" s="1731" t="n"/>
    </row>
    <row r="27" ht="14.25" customHeight="1">
      <c r="A27" s="416" t="n"/>
    </row>
    <row r="28" ht="14.25" customHeight="1">
      <c r="A28" s="416" t="n"/>
    </row>
    <row r="29" ht="14.25" customHeight="1">
      <c r="A29" s="416" t="n"/>
    </row>
    <row r="30" ht="14.25" customHeight="1">
      <c r="A30" s="416" t="n"/>
    </row>
    <row r="31" ht="14.25" customHeight="1">
      <c r="A31" s="416" t="n"/>
    </row>
    <row r="32" ht="14.25" customHeight="1">
      <c r="A32" s="416" t="n"/>
    </row>
    <row r="33" ht="14.25" customHeight="1">
      <c r="A33" s="416" t="n"/>
    </row>
    <row r="34" ht="14.25" customHeight="1">
      <c r="A34" s="416" t="n"/>
    </row>
    <row r="35" ht="14.25" customHeight="1">
      <c r="A35" s="416" t="n"/>
    </row>
    <row r="36" ht="14.25" customHeight="1">
      <c r="A36" s="416" t="n"/>
    </row>
    <row r="37" ht="14.25" customHeight="1">
      <c r="A37" s="416" t="n"/>
    </row>
    <row r="38" ht="14.25" customHeight="1">
      <c r="A38" s="416" t="n"/>
    </row>
    <row r="39" ht="14.25" customHeight="1">
      <c r="A39" s="416" t="n"/>
    </row>
    <row r="40" ht="14.25" customHeight="1">
      <c r="A40" s="416" t="n"/>
    </row>
    <row r="41" ht="14.25" customHeight="1">
      <c r="A41" s="416" t="n"/>
    </row>
    <row r="42" ht="14.25" customHeight="1">
      <c r="A42" s="416" t="n"/>
    </row>
    <row r="43" ht="14.25" customHeight="1">
      <c r="A43" s="416" t="n"/>
    </row>
    <row r="44" ht="14.25" customHeight="1">
      <c r="A44" s="416" t="n"/>
    </row>
    <row r="45" ht="14.25" customHeight="1">
      <c r="A45" s="416" t="n"/>
    </row>
    <row r="46" ht="14.25" customHeight="1">
      <c r="A46" s="416" t="n"/>
    </row>
    <row r="47" ht="14.25" customHeight="1">
      <c r="A47" s="416" t="n"/>
    </row>
    <row r="48" ht="14.25" customHeight="1">
      <c r="A48" s="416" t="n"/>
    </row>
    <row r="49" ht="14.25" customHeight="1">
      <c r="A49" s="416" t="n"/>
    </row>
    <row r="50" ht="14.25" customHeight="1">
      <c r="A50" s="416" t="n"/>
    </row>
    <row r="51" ht="14.25" customHeight="1">
      <c r="A51" s="416" t="n"/>
    </row>
    <row r="52" ht="14.25" customHeight="1">
      <c r="A52" s="416" t="n"/>
    </row>
    <row r="53" ht="14.25" customHeight="1">
      <c r="A53" s="416" t="n"/>
    </row>
    <row r="54" ht="14.25" customHeight="1">
      <c r="A54" s="416" t="n"/>
    </row>
    <row r="55" ht="14.25" customHeight="1">
      <c r="A55" s="416" t="n"/>
    </row>
    <row r="56" ht="14.25" customHeight="1">
      <c r="A56" s="416" t="n"/>
    </row>
    <row r="57" ht="14.25" customHeight="1">
      <c r="A57" s="416" t="n"/>
    </row>
    <row r="58" ht="14.25" customHeight="1">
      <c r="A58" s="416" t="n"/>
    </row>
    <row r="59" ht="14.25" customHeight="1">
      <c r="A59" s="416" t="n"/>
    </row>
    <row r="60" ht="14.25" customHeight="1">
      <c r="A60" s="416" t="n"/>
    </row>
    <row r="61" ht="14.25" customHeight="1">
      <c r="A61" s="416" t="n"/>
    </row>
    <row r="62" ht="14.25" customHeight="1">
      <c r="A62" s="416" t="n"/>
    </row>
    <row r="63" ht="14.25" customHeight="1">
      <c r="A63" s="416" t="n"/>
    </row>
    <row r="64" ht="14.25" customHeight="1">
      <c r="A64" s="416" t="n"/>
    </row>
    <row r="65" ht="14.25" customHeight="1">
      <c r="A65" s="416" t="n"/>
    </row>
    <row r="66" ht="14.25" customHeight="1">
      <c r="A66" s="416" t="n"/>
    </row>
    <row r="67" ht="14.25" customHeight="1">
      <c r="A67" s="416" t="n"/>
    </row>
    <row r="68" ht="14.25" customHeight="1">
      <c r="A68" s="416" t="n"/>
    </row>
    <row r="69" ht="14.25" customHeight="1">
      <c r="A69" s="416" t="n"/>
    </row>
    <row r="70" ht="14.25" customHeight="1">
      <c r="A70" s="416" t="n"/>
    </row>
    <row r="71" ht="14.25" customHeight="1">
      <c r="A71" s="416" t="n"/>
    </row>
    <row r="72" ht="14.25" customHeight="1">
      <c r="A72" s="416" t="n"/>
    </row>
    <row r="73" ht="14.25" customHeight="1">
      <c r="A73" s="416" t="n"/>
    </row>
    <row r="74" ht="14.25" customHeight="1">
      <c r="A74" s="416" t="n"/>
    </row>
    <row r="75" ht="14.25" customHeight="1">
      <c r="A75" s="416" t="n"/>
    </row>
    <row r="76" ht="14.25" customHeight="1">
      <c r="A76" s="416" t="n"/>
    </row>
    <row r="77" ht="14.25" customHeight="1">
      <c r="A77" s="416" t="n"/>
    </row>
    <row r="78" ht="14.25" customHeight="1">
      <c r="A78" s="416" t="n"/>
    </row>
    <row r="79" ht="14.25" customHeight="1">
      <c r="A79" s="416" t="n"/>
    </row>
    <row r="80" ht="14.25" customHeight="1">
      <c r="A80" s="416" t="n"/>
    </row>
    <row r="81" ht="14.25" customHeight="1">
      <c r="A81" s="416" t="n"/>
    </row>
    <row r="82" ht="14.25" customHeight="1">
      <c r="A82" s="416" t="n"/>
    </row>
    <row r="83" ht="14.25" customHeight="1">
      <c r="A83" s="416" t="n"/>
    </row>
    <row r="84" ht="14.25" customHeight="1">
      <c r="A84" s="416" t="n"/>
    </row>
    <row r="85" ht="14.25" customHeight="1">
      <c r="A85" s="416" t="n"/>
    </row>
    <row r="86" ht="14.25" customHeight="1">
      <c r="A86" s="416" t="n"/>
    </row>
    <row r="87" ht="14.25" customHeight="1">
      <c r="A87" s="416" t="n"/>
    </row>
    <row r="88" ht="14.25" customHeight="1">
      <c r="A88" s="416" t="n"/>
    </row>
    <row r="89" ht="14.25" customHeight="1">
      <c r="A89" s="416" t="n"/>
    </row>
    <row r="90" ht="14.25" customHeight="1">
      <c r="A90" s="416" t="n"/>
    </row>
    <row r="91" ht="14.25" customHeight="1">
      <c r="A91" s="416" t="n"/>
    </row>
    <row r="92" ht="14.25" customHeight="1">
      <c r="A92" s="416" t="n"/>
    </row>
    <row r="93" ht="14.25" customHeight="1">
      <c r="A93" s="416" t="n"/>
    </row>
    <row r="94" ht="14.25" customHeight="1">
      <c r="A94" s="416" t="n"/>
    </row>
    <row r="95" ht="14.25" customHeight="1">
      <c r="A95" s="416" t="n"/>
    </row>
    <row r="96" ht="14.25" customHeight="1">
      <c r="A96" s="416" t="n"/>
    </row>
    <row r="97" ht="14.25" customHeight="1">
      <c r="A97" s="416" t="n"/>
    </row>
    <row r="98" ht="14.25" customHeight="1">
      <c r="A98" s="416" t="n"/>
    </row>
    <row r="99" ht="14.25" customHeight="1">
      <c r="A99" s="416" t="n"/>
    </row>
    <row r="100" ht="14.25" customHeight="1">
      <c r="A100" s="416" t="n"/>
    </row>
    <row r="101" ht="14.25" customHeight="1">
      <c r="A101" s="416" t="n"/>
    </row>
    <row r="102" ht="14.25" customHeight="1">
      <c r="A102" s="416" t="n"/>
    </row>
    <row r="103" ht="14.25" customHeight="1">
      <c r="A103" s="416" t="n"/>
    </row>
    <row r="104" ht="14.25" customHeight="1">
      <c r="A104" s="416" t="n"/>
    </row>
    <row r="105" ht="14.25" customHeight="1">
      <c r="A105" s="416" t="n"/>
    </row>
    <row r="106" ht="14.25" customHeight="1">
      <c r="A106" s="416" t="n"/>
    </row>
    <row r="107" ht="14.25" customHeight="1">
      <c r="A107" s="416" t="n"/>
    </row>
    <row r="108" ht="14.25" customHeight="1">
      <c r="A108" s="416" t="n"/>
    </row>
    <row r="109" ht="14.25" customHeight="1">
      <c r="A109" s="416" t="n"/>
    </row>
    <row r="110" ht="14.25" customHeight="1">
      <c r="A110" s="416" t="n"/>
    </row>
    <row r="111" ht="14.25" customHeight="1">
      <c r="A111" s="416" t="n"/>
    </row>
    <row r="112" ht="14.25" customHeight="1">
      <c r="A112" s="416" t="n"/>
    </row>
    <row r="113" ht="14.25" customHeight="1">
      <c r="A113" s="416" t="n"/>
    </row>
    <row r="114" ht="14.25" customHeight="1">
      <c r="A114" s="416" t="n"/>
    </row>
    <row r="115" ht="14.25" customHeight="1">
      <c r="A115" s="416" t="n"/>
    </row>
    <row r="116" ht="14.25" customHeight="1">
      <c r="A116" s="416" t="n"/>
    </row>
    <row r="117" ht="14.25" customHeight="1">
      <c r="A117" s="416" t="n"/>
    </row>
    <row r="118" ht="14.25" customHeight="1">
      <c r="A118" s="416" t="n"/>
    </row>
    <row r="119" ht="14.25" customHeight="1">
      <c r="A119" s="416" t="n"/>
    </row>
    <row r="120" ht="14.25" customHeight="1">
      <c r="A120" s="416" t="n"/>
    </row>
    <row r="121" ht="14.25" customHeight="1">
      <c r="A121" s="416" t="n"/>
    </row>
    <row r="122" ht="14.25" customHeight="1">
      <c r="A122" s="416" t="n"/>
    </row>
    <row r="123" ht="14.25" customHeight="1">
      <c r="A123" s="416" t="n"/>
    </row>
    <row r="124" ht="14.25" customHeight="1">
      <c r="A124" s="416" t="n"/>
    </row>
    <row r="125" ht="14.25" customHeight="1">
      <c r="A125" s="416" t="n"/>
    </row>
    <row r="126" ht="14.25" customHeight="1">
      <c r="A126" s="416" t="n"/>
    </row>
    <row r="127" ht="14.25" customHeight="1">
      <c r="A127" s="416" t="n"/>
    </row>
    <row r="128" ht="14.25" customHeight="1">
      <c r="A128" s="416" t="n"/>
    </row>
    <row r="129" ht="14.25" customHeight="1">
      <c r="A129" s="416" t="n"/>
    </row>
    <row r="130" ht="14.25" customHeight="1">
      <c r="A130" s="416" t="n"/>
    </row>
    <row r="131" ht="14.25" customHeight="1">
      <c r="A131" s="416" t="n"/>
    </row>
    <row r="132" ht="14.25" customHeight="1">
      <c r="A132" s="416" t="n"/>
    </row>
    <row r="133" ht="14.25" customHeight="1">
      <c r="A133" s="416" t="n"/>
    </row>
    <row r="134" ht="14.25" customHeight="1">
      <c r="A134" s="416" t="n"/>
    </row>
    <row r="135" ht="14.25" customHeight="1">
      <c r="A135" s="416" t="n"/>
    </row>
    <row r="136" ht="14.25" customHeight="1">
      <c r="A136" s="416" t="n"/>
    </row>
    <row r="137" ht="14.25" customHeight="1">
      <c r="A137" s="416" t="n"/>
    </row>
    <row r="138" ht="14.25" customHeight="1">
      <c r="A138" s="416" t="n"/>
    </row>
    <row r="139" ht="14.25" customHeight="1">
      <c r="A139" s="416" t="n"/>
    </row>
    <row r="140" ht="14.25" customHeight="1">
      <c r="A140" s="416" t="n"/>
    </row>
    <row r="141" ht="14.25" customHeight="1">
      <c r="A141" s="416" t="n"/>
    </row>
    <row r="142" ht="14.25" customHeight="1">
      <c r="A142" s="416" t="n"/>
    </row>
    <row r="143" ht="14.25" customHeight="1">
      <c r="A143" s="416" t="n"/>
    </row>
    <row r="144" ht="14.25" customHeight="1">
      <c r="A144" s="416" t="n"/>
    </row>
    <row r="145" ht="14.25" customHeight="1">
      <c r="A145" s="416" t="n"/>
    </row>
    <row r="146" ht="14.25" customHeight="1">
      <c r="A146" s="416" t="n"/>
    </row>
    <row r="147" ht="14.25" customHeight="1">
      <c r="A147" s="416" t="n"/>
    </row>
    <row r="148" ht="14.25" customHeight="1">
      <c r="A148" s="416" t="n"/>
    </row>
    <row r="149" ht="14.25" customHeight="1">
      <c r="A149" s="416" t="n"/>
    </row>
    <row r="150" ht="14.25" customHeight="1">
      <c r="A150" s="416" t="n"/>
    </row>
    <row r="151" ht="14.25" customHeight="1">
      <c r="A151" s="416" t="n"/>
    </row>
    <row r="152" ht="14.25" customHeight="1">
      <c r="A152" s="416" t="n"/>
    </row>
    <row r="153" ht="14.25" customHeight="1">
      <c r="A153" s="416" t="n"/>
    </row>
    <row r="154" ht="14.25" customHeight="1">
      <c r="A154" s="416" t="n"/>
    </row>
    <row r="155" ht="14.25" customHeight="1">
      <c r="A155" s="416" t="n"/>
    </row>
    <row r="156" ht="14.25" customHeight="1">
      <c r="A156" s="416" t="n"/>
    </row>
    <row r="157" ht="14.25" customHeight="1">
      <c r="A157" s="416" t="n"/>
    </row>
    <row r="158" ht="14.25" customHeight="1">
      <c r="A158" s="416" t="n"/>
    </row>
    <row r="159" ht="14.25" customHeight="1">
      <c r="A159" s="416" t="n"/>
    </row>
    <row r="160" ht="14.25" customHeight="1">
      <c r="A160" s="416" t="n"/>
    </row>
    <row r="161" ht="14.25" customHeight="1">
      <c r="A161" s="416" t="n"/>
    </row>
    <row r="162" ht="14.25" customHeight="1">
      <c r="A162" s="416" t="n"/>
    </row>
    <row r="163" ht="14.25" customHeight="1">
      <c r="A163" s="416" t="n"/>
    </row>
    <row r="164" ht="14.25" customHeight="1">
      <c r="A164" s="416" t="n"/>
    </row>
    <row r="165" ht="14.25" customHeight="1">
      <c r="A165" s="416" t="n"/>
    </row>
    <row r="166" ht="14.25" customHeight="1">
      <c r="A166" s="416" t="n"/>
    </row>
    <row r="167" ht="14.25" customHeight="1">
      <c r="A167" s="416" t="n"/>
    </row>
    <row r="168" ht="14.25" customHeight="1">
      <c r="A168" s="416" t="n"/>
    </row>
    <row r="169" ht="14.25" customHeight="1">
      <c r="A169" s="416" t="n"/>
    </row>
    <row r="170" ht="14.25" customHeight="1">
      <c r="A170" s="416" t="n"/>
    </row>
    <row r="171" ht="14.25" customHeight="1">
      <c r="A171" s="416" t="n"/>
    </row>
    <row r="172" ht="14.25" customHeight="1">
      <c r="A172" s="416" t="n"/>
    </row>
    <row r="173" ht="14.25" customHeight="1">
      <c r="A173" s="416" t="n"/>
    </row>
    <row r="174" ht="14.25" customHeight="1">
      <c r="A174" s="416" t="n"/>
    </row>
    <row r="175" ht="14.25" customHeight="1">
      <c r="A175" s="416" t="n"/>
    </row>
    <row r="176" ht="14.25" customHeight="1">
      <c r="A176" s="416" t="n"/>
    </row>
    <row r="177" ht="14.25" customHeight="1">
      <c r="A177" s="416" t="n"/>
    </row>
    <row r="178" ht="14.25" customHeight="1">
      <c r="A178" s="416" t="n"/>
    </row>
    <row r="179" ht="14.25" customHeight="1">
      <c r="A179" s="416" t="n"/>
    </row>
    <row r="180" ht="14.25" customHeight="1">
      <c r="A180" s="416" t="n"/>
    </row>
    <row r="181" ht="14.25" customHeight="1">
      <c r="A181" s="416" t="n"/>
    </row>
    <row r="182" ht="14.25" customHeight="1">
      <c r="A182" s="416" t="n"/>
    </row>
    <row r="183" ht="14.25" customHeight="1">
      <c r="A183" s="416" t="n"/>
    </row>
    <row r="184" ht="14.25" customHeight="1">
      <c r="A184" s="416" t="n"/>
    </row>
    <row r="185" ht="14.25" customHeight="1">
      <c r="A185" s="416" t="n"/>
    </row>
    <row r="186" ht="14.25" customHeight="1">
      <c r="A186" s="416" t="n"/>
    </row>
    <row r="187" ht="14.25" customHeight="1">
      <c r="A187" s="416" t="n"/>
    </row>
    <row r="188" ht="14.25" customHeight="1">
      <c r="A188" s="416" t="n"/>
    </row>
    <row r="189" ht="14.25" customHeight="1">
      <c r="A189" s="416" t="n"/>
    </row>
    <row r="190" ht="14.25" customHeight="1">
      <c r="A190" s="416" t="n"/>
    </row>
    <row r="191" ht="14.25" customHeight="1">
      <c r="A191" s="416" t="n"/>
    </row>
    <row r="192" ht="14.25" customHeight="1">
      <c r="A192" s="416" t="n"/>
    </row>
    <row r="193" ht="14.25" customHeight="1">
      <c r="A193" s="416" t="n"/>
    </row>
    <row r="194" ht="14.25" customHeight="1">
      <c r="A194" s="416" t="n"/>
    </row>
    <row r="195" ht="14.25" customHeight="1">
      <c r="A195" s="416" t="n"/>
    </row>
    <row r="196" ht="14.25" customHeight="1">
      <c r="A196" s="416" t="n"/>
    </row>
    <row r="197" ht="14.25" customHeight="1">
      <c r="A197" s="416" t="n"/>
    </row>
    <row r="198" ht="14.25" customHeight="1">
      <c r="A198" s="416" t="n"/>
    </row>
    <row r="199" ht="14.25" customHeight="1">
      <c r="A199" s="416" t="n"/>
    </row>
    <row r="200" ht="14.25" customHeight="1">
      <c r="A200" s="416" t="n"/>
    </row>
    <row r="201" ht="14.25" customHeight="1">
      <c r="A201" s="416" t="n"/>
    </row>
    <row r="202" ht="14.25" customHeight="1">
      <c r="A202" s="416" t="n"/>
    </row>
    <row r="203" ht="14.25" customHeight="1">
      <c r="A203" s="416" t="n"/>
    </row>
    <row r="204" ht="14.25" customHeight="1">
      <c r="A204" s="416" t="n"/>
    </row>
    <row r="205" ht="14.25" customHeight="1">
      <c r="A205" s="416" t="n"/>
    </row>
    <row r="206" ht="14.25" customHeight="1">
      <c r="A206" s="416" t="n"/>
    </row>
    <row r="207" ht="14.25" customHeight="1">
      <c r="A207" s="416" t="n"/>
    </row>
    <row r="208" ht="14.25" customHeight="1">
      <c r="A208" s="416" t="n"/>
    </row>
    <row r="209" ht="14.25" customHeight="1">
      <c r="A209" s="416" t="n"/>
    </row>
    <row r="210" ht="14.25" customHeight="1">
      <c r="A210" s="416" t="n"/>
    </row>
    <row r="211" ht="14.25" customHeight="1">
      <c r="A211" s="416" t="n"/>
    </row>
    <row r="212" ht="14.25" customHeight="1">
      <c r="A212" s="416" t="n"/>
    </row>
    <row r="213" ht="14.25" customHeight="1">
      <c r="A213" s="416" t="n"/>
    </row>
    <row r="214" ht="14.25" customHeight="1">
      <c r="A214" s="416" t="n"/>
    </row>
    <row r="215" ht="14.25" customHeight="1">
      <c r="A215" s="416" t="n"/>
    </row>
    <row r="216" ht="14.25" customHeight="1">
      <c r="A216" s="416" t="n"/>
    </row>
    <row r="217" ht="14.25" customHeight="1">
      <c r="A217" s="416" t="n"/>
    </row>
    <row r="218" ht="14.25" customHeight="1">
      <c r="A218" s="416" t="n"/>
    </row>
    <row r="219" ht="14.25" customHeight="1">
      <c r="A219" s="416" t="n"/>
    </row>
    <row r="220" ht="14.25" customHeight="1">
      <c r="A220" s="416" t="n"/>
    </row>
    <row r="221" ht="14.25" customHeight="1">
      <c r="A221" s="416" t="n"/>
    </row>
    <row r="222" ht="14.25" customHeight="1">
      <c r="A222" s="416" t="n"/>
    </row>
    <row r="223" ht="14.25" customHeight="1">
      <c r="A223" s="416" t="n"/>
    </row>
    <row r="224" ht="14.25" customHeight="1">
      <c r="A224" s="416" t="n"/>
    </row>
    <row r="225" ht="14.25" customHeight="1">
      <c r="A225" s="416" t="n"/>
    </row>
    <row r="226" ht="14.25" customHeight="1">
      <c r="A226" s="416" t="n"/>
    </row>
    <row r="227" ht="14.25" customHeight="1">
      <c r="A227" s="416" t="n"/>
    </row>
    <row r="228" ht="14.25" customHeight="1">
      <c r="A228" s="416" t="n"/>
    </row>
    <row r="229" ht="14.25" customHeight="1">
      <c r="A229" s="416" t="n"/>
    </row>
    <row r="230" ht="14.25" customHeight="1">
      <c r="A230" s="416" t="n"/>
    </row>
    <row r="231" ht="14.25" customHeight="1">
      <c r="A231" s="416" t="n"/>
    </row>
    <row r="232" ht="14.25" customHeight="1">
      <c r="A232" s="416" t="n"/>
    </row>
    <row r="233" ht="14.25" customHeight="1">
      <c r="A233" s="416" t="n"/>
    </row>
    <row r="234" ht="14.25" customHeight="1">
      <c r="A234" s="416" t="n"/>
    </row>
    <row r="235" ht="14.25" customHeight="1">
      <c r="A235" s="416" t="n"/>
    </row>
    <row r="236" ht="14.25" customHeight="1">
      <c r="A236" s="416" t="n"/>
    </row>
    <row r="237" ht="14.25" customHeight="1">
      <c r="A237" s="416" t="n"/>
    </row>
    <row r="238" ht="14.25" customHeight="1">
      <c r="A238" s="416" t="n"/>
    </row>
    <row r="239" ht="14.25" customHeight="1">
      <c r="A239" s="416" t="n"/>
    </row>
    <row r="240" ht="14.25" customHeight="1">
      <c r="A240" s="416" t="n"/>
    </row>
    <row r="241" ht="14.25" customHeight="1">
      <c r="A241" s="416" t="n"/>
    </row>
    <row r="242" ht="14.25" customHeight="1">
      <c r="A242" s="416" t="n"/>
    </row>
    <row r="243" ht="14.25" customHeight="1">
      <c r="A243" s="416" t="n"/>
    </row>
    <row r="244" ht="14.25" customHeight="1">
      <c r="A244" s="416" t="n"/>
    </row>
    <row r="245" ht="14.25" customHeight="1">
      <c r="A245" s="416" t="n"/>
    </row>
    <row r="246" ht="14.25" customHeight="1">
      <c r="A246" s="416" t="n"/>
    </row>
    <row r="247" ht="14.25" customHeight="1">
      <c r="A247" s="416" t="n"/>
    </row>
    <row r="248" ht="14.25" customHeight="1">
      <c r="A248" s="416" t="n"/>
    </row>
    <row r="249" ht="14.25" customHeight="1">
      <c r="A249" s="416" t="n"/>
    </row>
    <row r="250" ht="14.25" customHeight="1">
      <c r="A250" s="416" t="n"/>
    </row>
    <row r="251" ht="14.25" customHeight="1">
      <c r="A251" s="416" t="n"/>
    </row>
    <row r="252" ht="14.25" customHeight="1">
      <c r="A252" s="416" t="n"/>
    </row>
    <row r="253" ht="14.25" customHeight="1">
      <c r="A253" s="416" t="n"/>
    </row>
    <row r="254" ht="14.25" customHeight="1">
      <c r="A254" s="416" t="n"/>
    </row>
    <row r="255" ht="14.25" customHeight="1">
      <c r="A255" s="416" t="n"/>
    </row>
    <row r="256" ht="14.25" customHeight="1">
      <c r="A256" s="416" t="n"/>
    </row>
    <row r="257" ht="14.25" customHeight="1">
      <c r="A257" s="416" t="n"/>
    </row>
    <row r="258" ht="14.25" customHeight="1">
      <c r="A258" s="416" t="n"/>
    </row>
    <row r="259" ht="14.25" customHeight="1">
      <c r="A259" s="416" t="n"/>
    </row>
    <row r="260" ht="14.25" customHeight="1">
      <c r="A260" s="416" t="n"/>
    </row>
    <row r="261" ht="14.25" customHeight="1">
      <c r="A261" s="416" t="n"/>
    </row>
    <row r="262" ht="14.25" customHeight="1">
      <c r="A262" s="416" t="n"/>
    </row>
    <row r="263" ht="14.25" customHeight="1">
      <c r="A263" s="416" t="n"/>
    </row>
    <row r="264" ht="14.25" customHeight="1">
      <c r="A264" s="416" t="n"/>
    </row>
    <row r="265" ht="14.25" customHeight="1">
      <c r="A265" s="416" t="n"/>
    </row>
    <row r="266" ht="14.25" customHeight="1">
      <c r="A266" s="416" t="n"/>
    </row>
    <row r="267" ht="14.25" customHeight="1">
      <c r="A267" s="416" t="n"/>
    </row>
    <row r="268" ht="14.25" customHeight="1">
      <c r="A268" s="416" t="n"/>
    </row>
    <row r="269" ht="14.25" customHeight="1">
      <c r="A269" s="416" t="n"/>
    </row>
    <row r="270" ht="14.25" customHeight="1">
      <c r="A270" s="416" t="n"/>
    </row>
    <row r="271" ht="14.25" customHeight="1">
      <c r="A271" s="416" t="n"/>
    </row>
    <row r="272" ht="14.25" customHeight="1">
      <c r="A272" s="416" t="n"/>
    </row>
    <row r="273" ht="14.25" customHeight="1">
      <c r="A273" s="416" t="n"/>
    </row>
    <row r="274" ht="14.25" customHeight="1">
      <c r="A274" s="416" t="n"/>
    </row>
    <row r="275" ht="14.25" customHeight="1">
      <c r="A275" s="416" t="n"/>
    </row>
    <row r="276" ht="14.25" customHeight="1">
      <c r="A276" s="416" t="n"/>
    </row>
    <row r="277" ht="14.25" customHeight="1">
      <c r="A277" s="416" t="n"/>
    </row>
    <row r="278" ht="14.25" customHeight="1">
      <c r="A278" s="416" t="n"/>
    </row>
    <row r="279" ht="14.25" customHeight="1">
      <c r="A279" s="416" t="n"/>
    </row>
    <row r="280" ht="14.25" customHeight="1">
      <c r="A280" s="416" t="n"/>
    </row>
    <row r="281" ht="14.25" customHeight="1">
      <c r="A281" s="416" t="n"/>
    </row>
    <row r="282" ht="14.25" customHeight="1">
      <c r="A282" s="416" t="n"/>
    </row>
    <row r="283" ht="14.25" customHeight="1">
      <c r="A283" s="416" t="n"/>
    </row>
    <row r="284" ht="14.25" customHeight="1">
      <c r="A284" s="416" t="n"/>
    </row>
    <row r="285" ht="14.25" customHeight="1">
      <c r="A285" s="416" t="n"/>
    </row>
    <row r="286" ht="14.25" customHeight="1">
      <c r="A286" s="416" t="n"/>
    </row>
    <row r="287" ht="14.25" customHeight="1">
      <c r="A287" s="416" t="n"/>
    </row>
    <row r="288" ht="14.25" customHeight="1">
      <c r="A288" s="416" t="n"/>
    </row>
    <row r="289" ht="14.25" customHeight="1">
      <c r="A289" s="416" t="n"/>
    </row>
    <row r="290" ht="14.25" customHeight="1">
      <c r="A290" s="416" t="n"/>
    </row>
    <row r="291" ht="14.25" customHeight="1">
      <c r="A291" s="416" t="n"/>
    </row>
    <row r="292" ht="14.25" customHeight="1">
      <c r="A292" s="416" t="n"/>
    </row>
    <row r="293" ht="14.25" customHeight="1">
      <c r="A293" s="416" t="n"/>
    </row>
    <row r="294" ht="14.25" customHeight="1">
      <c r="A294" s="416" t="n"/>
    </row>
    <row r="295" ht="14.25" customHeight="1">
      <c r="A295" s="416" t="n"/>
    </row>
    <row r="296" ht="14.25" customHeight="1">
      <c r="A296" s="416" t="n"/>
    </row>
    <row r="297" ht="14.25" customHeight="1">
      <c r="A297" s="416" t="n"/>
    </row>
    <row r="298" ht="14.25" customHeight="1">
      <c r="A298" s="416" t="n"/>
    </row>
    <row r="299" ht="14.25" customHeight="1">
      <c r="A299" s="416" t="n"/>
    </row>
    <row r="300" ht="14.25" customHeight="1">
      <c r="A300" s="416" t="n"/>
    </row>
    <row r="301" ht="14.25" customHeight="1">
      <c r="A301" s="416" t="n"/>
    </row>
    <row r="302" ht="14.25" customHeight="1">
      <c r="A302" s="416" t="n"/>
    </row>
    <row r="303" ht="14.25" customHeight="1">
      <c r="A303" s="416" t="n"/>
    </row>
    <row r="304" ht="14.25" customHeight="1">
      <c r="A304" s="416" t="n"/>
    </row>
    <row r="305" ht="14.25" customHeight="1">
      <c r="A305" s="416" t="n"/>
    </row>
    <row r="306" ht="14.25" customHeight="1">
      <c r="A306" s="416" t="n"/>
    </row>
    <row r="307" ht="14.25" customHeight="1">
      <c r="A307" s="416" t="n"/>
    </row>
    <row r="308" ht="14.25" customHeight="1">
      <c r="A308" s="416" t="n"/>
    </row>
    <row r="309" ht="14.25" customHeight="1">
      <c r="A309" s="416" t="n"/>
    </row>
    <row r="310" ht="14.25" customHeight="1">
      <c r="A310" s="416" t="n"/>
    </row>
    <row r="311" ht="14.25" customHeight="1">
      <c r="A311" s="416" t="n"/>
    </row>
    <row r="312" ht="14.25" customHeight="1">
      <c r="A312" s="416" t="n"/>
    </row>
    <row r="313" ht="14.25" customHeight="1">
      <c r="A313" s="416" t="n"/>
    </row>
    <row r="314" ht="14.25" customHeight="1">
      <c r="A314" s="416" t="n"/>
    </row>
    <row r="315" ht="14.25" customHeight="1">
      <c r="A315" s="416" t="n"/>
    </row>
    <row r="316" ht="14.25" customHeight="1">
      <c r="A316" s="416" t="n"/>
    </row>
    <row r="317" ht="14.25" customHeight="1">
      <c r="A317" s="416" t="n"/>
    </row>
    <row r="318" ht="14.25" customHeight="1">
      <c r="A318" s="416" t="n"/>
    </row>
    <row r="319" ht="14.25" customHeight="1">
      <c r="A319" s="416" t="n"/>
    </row>
    <row r="320" ht="14.25" customHeight="1">
      <c r="A320" s="416" t="n"/>
    </row>
    <row r="321" ht="14.25" customHeight="1">
      <c r="A321" s="416" t="n"/>
    </row>
    <row r="322" ht="14.25" customHeight="1">
      <c r="A322" s="416" t="n"/>
    </row>
    <row r="323" ht="14.25" customHeight="1">
      <c r="A323" s="416" t="n"/>
    </row>
    <row r="324" ht="14.25" customHeight="1">
      <c r="A324" s="416" t="n"/>
    </row>
    <row r="325" ht="14.25" customHeight="1">
      <c r="A325" s="416" t="n"/>
    </row>
    <row r="326" ht="14.25" customHeight="1">
      <c r="A326" s="416" t="n"/>
    </row>
    <row r="327" ht="14.25" customHeight="1">
      <c r="A327" s="416" t="n"/>
    </row>
    <row r="328" ht="14.25" customHeight="1">
      <c r="A328" s="416" t="n"/>
    </row>
    <row r="329" ht="14.25" customHeight="1">
      <c r="A329" s="416" t="n"/>
    </row>
    <row r="330" ht="14.25" customHeight="1">
      <c r="A330" s="416" t="n"/>
    </row>
    <row r="331" ht="14.25" customHeight="1">
      <c r="A331" s="416" t="n"/>
    </row>
    <row r="332" ht="14.25" customHeight="1">
      <c r="A332" s="416" t="n"/>
    </row>
    <row r="333" ht="14.25" customHeight="1">
      <c r="A333" s="416" t="n"/>
    </row>
    <row r="334" ht="14.25" customHeight="1">
      <c r="A334" s="416" t="n"/>
    </row>
    <row r="335" ht="14.25" customHeight="1">
      <c r="A335" s="416" t="n"/>
    </row>
    <row r="336" ht="14.25" customHeight="1">
      <c r="A336" s="416" t="n"/>
    </row>
    <row r="337" ht="14.25" customHeight="1">
      <c r="A337" s="416" t="n"/>
    </row>
    <row r="338" ht="14.25" customHeight="1">
      <c r="A338" s="416" t="n"/>
    </row>
    <row r="339" ht="14.25" customHeight="1">
      <c r="A339" s="416" t="n"/>
    </row>
    <row r="340" ht="14.25" customHeight="1">
      <c r="A340" s="416" t="n"/>
    </row>
    <row r="341" ht="14.25" customHeight="1">
      <c r="A341" s="416" t="n"/>
    </row>
    <row r="342" ht="14.25" customHeight="1">
      <c r="A342" s="416" t="n"/>
    </row>
    <row r="343" ht="14.25" customHeight="1">
      <c r="A343" s="416" t="n"/>
    </row>
    <row r="344" ht="14.25" customHeight="1">
      <c r="A344" s="416" t="n"/>
    </row>
    <row r="345" ht="14.25" customHeight="1">
      <c r="A345" s="416" t="n"/>
    </row>
    <row r="346" ht="14.25" customHeight="1">
      <c r="A346" s="416" t="n"/>
    </row>
    <row r="347" ht="14.25" customHeight="1">
      <c r="A347" s="416" t="n"/>
    </row>
    <row r="348" ht="14.25" customHeight="1">
      <c r="A348" s="416" t="n"/>
    </row>
    <row r="349" ht="14.25" customHeight="1">
      <c r="A349" s="416" t="n"/>
    </row>
    <row r="350" ht="14.25" customHeight="1">
      <c r="A350" s="416" t="n"/>
    </row>
    <row r="351" ht="14.25" customHeight="1">
      <c r="A351" s="416" t="n"/>
    </row>
    <row r="352" ht="14.25" customHeight="1">
      <c r="A352" s="416" t="n"/>
    </row>
    <row r="353" ht="14.25" customHeight="1">
      <c r="A353" s="416" t="n"/>
    </row>
    <row r="354" ht="14.25" customHeight="1">
      <c r="A354" s="416" t="n"/>
    </row>
    <row r="355" ht="14.25" customHeight="1">
      <c r="A355" s="416" t="n"/>
    </row>
    <row r="356" ht="14.25" customHeight="1">
      <c r="A356" s="416" t="n"/>
    </row>
    <row r="357" ht="14.25" customHeight="1">
      <c r="A357" s="416" t="n"/>
    </row>
    <row r="358" ht="14.25" customHeight="1">
      <c r="A358" s="416" t="n"/>
    </row>
    <row r="359" ht="14.25" customHeight="1">
      <c r="A359" s="416" t="n"/>
    </row>
    <row r="360" ht="14.25" customHeight="1">
      <c r="A360" s="416" t="n"/>
    </row>
    <row r="361" ht="14.25" customHeight="1">
      <c r="A361" s="416" t="n"/>
    </row>
    <row r="362" ht="14.25" customHeight="1">
      <c r="A362" s="416" t="n"/>
    </row>
    <row r="363" ht="14.25" customHeight="1">
      <c r="A363" s="416" t="n"/>
    </row>
    <row r="364" ht="14.25" customHeight="1">
      <c r="A364" s="416" t="n"/>
    </row>
    <row r="365" ht="14.25" customHeight="1">
      <c r="A365" s="416" t="n"/>
    </row>
    <row r="366" ht="14.25" customHeight="1">
      <c r="A366" s="416" t="n"/>
    </row>
    <row r="367" ht="14.25" customHeight="1">
      <c r="A367" s="416" t="n"/>
    </row>
    <row r="368" ht="14.25" customHeight="1">
      <c r="A368" s="416" t="n"/>
    </row>
    <row r="369" ht="14.25" customHeight="1">
      <c r="A369" s="416" t="n"/>
    </row>
    <row r="370" ht="14.25" customHeight="1">
      <c r="A370" s="416" t="n"/>
    </row>
    <row r="371" ht="14.25" customHeight="1">
      <c r="A371" s="416" t="n"/>
    </row>
    <row r="372" ht="14.25" customHeight="1">
      <c r="A372" s="416" t="n"/>
    </row>
    <row r="373" ht="14.25" customHeight="1">
      <c r="A373" s="416" t="n"/>
    </row>
    <row r="374" ht="14.25" customHeight="1">
      <c r="A374" s="416" t="n"/>
    </row>
    <row r="375" ht="14.25" customHeight="1">
      <c r="A375" s="416" t="n"/>
    </row>
    <row r="376" ht="14.25" customHeight="1">
      <c r="A376" s="416" t="n"/>
    </row>
    <row r="377" ht="14.25" customHeight="1">
      <c r="A377" s="416" t="n"/>
    </row>
    <row r="378" ht="14.25" customHeight="1">
      <c r="A378" s="416" t="n"/>
    </row>
    <row r="379" ht="14.25" customHeight="1">
      <c r="A379" s="416" t="n"/>
    </row>
    <row r="380" ht="14.25" customHeight="1">
      <c r="A380" s="416" t="n"/>
    </row>
    <row r="381" ht="14.25" customHeight="1">
      <c r="A381" s="416" t="n"/>
    </row>
    <row r="382" ht="14.25" customHeight="1">
      <c r="A382" s="416" t="n"/>
    </row>
    <row r="383" ht="14.25" customHeight="1">
      <c r="A383" s="416" t="n"/>
    </row>
    <row r="384" ht="14.25" customHeight="1">
      <c r="A384" s="416" t="n"/>
    </row>
    <row r="385" ht="14.25" customHeight="1">
      <c r="A385" s="416" t="n"/>
    </row>
    <row r="386" ht="14.25" customHeight="1">
      <c r="A386" s="416" t="n"/>
    </row>
    <row r="387" ht="14.25" customHeight="1">
      <c r="A387" s="416" t="n"/>
    </row>
    <row r="388" ht="14.25" customHeight="1">
      <c r="A388" s="416" t="n"/>
    </row>
    <row r="389" ht="14.25" customHeight="1">
      <c r="A389" s="416" t="n"/>
    </row>
    <row r="390" ht="14.25" customHeight="1">
      <c r="A390" s="416" t="n"/>
    </row>
    <row r="391" ht="14.25" customHeight="1">
      <c r="A391" s="416" t="n"/>
    </row>
    <row r="392" ht="14.25" customHeight="1">
      <c r="A392" s="416" t="n"/>
    </row>
    <row r="393" ht="14.25" customHeight="1">
      <c r="A393" s="416" t="n"/>
    </row>
    <row r="394" ht="14.25" customHeight="1">
      <c r="A394" s="416" t="n"/>
    </row>
    <row r="395" ht="14.25" customHeight="1">
      <c r="A395" s="416" t="n"/>
    </row>
    <row r="396" ht="14.25" customHeight="1">
      <c r="A396" s="416" t="n"/>
    </row>
    <row r="397" ht="14.25" customHeight="1">
      <c r="A397" s="416" t="n"/>
    </row>
    <row r="398" ht="14.25" customHeight="1">
      <c r="A398" s="416" t="n"/>
    </row>
    <row r="399" ht="14.25" customHeight="1">
      <c r="A399" s="416" t="n"/>
    </row>
    <row r="400" ht="14.25" customHeight="1">
      <c r="A400" s="416" t="n"/>
    </row>
    <row r="401" ht="14.25" customHeight="1">
      <c r="A401" s="416" t="n"/>
    </row>
    <row r="402" ht="14.25" customHeight="1">
      <c r="A402" s="416" t="n"/>
    </row>
    <row r="403" ht="14.25" customHeight="1">
      <c r="A403" s="416" t="n"/>
    </row>
    <row r="404" ht="14.25" customHeight="1">
      <c r="A404" s="416" t="n"/>
    </row>
    <row r="405" ht="14.25" customHeight="1">
      <c r="A405" s="416" t="n"/>
    </row>
    <row r="406" ht="14.25" customHeight="1">
      <c r="A406" s="416" t="n"/>
    </row>
    <row r="407" ht="14.25" customHeight="1">
      <c r="A407" s="416" t="n"/>
    </row>
    <row r="408" ht="14.25" customHeight="1">
      <c r="A408" s="416" t="n"/>
    </row>
    <row r="409" ht="14.25" customHeight="1">
      <c r="A409" s="416" t="n"/>
    </row>
    <row r="410" ht="14.25" customHeight="1">
      <c r="A410" s="416" t="n"/>
    </row>
    <row r="411" ht="14.25" customHeight="1">
      <c r="A411" s="416" t="n"/>
    </row>
    <row r="412" ht="14.25" customHeight="1">
      <c r="A412" s="416" t="n"/>
    </row>
    <row r="413" ht="14.25" customHeight="1">
      <c r="A413" s="416" t="n"/>
    </row>
    <row r="414" ht="14.25" customHeight="1">
      <c r="A414" s="416" t="n"/>
    </row>
    <row r="415" ht="14.25" customHeight="1">
      <c r="A415" s="416" t="n"/>
    </row>
    <row r="416" ht="14.25" customHeight="1">
      <c r="A416" s="416" t="n"/>
    </row>
    <row r="417" ht="14.25" customHeight="1">
      <c r="A417" s="416" t="n"/>
    </row>
    <row r="418" ht="14.25" customHeight="1">
      <c r="A418" s="416" t="n"/>
    </row>
    <row r="419" ht="14.25" customHeight="1">
      <c r="A419" s="416" t="n"/>
    </row>
    <row r="420" ht="14.25" customHeight="1">
      <c r="A420" s="416" t="n"/>
    </row>
    <row r="421" ht="14.25" customHeight="1">
      <c r="A421" s="416" t="n"/>
    </row>
    <row r="422" ht="14.25" customHeight="1">
      <c r="A422" s="416" t="n"/>
    </row>
    <row r="423" ht="14.25" customHeight="1">
      <c r="A423" s="416" t="n"/>
    </row>
    <row r="424" ht="14.25" customHeight="1">
      <c r="A424" s="416" t="n"/>
    </row>
    <row r="425" ht="14.25" customHeight="1">
      <c r="A425" s="416" t="n"/>
    </row>
    <row r="426" ht="14.25" customHeight="1">
      <c r="A426" s="416" t="n"/>
    </row>
    <row r="427" ht="14.25" customHeight="1">
      <c r="A427" s="416" t="n"/>
    </row>
    <row r="428" ht="14.25" customHeight="1">
      <c r="A428" s="416" t="n"/>
    </row>
    <row r="429" ht="14.25" customHeight="1">
      <c r="A429" s="416" t="n"/>
    </row>
    <row r="430" ht="14.25" customHeight="1">
      <c r="A430" s="416" t="n"/>
    </row>
    <row r="431" ht="14.25" customHeight="1">
      <c r="A431" s="416" t="n"/>
    </row>
    <row r="432" ht="14.25" customHeight="1">
      <c r="A432" s="416" t="n"/>
    </row>
    <row r="433" ht="14.25" customHeight="1">
      <c r="A433" s="416" t="n"/>
    </row>
    <row r="434" ht="14.25" customHeight="1">
      <c r="A434" s="416" t="n"/>
    </row>
    <row r="435" ht="14.25" customHeight="1">
      <c r="A435" s="416" t="n"/>
    </row>
    <row r="436" ht="14.25" customHeight="1">
      <c r="A436" s="416" t="n"/>
    </row>
    <row r="437" ht="14.25" customHeight="1">
      <c r="A437" s="416" t="n"/>
    </row>
    <row r="438" ht="14.25" customHeight="1">
      <c r="A438" s="416" t="n"/>
    </row>
    <row r="439" ht="14.25" customHeight="1">
      <c r="A439" s="416" t="n"/>
    </row>
    <row r="440" ht="14.25" customHeight="1">
      <c r="A440" s="416" t="n"/>
    </row>
    <row r="441" ht="14.25" customHeight="1">
      <c r="A441" s="416" t="n"/>
    </row>
    <row r="442" ht="14.25" customHeight="1">
      <c r="A442" s="416" t="n"/>
    </row>
    <row r="443" ht="14.25" customHeight="1">
      <c r="A443" s="416" t="n"/>
    </row>
    <row r="444" ht="14.25" customHeight="1">
      <c r="A444" s="416" t="n"/>
    </row>
    <row r="445" ht="14.25" customHeight="1">
      <c r="A445" s="416" t="n"/>
    </row>
    <row r="446" ht="14.25" customHeight="1">
      <c r="A446" s="416" t="n"/>
    </row>
    <row r="447" ht="14.25" customHeight="1">
      <c r="A447" s="416" t="n"/>
    </row>
    <row r="448" ht="14.25" customHeight="1">
      <c r="A448" s="416" t="n"/>
    </row>
    <row r="449" ht="14.25" customHeight="1">
      <c r="A449" s="416" t="n"/>
    </row>
    <row r="450" ht="14.25" customHeight="1">
      <c r="A450" s="416" t="n"/>
    </row>
    <row r="451" ht="14.25" customHeight="1">
      <c r="A451" s="416" t="n"/>
    </row>
    <row r="452" ht="14.25" customHeight="1">
      <c r="A452" s="416" t="n"/>
    </row>
    <row r="453" ht="14.25" customHeight="1">
      <c r="A453" s="416" t="n"/>
    </row>
    <row r="454" ht="14.25" customHeight="1">
      <c r="A454" s="416" t="n"/>
    </row>
    <row r="455" ht="14.25" customHeight="1">
      <c r="A455" s="416" t="n"/>
    </row>
    <row r="456" ht="14.25" customHeight="1">
      <c r="A456" s="416" t="n"/>
    </row>
    <row r="457" ht="14.25" customHeight="1">
      <c r="A457" s="416" t="n"/>
    </row>
    <row r="458" ht="14.25" customHeight="1">
      <c r="A458" s="416" t="n"/>
    </row>
    <row r="459" ht="14.25" customHeight="1">
      <c r="A459" s="416" t="n"/>
    </row>
    <row r="460" ht="14.25" customHeight="1">
      <c r="A460" s="416" t="n"/>
    </row>
    <row r="461" ht="14.25" customHeight="1">
      <c r="A461" s="416" t="n"/>
    </row>
    <row r="462" ht="14.25" customHeight="1">
      <c r="A462" s="416" t="n"/>
    </row>
    <row r="463" ht="14.25" customHeight="1">
      <c r="A463" s="416" t="n"/>
    </row>
    <row r="464" ht="14.25" customHeight="1">
      <c r="A464" s="416" t="n"/>
    </row>
    <row r="465" ht="14.25" customHeight="1">
      <c r="A465" s="416" t="n"/>
    </row>
    <row r="466" ht="14.25" customHeight="1">
      <c r="A466" s="416" t="n"/>
    </row>
    <row r="467" ht="14.25" customHeight="1">
      <c r="A467" s="416" t="n"/>
    </row>
    <row r="468" ht="14.25" customHeight="1">
      <c r="A468" s="416" t="n"/>
    </row>
    <row r="469" ht="14.25" customHeight="1">
      <c r="A469" s="416" t="n"/>
    </row>
    <row r="470" ht="14.25" customHeight="1">
      <c r="A470" s="416" t="n"/>
    </row>
    <row r="471" ht="14.25" customHeight="1">
      <c r="A471" s="416" t="n"/>
    </row>
    <row r="472" ht="14.25" customHeight="1">
      <c r="A472" s="416" t="n"/>
    </row>
    <row r="473" ht="14.25" customHeight="1">
      <c r="A473" s="416" t="n"/>
    </row>
    <row r="474" ht="14.25" customHeight="1">
      <c r="A474" s="416" t="n"/>
    </row>
    <row r="475" ht="14.25" customHeight="1">
      <c r="A475" s="416" t="n"/>
    </row>
    <row r="476" ht="14.25" customHeight="1">
      <c r="A476" s="416" t="n"/>
    </row>
    <row r="477" ht="14.25" customHeight="1">
      <c r="A477" s="416" t="n"/>
    </row>
    <row r="478" ht="14.25" customHeight="1">
      <c r="A478" s="416" t="n"/>
    </row>
    <row r="479" ht="14.25" customHeight="1">
      <c r="A479" s="416" t="n"/>
    </row>
    <row r="480" ht="14.25" customHeight="1">
      <c r="A480" s="416" t="n"/>
    </row>
    <row r="481" ht="14.25" customHeight="1">
      <c r="A481" s="416" t="n"/>
    </row>
    <row r="482" ht="14.25" customHeight="1">
      <c r="A482" s="416" t="n"/>
    </row>
    <row r="483" ht="14.25" customHeight="1">
      <c r="A483" s="416" t="n"/>
    </row>
    <row r="484" ht="14.25" customHeight="1">
      <c r="A484" s="416" t="n"/>
    </row>
    <row r="485" ht="14.25" customHeight="1">
      <c r="A485" s="416" t="n"/>
    </row>
    <row r="486" ht="14.25" customHeight="1">
      <c r="A486" s="416" t="n"/>
    </row>
    <row r="487" ht="14.25" customHeight="1">
      <c r="A487" s="416" t="n"/>
    </row>
    <row r="488" ht="14.25" customHeight="1">
      <c r="A488" s="416" t="n"/>
    </row>
    <row r="489" ht="14.25" customHeight="1">
      <c r="A489" s="416" t="n"/>
    </row>
    <row r="490" ht="14.25" customHeight="1">
      <c r="A490" s="416" t="n"/>
    </row>
    <row r="491" ht="14.25" customHeight="1">
      <c r="A491" s="416" t="n"/>
    </row>
    <row r="492" ht="14.25" customHeight="1">
      <c r="A492" s="416" t="n"/>
    </row>
    <row r="493" ht="14.25" customHeight="1">
      <c r="A493" s="416" t="n"/>
    </row>
    <row r="494" ht="14.25" customHeight="1">
      <c r="A494" s="416" t="n"/>
    </row>
    <row r="495" ht="14.25" customHeight="1">
      <c r="A495" s="416" t="n"/>
    </row>
    <row r="496" ht="14.25" customHeight="1">
      <c r="A496" s="416" t="n"/>
    </row>
    <row r="497" ht="14.25" customHeight="1">
      <c r="A497" s="416" t="n"/>
    </row>
    <row r="498" ht="14.25" customHeight="1">
      <c r="A498" s="416" t="n"/>
    </row>
    <row r="499" ht="14.25" customHeight="1">
      <c r="A499" s="416" t="n"/>
    </row>
    <row r="500" ht="14.25" customHeight="1">
      <c r="A500" s="416" t="n"/>
    </row>
    <row r="501" ht="14.25" customHeight="1">
      <c r="A501" s="416" t="n"/>
    </row>
    <row r="502" ht="14.25" customHeight="1">
      <c r="A502" s="416" t="n"/>
    </row>
    <row r="503" ht="14.25" customHeight="1">
      <c r="A503" s="416" t="n"/>
    </row>
    <row r="504" ht="14.25" customHeight="1">
      <c r="A504" s="416" t="n"/>
    </row>
    <row r="505" ht="14.25" customHeight="1">
      <c r="A505" s="416" t="n"/>
    </row>
    <row r="506" ht="14.25" customHeight="1">
      <c r="A506" s="416" t="n"/>
    </row>
    <row r="507" ht="14.25" customHeight="1">
      <c r="A507" s="416" t="n"/>
    </row>
    <row r="508" ht="14.25" customHeight="1">
      <c r="A508" s="416" t="n"/>
    </row>
    <row r="509" ht="14.25" customHeight="1">
      <c r="A509" s="416" t="n"/>
    </row>
    <row r="510" ht="14.25" customHeight="1">
      <c r="A510" s="416" t="n"/>
    </row>
    <row r="511" ht="14.25" customHeight="1">
      <c r="A511" s="416" t="n"/>
    </row>
    <row r="512" ht="14.25" customHeight="1">
      <c r="A512" s="416" t="n"/>
    </row>
    <row r="513" ht="14.25" customHeight="1">
      <c r="A513" s="416" t="n"/>
    </row>
    <row r="514" ht="14.25" customHeight="1">
      <c r="A514" s="416" t="n"/>
    </row>
    <row r="515" ht="14.25" customHeight="1">
      <c r="A515" s="416" t="n"/>
    </row>
    <row r="516" ht="14.25" customHeight="1">
      <c r="A516" s="416" t="n"/>
    </row>
    <row r="517" ht="14.25" customHeight="1">
      <c r="A517" s="416" t="n"/>
    </row>
    <row r="518" ht="14.25" customHeight="1">
      <c r="A518" s="416" t="n"/>
    </row>
    <row r="519" ht="14.25" customHeight="1">
      <c r="A519" s="416" t="n"/>
    </row>
    <row r="520" ht="14.25" customHeight="1">
      <c r="A520" s="416" t="n"/>
    </row>
    <row r="521" ht="14.25" customHeight="1">
      <c r="A521" s="416" t="n"/>
    </row>
    <row r="522" ht="14.25" customHeight="1">
      <c r="A522" s="416" t="n"/>
    </row>
    <row r="523" ht="14.25" customHeight="1">
      <c r="A523" s="416" t="n"/>
    </row>
    <row r="524" ht="14.25" customHeight="1">
      <c r="A524" s="416" t="n"/>
    </row>
    <row r="525" ht="14.25" customHeight="1">
      <c r="A525" s="416" t="n"/>
    </row>
    <row r="526" ht="14.25" customHeight="1">
      <c r="A526" s="416" t="n"/>
    </row>
    <row r="527" ht="14.25" customHeight="1">
      <c r="A527" s="416" t="n"/>
    </row>
    <row r="528" ht="14.25" customHeight="1">
      <c r="A528" s="416" t="n"/>
    </row>
    <row r="529" ht="14.25" customHeight="1">
      <c r="A529" s="416" t="n"/>
    </row>
    <row r="530" ht="14.25" customHeight="1">
      <c r="A530" s="416" t="n"/>
    </row>
    <row r="531" ht="14.25" customHeight="1">
      <c r="A531" s="416" t="n"/>
    </row>
    <row r="532" ht="14.25" customHeight="1">
      <c r="A532" s="416" t="n"/>
    </row>
    <row r="533" ht="14.25" customHeight="1">
      <c r="A533" s="416" t="n"/>
    </row>
    <row r="534" ht="14.25" customHeight="1">
      <c r="A534" s="416" t="n"/>
    </row>
    <row r="535" ht="14.25" customHeight="1">
      <c r="A535" s="416" t="n"/>
    </row>
    <row r="536" ht="14.25" customHeight="1">
      <c r="A536" s="416" t="n"/>
    </row>
    <row r="537" ht="14.25" customHeight="1">
      <c r="A537" s="416" t="n"/>
    </row>
    <row r="538" ht="14.25" customHeight="1">
      <c r="A538" s="416" t="n"/>
    </row>
    <row r="539" ht="14.25" customHeight="1">
      <c r="A539" s="416" t="n"/>
    </row>
    <row r="540" ht="14.25" customHeight="1">
      <c r="A540" s="416" t="n"/>
    </row>
    <row r="541" ht="14.25" customHeight="1">
      <c r="A541" s="416" t="n"/>
    </row>
    <row r="542" ht="14.25" customHeight="1">
      <c r="A542" s="416" t="n"/>
    </row>
    <row r="543" ht="14.25" customHeight="1">
      <c r="A543" s="416" t="n"/>
    </row>
    <row r="544" ht="14.25" customHeight="1">
      <c r="A544" s="416" t="n"/>
    </row>
    <row r="545" ht="14.25" customHeight="1">
      <c r="A545" s="416" t="n"/>
    </row>
    <row r="546" ht="14.25" customHeight="1">
      <c r="A546" s="416" t="n"/>
    </row>
    <row r="547" ht="14.25" customHeight="1">
      <c r="A547" s="416" t="n"/>
    </row>
    <row r="548" ht="14.25" customHeight="1">
      <c r="A548" s="416" t="n"/>
    </row>
    <row r="549" ht="14.25" customHeight="1">
      <c r="A549" s="416" t="n"/>
    </row>
    <row r="550" ht="14.25" customHeight="1">
      <c r="A550" s="416" t="n"/>
    </row>
    <row r="551" ht="14.25" customHeight="1">
      <c r="A551" s="416" t="n"/>
    </row>
    <row r="552" ht="14.25" customHeight="1">
      <c r="A552" s="416" t="n"/>
    </row>
    <row r="553" ht="14.25" customHeight="1">
      <c r="A553" s="416" t="n"/>
    </row>
    <row r="554" ht="14.25" customHeight="1">
      <c r="A554" s="416" t="n"/>
    </row>
    <row r="555" ht="14.25" customHeight="1">
      <c r="A555" s="416" t="n"/>
    </row>
    <row r="556" ht="14.25" customHeight="1">
      <c r="A556" s="416" t="n"/>
    </row>
    <row r="557" ht="14.25" customHeight="1">
      <c r="A557" s="416" t="n"/>
    </row>
    <row r="558" ht="14.25" customHeight="1">
      <c r="A558" s="416" t="n"/>
    </row>
    <row r="559" ht="14.25" customHeight="1">
      <c r="A559" s="416" t="n"/>
    </row>
    <row r="560" ht="14.25" customHeight="1">
      <c r="A560" s="416" t="n"/>
    </row>
    <row r="561" ht="14.25" customHeight="1">
      <c r="A561" s="416" t="n"/>
    </row>
    <row r="562" ht="14.25" customHeight="1">
      <c r="A562" s="416" t="n"/>
    </row>
    <row r="563" ht="14.25" customHeight="1">
      <c r="A563" s="416" t="n"/>
    </row>
    <row r="564" ht="14.25" customHeight="1">
      <c r="A564" s="416" t="n"/>
    </row>
    <row r="565" ht="14.25" customHeight="1">
      <c r="A565" s="416" t="n"/>
    </row>
    <row r="566" ht="14.25" customHeight="1">
      <c r="A566" s="416" t="n"/>
    </row>
    <row r="567" ht="14.25" customHeight="1">
      <c r="A567" s="416" t="n"/>
    </row>
    <row r="568" ht="14.25" customHeight="1">
      <c r="A568" s="416" t="n"/>
    </row>
    <row r="569" ht="14.25" customHeight="1">
      <c r="A569" s="416" t="n"/>
    </row>
    <row r="570" ht="14.25" customHeight="1">
      <c r="A570" s="416" t="n"/>
    </row>
    <row r="571" ht="14.25" customHeight="1">
      <c r="A571" s="416" t="n"/>
    </row>
    <row r="572" ht="14.25" customHeight="1">
      <c r="A572" s="416" t="n"/>
    </row>
    <row r="573" ht="14.25" customHeight="1">
      <c r="A573" s="416" t="n"/>
    </row>
    <row r="574" ht="14.25" customHeight="1">
      <c r="A574" s="416" t="n"/>
    </row>
    <row r="575" ht="14.25" customHeight="1">
      <c r="A575" s="416" t="n"/>
    </row>
    <row r="576" ht="14.25" customHeight="1">
      <c r="A576" s="416" t="n"/>
    </row>
    <row r="577" ht="14.25" customHeight="1">
      <c r="A577" s="416" t="n"/>
    </row>
    <row r="578" ht="14.25" customHeight="1">
      <c r="A578" s="416" t="n"/>
    </row>
    <row r="579" ht="14.25" customHeight="1">
      <c r="A579" s="416" t="n"/>
    </row>
    <row r="580" ht="14.25" customHeight="1">
      <c r="A580" s="416" t="n"/>
    </row>
    <row r="581" ht="14.25" customHeight="1">
      <c r="A581" s="416" t="n"/>
    </row>
    <row r="582" ht="14.25" customHeight="1">
      <c r="A582" s="416" t="n"/>
    </row>
    <row r="583" ht="14.25" customHeight="1">
      <c r="A583" s="416" t="n"/>
    </row>
    <row r="584" ht="14.25" customHeight="1">
      <c r="A584" s="416" t="n"/>
    </row>
    <row r="585" ht="14.25" customHeight="1">
      <c r="A585" s="416" t="n"/>
    </row>
    <row r="586" ht="14.25" customHeight="1">
      <c r="A586" s="416" t="n"/>
    </row>
    <row r="587" ht="14.25" customHeight="1">
      <c r="A587" s="416" t="n"/>
    </row>
    <row r="588" ht="14.25" customHeight="1">
      <c r="A588" s="416" t="n"/>
    </row>
    <row r="589" ht="14.25" customHeight="1">
      <c r="A589" s="416" t="n"/>
    </row>
    <row r="590" ht="14.25" customHeight="1">
      <c r="A590" s="416" t="n"/>
    </row>
    <row r="591" ht="14.25" customHeight="1">
      <c r="A591" s="416" t="n"/>
    </row>
    <row r="592" ht="14.25" customHeight="1">
      <c r="A592" s="416" t="n"/>
    </row>
    <row r="593" ht="14.25" customHeight="1">
      <c r="A593" s="416" t="n"/>
    </row>
    <row r="594" ht="14.25" customHeight="1">
      <c r="A594" s="416" t="n"/>
    </row>
    <row r="595" ht="14.25" customHeight="1">
      <c r="A595" s="416" t="n"/>
    </row>
    <row r="596" ht="14.25" customHeight="1">
      <c r="A596" s="416" t="n"/>
    </row>
    <row r="597" ht="14.25" customHeight="1">
      <c r="A597" s="416" t="n"/>
    </row>
    <row r="598" ht="14.25" customHeight="1">
      <c r="A598" s="416" t="n"/>
    </row>
    <row r="599" ht="14.25" customHeight="1">
      <c r="A599" s="416" t="n"/>
    </row>
    <row r="600" ht="14.25" customHeight="1">
      <c r="A600" s="416" t="n"/>
    </row>
    <row r="601" ht="14.25" customHeight="1">
      <c r="A601" s="416" t="n"/>
    </row>
    <row r="602" ht="14.25" customHeight="1">
      <c r="A602" s="416" t="n"/>
    </row>
    <row r="603" ht="14.25" customHeight="1">
      <c r="A603" s="416" t="n"/>
    </row>
    <row r="604" ht="14.25" customHeight="1">
      <c r="A604" s="416" t="n"/>
    </row>
    <row r="605" ht="14.25" customHeight="1">
      <c r="A605" s="416" t="n"/>
    </row>
    <row r="606" ht="14.25" customHeight="1">
      <c r="A606" s="416" t="n"/>
    </row>
    <row r="607" ht="14.25" customHeight="1">
      <c r="A607" s="416" t="n"/>
    </row>
    <row r="608" ht="14.25" customHeight="1">
      <c r="A608" s="416" t="n"/>
    </row>
    <row r="609" ht="14.25" customHeight="1">
      <c r="A609" s="416" t="n"/>
    </row>
    <row r="610" ht="14.25" customHeight="1">
      <c r="A610" s="416" t="n"/>
    </row>
    <row r="611" ht="14.25" customHeight="1">
      <c r="A611" s="416" t="n"/>
    </row>
    <row r="612" ht="14.25" customHeight="1">
      <c r="A612" s="416" t="n"/>
    </row>
    <row r="613" ht="14.25" customHeight="1">
      <c r="A613" s="416" t="n"/>
    </row>
    <row r="614" ht="14.25" customHeight="1">
      <c r="A614" s="416" t="n"/>
    </row>
    <row r="615" ht="14.25" customHeight="1">
      <c r="A615" s="416" t="n"/>
    </row>
    <row r="616" ht="14.25" customHeight="1">
      <c r="A616" s="416" t="n"/>
    </row>
    <row r="617" ht="14.25" customHeight="1">
      <c r="A617" s="416" t="n"/>
    </row>
    <row r="618" ht="14.25" customHeight="1">
      <c r="A618" s="416" t="n"/>
    </row>
    <row r="619" ht="14.25" customHeight="1">
      <c r="A619" s="416" t="n"/>
    </row>
    <row r="620" ht="14.25" customHeight="1">
      <c r="A620" s="416" t="n"/>
    </row>
    <row r="621" ht="14.25" customHeight="1">
      <c r="A621" s="416" t="n"/>
    </row>
    <row r="622" ht="14.25" customHeight="1">
      <c r="A622" s="416" t="n"/>
    </row>
    <row r="623" ht="14.25" customHeight="1">
      <c r="A623" s="416" t="n"/>
    </row>
    <row r="624" ht="14.25" customHeight="1">
      <c r="A624" s="416" t="n"/>
    </row>
    <row r="625" ht="14.25" customHeight="1">
      <c r="A625" s="416" t="n"/>
    </row>
    <row r="626" ht="14.25" customHeight="1">
      <c r="A626" s="416" t="n"/>
    </row>
    <row r="627" ht="14.25" customHeight="1">
      <c r="A627" s="416" t="n"/>
    </row>
    <row r="628" ht="14.25" customHeight="1">
      <c r="A628" s="416" t="n"/>
    </row>
    <row r="629" ht="14.25" customHeight="1">
      <c r="A629" s="416" t="n"/>
    </row>
    <row r="630" ht="14.25" customHeight="1">
      <c r="A630" s="416" t="n"/>
    </row>
    <row r="631" ht="14.25" customHeight="1">
      <c r="A631" s="416" t="n"/>
    </row>
    <row r="632" ht="14.25" customHeight="1">
      <c r="A632" s="416" t="n"/>
    </row>
    <row r="633" ht="14.25" customHeight="1">
      <c r="A633" s="416" t="n"/>
    </row>
    <row r="634" ht="14.25" customHeight="1">
      <c r="A634" s="416" t="n"/>
    </row>
    <row r="635" ht="14.25" customHeight="1">
      <c r="A635" s="416" t="n"/>
    </row>
    <row r="636" ht="14.25" customHeight="1">
      <c r="A636" s="416" t="n"/>
    </row>
    <row r="637" ht="14.25" customHeight="1">
      <c r="A637" s="416" t="n"/>
    </row>
    <row r="638" ht="14.25" customHeight="1">
      <c r="A638" s="416" t="n"/>
    </row>
    <row r="639" ht="14.25" customHeight="1">
      <c r="A639" s="416" t="n"/>
    </row>
    <row r="640" ht="14.25" customHeight="1">
      <c r="A640" s="416" t="n"/>
    </row>
    <row r="641" ht="14.25" customHeight="1">
      <c r="A641" s="416" t="n"/>
    </row>
    <row r="642" ht="14.25" customHeight="1">
      <c r="A642" s="416" t="n"/>
    </row>
    <row r="643" ht="14.25" customHeight="1">
      <c r="A643" s="416" t="n"/>
    </row>
    <row r="644" ht="14.25" customHeight="1">
      <c r="A644" s="416" t="n"/>
    </row>
    <row r="645" ht="14.25" customHeight="1">
      <c r="A645" s="416" t="n"/>
    </row>
    <row r="646" ht="14.25" customHeight="1">
      <c r="A646" s="416" t="n"/>
    </row>
    <row r="647" ht="14.25" customHeight="1">
      <c r="A647" s="416" t="n"/>
    </row>
    <row r="648" ht="14.25" customHeight="1">
      <c r="A648" s="416" t="n"/>
    </row>
    <row r="649" ht="14.25" customHeight="1">
      <c r="A649" s="416" t="n"/>
    </row>
    <row r="650" ht="14.25" customHeight="1">
      <c r="A650" s="416" t="n"/>
    </row>
    <row r="651" ht="14.25" customHeight="1">
      <c r="A651" s="416" t="n"/>
    </row>
    <row r="652" ht="14.25" customHeight="1">
      <c r="A652" s="416" t="n"/>
    </row>
    <row r="653" ht="14.25" customHeight="1">
      <c r="A653" s="416" t="n"/>
    </row>
    <row r="654" ht="14.25" customHeight="1">
      <c r="A654" s="416" t="n"/>
    </row>
    <row r="655" ht="14.25" customHeight="1">
      <c r="A655" s="416" t="n"/>
    </row>
    <row r="656" ht="14.25" customHeight="1">
      <c r="A656" s="416" t="n"/>
    </row>
    <row r="657" ht="14.25" customHeight="1">
      <c r="A657" s="416" t="n"/>
    </row>
    <row r="658" ht="14.25" customHeight="1">
      <c r="A658" s="416" t="n"/>
    </row>
    <row r="659" ht="14.25" customHeight="1">
      <c r="A659" s="416" t="n"/>
    </row>
    <row r="660" ht="14.25" customHeight="1">
      <c r="A660" s="416" t="n"/>
    </row>
    <row r="661" ht="14.25" customHeight="1">
      <c r="A661" s="416" t="n"/>
    </row>
    <row r="662" ht="14.25" customHeight="1">
      <c r="A662" s="416" t="n"/>
    </row>
    <row r="663" ht="14.25" customHeight="1">
      <c r="A663" s="416" t="n"/>
    </row>
    <row r="664" ht="14.25" customHeight="1">
      <c r="A664" s="416" t="n"/>
    </row>
    <row r="665" ht="14.25" customHeight="1">
      <c r="A665" s="416" t="n"/>
    </row>
    <row r="666" ht="14.25" customHeight="1">
      <c r="A666" s="416" t="n"/>
    </row>
    <row r="667" ht="14.25" customHeight="1">
      <c r="A667" s="416" t="n"/>
    </row>
    <row r="668" ht="14.25" customHeight="1">
      <c r="A668" s="416" t="n"/>
    </row>
    <row r="669" ht="14.25" customHeight="1">
      <c r="A669" s="416" t="n"/>
    </row>
    <row r="670" ht="14.25" customHeight="1">
      <c r="A670" s="416" t="n"/>
    </row>
    <row r="671" ht="14.25" customHeight="1">
      <c r="A671" s="416" t="n"/>
    </row>
    <row r="672" ht="14.25" customHeight="1">
      <c r="A672" s="416" t="n"/>
    </row>
    <row r="673" ht="14.25" customHeight="1">
      <c r="A673" s="416" t="n"/>
    </row>
    <row r="674" ht="14.25" customHeight="1">
      <c r="A674" s="416" t="n"/>
    </row>
    <row r="675" ht="14.25" customHeight="1">
      <c r="A675" s="416" t="n"/>
    </row>
    <row r="676" ht="14.25" customHeight="1">
      <c r="A676" s="416" t="n"/>
    </row>
    <row r="677" ht="14.25" customHeight="1">
      <c r="A677" s="416" t="n"/>
    </row>
    <row r="678" ht="14.25" customHeight="1">
      <c r="A678" s="416" t="n"/>
    </row>
    <row r="679" ht="14.25" customHeight="1">
      <c r="A679" s="416" t="n"/>
    </row>
    <row r="680" ht="14.25" customHeight="1">
      <c r="A680" s="416" t="n"/>
    </row>
    <row r="681" ht="14.25" customHeight="1">
      <c r="A681" s="416" t="n"/>
    </row>
    <row r="682" ht="14.25" customHeight="1">
      <c r="A682" s="416" t="n"/>
    </row>
    <row r="683" ht="14.25" customHeight="1">
      <c r="A683" s="416" t="n"/>
    </row>
    <row r="684" ht="14.25" customHeight="1">
      <c r="A684" s="416" t="n"/>
    </row>
    <row r="685" ht="14.25" customHeight="1">
      <c r="A685" s="416" t="n"/>
    </row>
    <row r="686" ht="14.25" customHeight="1">
      <c r="A686" s="416" t="n"/>
    </row>
    <row r="687" ht="14.25" customHeight="1">
      <c r="A687" s="416" t="n"/>
    </row>
    <row r="688" ht="14.25" customHeight="1">
      <c r="A688" s="416" t="n"/>
    </row>
    <row r="689" ht="14.25" customHeight="1">
      <c r="A689" s="416" t="n"/>
    </row>
    <row r="690" ht="14.25" customHeight="1">
      <c r="A690" s="416" t="n"/>
    </row>
    <row r="691" ht="14.25" customHeight="1">
      <c r="A691" s="416" t="n"/>
    </row>
    <row r="692" ht="14.25" customHeight="1">
      <c r="A692" s="416" t="n"/>
    </row>
    <row r="693" ht="14.25" customHeight="1">
      <c r="A693" s="416" t="n"/>
    </row>
    <row r="694" ht="14.25" customHeight="1">
      <c r="A694" s="416" t="n"/>
    </row>
    <row r="695" ht="14.25" customHeight="1">
      <c r="A695" s="416" t="n"/>
    </row>
    <row r="696" ht="14.25" customHeight="1">
      <c r="A696" s="416" t="n"/>
    </row>
    <row r="697" ht="14.25" customHeight="1">
      <c r="A697" s="416" t="n"/>
    </row>
    <row r="698" ht="14.25" customHeight="1">
      <c r="A698" s="416" t="n"/>
    </row>
    <row r="699" ht="14.25" customHeight="1">
      <c r="A699" s="416" t="n"/>
    </row>
    <row r="700" ht="14.25" customHeight="1">
      <c r="A700" s="416" t="n"/>
    </row>
    <row r="701" ht="14.25" customHeight="1">
      <c r="A701" s="416" t="n"/>
    </row>
    <row r="702" ht="14.25" customHeight="1">
      <c r="A702" s="416" t="n"/>
    </row>
    <row r="703" ht="14.25" customHeight="1">
      <c r="A703" s="416" t="n"/>
    </row>
    <row r="704" ht="14.25" customHeight="1">
      <c r="A704" s="416" t="n"/>
    </row>
    <row r="705" ht="14.25" customHeight="1">
      <c r="A705" s="416" t="n"/>
    </row>
    <row r="706" ht="14.25" customHeight="1">
      <c r="A706" s="416" t="n"/>
    </row>
    <row r="707" ht="14.25" customHeight="1">
      <c r="A707" s="416" t="n"/>
    </row>
    <row r="708" ht="14.25" customHeight="1">
      <c r="A708" s="416" t="n"/>
    </row>
    <row r="709" ht="14.25" customHeight="1">
      <c r="A709" s="416" t="n"/>
    </row>
    <row r="710" ht="14.25" customHeight="1">
      <c r="A710" s="416" t="n"/>
    </row>
    <row r="711" ht="14.25" customHeight="1">
      <c r="A711" s="416" t="n"/>
    </row>
    <row r="712" ht="14.25" customHeight="1">
      <c r="A712" s="416" t="n"/>
    </row>
    <row r="713" ht="14.25" customHeight="1">
      <c r="A713" s="416" t="n"/>
    </row>
    <row r="714" ht="14.25" customHeight="1">
      <c r="A714" s="416" t="n"/>
    </row>
    <row r="715" ht="14.25" customHeight="1">
      <c r="A715" s="416" t="n"/>
    </row>
    <row r="716" ht="14.25" customHeight="1">
      <c r="A716" s="416" t="n"/>
    </row>
    <row r="717" ht="14.25" customHeight="1">
      <c r="A717" s="416" t="n"/>
    </row>
    <row r="718" ht="14.25" customHeight="1">
      <c r="A718" s="416" t="n"/>
    </row>
    <row r="719" ht="14.25" customHeight="1">
      <c r="A719" s="416" t="n"/>
    </row>
    <row r="720" ht="14.25" customHeight="1">
      <c r="A720" s="416" t="n"/>
    </row>
    <row r="721" ht="14.25" customHeight="1">
      <c r="A721" s="416" t="n"/>
    </row>
    <row r="722" ht="14.25" customHeight="1">
      <c r="A722" s="416" t="n"/>
    </row>
    <row r="723" ht="14.25" customHeight="1">
      <c r="A723" s="416" t="n"/>
    </row>
    <row r="724" ht="14.25" customHeight="1">
      <c r="A724" s="416" t="n"/>
    </row>
    <row r="725" ht="14.25" customHeight="1">
      <c r="A725" s="416" t="n"/>
    </row>
    <row r="726" ht="14.25" customHeight="1">
      <c r="A726" s="416" t="n"/>
    </row>
    <row r="727" ht="14.25" customHeight="1">
      <c r="A727" s="416" t="n"/>
    </row>
    <row r="728" ht="14.25" customHeight="1">
      <c r="A728" s="416" t="n"/>
    </row>
    <row r="729" ht="14.25" customHeight="1">
      <c r="A729" s="416" t="n"/>
    </row>
    <row r="730" ht="14.25" customHeight="1">
      <c r="A730" s="416" t="n"/>
    </row>
    <row r="731" ht="14.25" customHeight="1">
      <c r="A731" s="416" t="n"/>
    </row>
    <row r="732" ht="14.25" customHeight="1">
      <c r="A732" s="416" t="n"/>
    </row>
    <row r="733" ht="14.25" customHeight="1">
      <c r="A733" s="416" t="n"/>
    </row>
    <row r="734" ht="14.25" customHeight="1">
      <c r="A734" s="416" t="n"/>
    </row>
    <row r="735" ht="14.25" customHeight="1">
      <c r="A735" s="416" t="n"/>
    </row>
    <row r="736" ht="14.25" customHeight="1">
      <c r="A736" s="416" t="n"/>
    </row>
    <row r="737" ht="14.25" customHeight="1">
      <c r="A737" s="416" t="n"/>
    </row>
    <row r="738" ht="14.25" customHeight="1">
      <c r="A738" s="416" t="n"/>
    </row>
    <row r="739" ht="14.25" customHeight="1">
      <c r="A739" s="416" t="n"/>
    </row>
    <row r="740" ht="14.25" customHeight="1">
      <c r="A740" s="416" t="n"/>
    </row>
    <row r="741" ht="14.25" customHeight="1">
      <c r="A741" s="416" t="n"/>
    </row>
    <row r="742" ht="14.25" customHeight="1">
      <c r="A742" s="416" t="n"/>
    </row>
    <row r="743" ht="14.25" customHeight="1">
      <c r="A743" s="416" t="n"/>
    </row>
    <row r="744" ht="14.25" customHeight="1">
      <c r="A744" s="416" t="n"/>
    </row>
    <row r="745" ht="14.25" customHeight="1">
      <c r="A745" s="416" t="n"/>
    </row>
    <row r="746" ht="14.25" customHeight="1">
      <c r="A746" s="416" t="n"/>
    </row>
    <row r="747" ht="14.25" customHeight="1">
      <c r="A747" s="416" t="n"/>
    </row>
    <row r="748" ht="14.25" customHeight="1">
      <c r="A748" s="416" t="n"/>
    </row>
    <row r="749" ht="14.25" customHeight="1">
      <c r="A749" s="416" t="n"/>
    </row>
    <row r="750" ht="14.25" customHeight="1">
      <c r="A750" s="416" t="n"/>
    </row>
    <row r="751" ht="14.25" customHeight="1">
      <c r="A751" s="416" t="n"/>
    </row>
    <row r="752" ht="14.25" customHeight="1">
      <c r="A752" s="416" t="n"/>
    </row>
    <row r="753" ht="14.25" customHeight="1">
      <c r="A753" s="416" t="n"/>
    </row>
    <row r="754" ht="14.25" customHeight="1">
      <c r="A754" s="416" t="n"/>
    </row>
    <row r="755" ht="14.25" customHeight="1">
      <c r="A755" s="416" t="n"/>
    </row>
    <row r="756" ht="14.25" customHeight="1">
      <c r="A756" s="416" t="n"/>
    </row>
    <row r="757" ht="14.25" customHeight="1">
      <c r="A757" s="416" t="n"/>
    </row>
    <row r="758" ht="14.25" customHeight="1">
      <c r="A758" s="416" t="n"/>
    </row>
    <row r="759" ht="14.25" customHeight="1">
      <c r="A759" s="416" t="n"/>
    </row>
    <row r="760" ht="14.25" customHeight="1">
      <c r="A760" s="416" t="n"/>
    </row>
    <row r="761" ht="14.25" customHeight="1">
      <c r="A761" s="416" t="n"/>
    </row>
    <row r="762" ht="14.25" customHeight="1">
      <c r="A762" s="416" t="n"/>
    </row>
    <row r="763" ht="14.25" customHeight="1">
      <c r="A763" s="416" t="n"/>
    </row>
    <row r="764" ht="14.25" customHeight="1">
      <c r="A764" s="416" t="n"/>
    </row>
    <row r="765" ht="14.25" customHeight="1">
      <c r="A765" s="416" t="n"/>
    </row>
    <row r="766" ht="14.25" customHeight="1">
      <c r="A766" s="416" t="n"/>
    </row>
    <row r="767" ht="14.25" customHeight="1">
      <c r="A767" s="416" t="n"/>
    </row>
    <row r="768" ht="14.25" customHeight="1">
      <c r="A768" s="416" t="n"/>
    </row>
    <row r="769" ht="14.25" customHeight="1">
      <c r="A769" s="416" t="n"/>
    </row>
    <row r="770" ht="14.25" customHeight="1">
      <c r="A770" s="416" t="n"/>
    </row>
    <row r="771" ht="14.25" customHeight="1">
      <c r="A771" s="416" t="n"/>
    </row>
    <row r="772" ht="14.25" customHeight="1">
      <c r="A772" s="416" t="n"/>
    </row>
    <row r="773" ht="14.25" customHeight="1">
      <c r="A773" s="416" t="n"/>
    </row>
    <row r="774" ht="14.25" customHeight="1">
      <c r="A774" s="416" t="n"/>
    </row>
    <row r="775" ht="14.25" customHeight="1">
      <c r="A775" s="416" t="n"/>
    </row>
    <row r="776" ht="14.25" customHeight="1">
      <c r="A776" s="416" t="n"/>
    </row>
    <row r="777" ht="14.25" customHeight="1">
      <c r="A777" s="416" t="n"/>
    </row>
    <row r="778" ht="14.25" customHeight="1">
      <c r="A778" s="416" t="n"/>
    </row>
    <row r="779" ht="14.25" customHeight="1">
      <c r="A779" s="416" t="n"/>
    </row>
    <row r="780" ht="14.25" customHeight="1">
      <c r="A780" s="416" t="n"/>
    </row>
    <row r="781" ht="14.25" customHeight="1">
      <c r="A781" s="416" t="n"/>
    </row>
    <row r="782" ht="14.25" customHeight="1">
      <c r="A782" s="416" t="n"/>
    </row>
    <row r="783" ht="14.25" customHeight="1">
      <c r="A783" s="416" t="n"/>
    </row>
    <row r="784" ht="14.25" customHeight="1">
      <c r="A784" s="416" t="n"/>
    </row>
    <row r="785" ht="14.25" customHeight="1">
      <c r="A785" s="416" t="n"/>
    </row>
    <row r="786" ht="14.25" customHeight="1">
      <c r="A786" s="416" t="n"/>
    </row>
    <row r="787" ht="14.25" customHeight="1">
      <c r="A787" s="416" t="n"/>
    </row>
    <row r="788" ht="14.25" customHeight="1">
      <c r="A788" s="416" t="n"/>
    </row>
    <row r="789" ht="14.25" customHeight="1">
      <c r="A789" s="416" t="n"/>
    </row>
    <row r="790" ht="14.25" customHeight="1">
      <c r="A790" s="416" t="n"/>
    </row>
    <row r="791" ht="14.25" customHeight="1">
      <c r="A791" s="416" t="n"/>
    </row>
    <row r="792" ht="14.25" customHeight="1">
      <c r="A792" s="416" t="n"/>
    </row>
    <row r="793" ht="14.25" customHeight="1">
      <c r="A793" s="416" t="n"/>
    </row>
    <row r="794" ht="14.25" customHeight="1">
      <c r="A794" s="416" t="n"/>
    </row>
    <row r="795" ht="14.25" customHeight="1">
      <c r="A795" s="416" t="n"/>
    </row>
    <row r="796" ht="14.25" customHeight="1">
      <c r="A796" s="416" t="n"/>
    </row>
    <row r="797" ht="14.25" customHeight="1">
      <c r="A797" s="416" t="n"/>
    </row>
    <row r="798" ht="14.25" customHeight="1">
      <c r="A798" s="416" t="n"/>
    </row>
    <row r="799" ht="14.25" customHeight="1">
      <c r="A799" s="416" t="n"/>
    </row>
    <row r="800" ht="14.25" customHeight="1">
      <c r="A800" s="416" t="n"/>
    </row>
    <row r="801" ht="14.25" customHeight="1">
      <c r="A801" s="416" t="n"/>
    </row>
    <row r="802" ht="14.25" customHeight="1">
      <c r="A802" s="416" t="n"/>
    </row>
    <row r="803" ht="14.25" customHeight="1">
      <c r="A803" s="416" t="n"/>
    </row>
    <row r="804" ht="14.25" customHeight="1">
      <c r="A804" s="416" t="n"/>
    </row>
    <row r="805" ht="14.25" customHeight="1">
      <c r="A805" s="416" t="n"/>
    </row>
    <row r="806" ht="14.25" customHeight="1">
      <c r="A806" s="416" t="n"/>
    </row>
    <row r="807" ht="14.25" customHeight="1">
      <c r="A807" s="416" t="n"/>
    </row>
    <row r="808" ht="14.25" customHeight="1">
      <c r="A808" s="416" t="n"/>
    </row>
    <row r="809" ht="14.25" customHeight="1">
      <c r="A809" s="416" t="n"/>
    </row>
    <row r="810" ht="14.25" customHeight="1">
      <c r="A810" s="416" t="n"/>
    </row>
    <row r="811" ht="14.25" customHeight="1">
      <c r="A811" s="416" t="n"/>
    </row>
    <row r="812" ht="14.25" customHeight="1">
      <c r="A812" s="416" t="n"/>
    </row>
    <row r="813" ht="14.25" customHeight="1">
      <c r="A813" s="416" t="n"/>
    </row>
    <row r="814" ht="14.25" customHeight="1">
      <c r="A814" s="416" t="n"/>
    </row>
    <row r="815" ht="14.25" customHeight="1">
      <c r="A815" s="416" t="n"/>
    </row>
    <row r="816" ht="14.25" customHeight="1">
      <c r="A816" s="416" t="n"/>
    </row>
    <row r="817" ht="14.25" customHeight="1">
      <c r="A817" s="416" t="n"/>
    </row>
    <row r="818" ht="14.25" customHeight="1">
      <c r="A818" s="416" t="n"/>
    </row>
    <row r="819" ht="14.25" customHeight="1">
      <c r="A819" s="416" t="n"/>
    </row>
    <row r="820" ht="14.25" customHeight="1">
      <c r="A820" s="416" t="n"/>
    </row>
    <row r="821" ht="14.25" customHeight="1">
      <c r="A821" s="416" t="n"/>
    </row>
    <row r="822" ht="14.25" customHeight="1">
      <c r="A822" s="416" t="n"/>
    </row>
    <row r="823" ht="14.25" customHeight="1">
      <c r="A823" s="416" t="n"/>
    </row>
    <row r="824" ht="14.25" customHeight="1">
      <c r="A824" s="416" t="n"/>
    </row>
    <row r="825" ht="14.25" customHeight="1">
      <c r="A825" s="416" t="n"/>
    </row>
    <row r="826" ht="14.25" customHeight="1">
      <c r="A826" s="416" t="n"/>
    </row>
    <row r="827" ht="14.25" customHeight="1">
      <c r="A827" s="416" t="n"/>
    </row>
    <row r="828" ht="14.25" customHeight="1">
      <c r="A828" s="416" t="n"/>
    </row>
    <row r="829" ht="14.25" customHeight="1">
      <c r="A829" s="416" t="n"/>
    </row>
    <row r="830" ht="14.25" customHeight="1">
      <c r="A830" s="416" t="n"/>
    </row>
    <row r="831" ht="14.25" customHeight="1">
      <c r="A831" s="416" t="n"/>
    </row>
    <row r="832" ht="14.25" customHeight="1">
      <c r="A832" s="416" t="n"/>
    </row>
    <row r="833" ht="14.25" customHeight="1">
      <c r="A833" s="416" t="n"/>
    </row>
    <row r="834" ht="14.25" customHeight="1">
      <c r="A834" s="416" t="n"/>
    </row>
    <row r="835" ht="14.25" customHeight="1">
      <c r="A835" s="416" t="n"/>
    </row>
    <row r="836" ht="14.25" customHeight="1">
      <c r="A836" s="416" t="n"/>
    </row>
    <row r="837" ht="14.25" customHeight="1">
      <c r="A837" s="416" t="n"/>
    </row>
    <row r="838" ht="14.25" customHeight="1">
      <c r="A838" s="416" t="n"/>
    </row>
    <row r="839" ht="14.25" customHeight="1">
      <c r="A839" s="416" t="n"/>
    </row>
    <row r="840" ht="14.25" customHeight="1">
      <c r="A840" s="416" t="n"/>
    </row>
    <row r="841" ht="14.25" customHeight="1">
      <c r="A841" s="416" t="n"/>
    </row>
    <row r="842" ht="14.25" customHeight="1">
      <c r="A842" s="416" t="n"/>
    </row>
    <row r="843" ht="14.25" customHeight="1">
      <c r="A843" s="416" t="n"/>
    </row>
    <row r="844" ht="14.25" customHeight="1">
      <c r="A844" s="416" t="n"/>
    </row>
    <row r="845" ht="14.25" customHeight="1">
      <c r="A845" s="416" t="n"/>
    </row>
    <row r="846" ht="14.25" customHeight="1">
      <c r="A846" s="416" t="n"/>
    </row>
    <row r="847" ht="14.25" customHeight="1">
      <c r="A847" s="416" t="n"/>
    </row>
    <row r="848" ht="14.25" customHeight="1">
      <c r="A848" s="416" t="n"/>
    </row>
    <row r="849" ht="14.25" customHeight="1">
      <c r="A849" s="416" t="n"/>
    </row>
    <row r="850" ht="14.25" customHeight="1">
      <c r="A850" s="416" t="n"/>
    </row>
    <row r="851" ht="14.25" customHeight="1">
      <c r="A851" s="416" t="n"/>
    </row>
    <row r="852" ht="14.25" customHeight="1">
      <c r="A852" s="416" t="n"/>
    </row>
    <row r="853" ht="14.25" customHeight="1">
      <c r="A853" s="416" t="n"/>
    </row>
    <row r="854" ht="14.25" customHeight="1">
      <c r="A854" s="416" t="n"/>
    </row>
    <row r="855" ht="14.25" customHeight="1">
      <c r="A855" s="416" t="n"/>
    </row>
    <row r="856" ht="14.25" customHeight="1">
      <c r="A856" s="416" t="n"/>
    </row>
    <row r="857" ht="14.25" customHeight="1">
      <c r="A857" s="416" t="n"/>
    </row>
    <row r="858" ht="14.25" customHeight="1">
      <c r="A858" s="416" t="n"/>
    </row>
    <row r="859" ht="14.25" customHeight="1">
      <c r="A859" s="416" t="n"/>
    </row>
    <row r="860" ht="14.25" customHeight="1">
      <c r="A860" s="416" t="n"/>
    </row>
    <row r="861" ht="14.25" customHeight="1">
      <c r="A861" s="416" t="n"/>
    </row>
    <row r="862" ht="14.25" customHeight="1">
      <c r="A862" s="416" t="n"/>
    </row>
    <row r="863" ht="14.25" customHeight="1">
      <c r="A863" s="416" t="n"/>
    </row>
    <row r="864" ht="14.25" customHeight="1">
      <c r="A864" s="416" t="n"/>
    </row>
    <row r="865" ht="14.25" customHeight="1">
      <c r="A865" s="416" t="n"/>
    </row>
    <row r="866" ht="14.25" customHeight="1">
      <c r="A866" s="416" t="n"/>
    </row>
    <row r="867" ht="14.25" customHeight="1">
      <c r="A867" s="416" t="n"/>
    </row>
    <row r="868" ht="14.25" customHeight="1">
      <c r="A868" s="416" t="n"/>
    </row>
    <row r="869" ht="14.25" customHeight="1">
      <c r="A869" s="416" t="n"/>
    </row>
    <row r="870" ht="14.25" customHeight="1">
      <c r="A870" s="416" t="n"/>
    </row>
    <row r="871" ht="14.25" customHeight="1">
      <c r="A871" s="416" t="n"/>
    </row>
    <row r="872" ht="14.25" customHeight="1">
      <c r="A872" s="416" t="n"/>
    </row>
    <row r="873" ht="14.25" customHeight="1">
      <c r="A873" s="416" t="n"/>
    </row>
    <row r="874" ht="14.25" customHeight="1">
      <c r="A874" s="416" t="n"/>
    </row>
    <row r="875" ht="14.25" customHeight="1">
      <c r="A875" s="416" t="n"/>
    </row>
    <row r="876" ht="14.25" customHeight="1">
      <c r="A876" s="416" t="n"/>
    </row>
    <row r="877" ht="14.25" customHeight="1">
      <c r="A877" s="416" t="n"/>
    </row>
    <row r="878" ht="14.25" customHeight="1">
      <c r="A878" s="416" t="n"/>
    </row>
    <row r="879" ht="14.25" customHeight="1">
      <c r="A879" s="416" t="n"/>
    </row>
    <row r="880" ht="14.25" customHeight="1">
      <c r="A880" s="416" t="n"/>
    </row>
    <row r="881" ht="14.25" customHeight="1">
      <c r="A881" s="416" t="n"/>
    </row>
    <row r="882" ht="14.25" customHeight="1">
      <c r="A882" s="416" t="n"/>
    </row>
    <row r="883" ht="14.25" customHeight="1">
      <c r="A883" s="416" t="n"/>
    </row>
    <row r="884" ht="14.25" customHeight="1">
      <c r="A884" s="416" t="n"/>
    </row>
    <row r="885" ht="14.25" customHeight="1">
      <c r="A885" s="416" t="n"/>
    </row>
    <row r="886" ht="14.25" customHeight="1">
      <c r="A886" s="416" t="n"/>
    </row>
    <row r="887" ht="14.25" customHeight="1">
      <c r="A887" s="416" t="n"/>
    </row>
    <row r="888" ht="14.25" customHeight="1">
      <c r="A888" s="416" t="n"/>
    </row>
    <row r="889" ht="14.25" customHeight="1">
      <c r="A889" s="416" t="n"/>
    </row>
    <row r="890" ht="14.25" customHeight="1">
      <c r="A890" s="416" t="n"/>
    </row>
    <row r="891" ht="14.25" customHeight="1">
      <c r="A891" s="416" t="n"/>
    </row>
    <row r="892" ht="14.25" customHeight="1">
      <c r="A892" s="416" t="n"/>
    </row>
    <row r="893" ht="14.25" customHeight="1">
      <c r="A893" s="416" t="n"/>
    </row>
    <row r="894" ht="14.25" customHeight="1">
      <c r="A894" s="416" t="n"/>
    </row>
    <row r="895" ht="14.25" customHeight="1">
      <c r="A895" s="416" t="n"/>
    </row>
    <row r="896" ht="14.25" customHeight="1">
      <c r="A896" s="416" t="n"/>
    </row>
    <row r="897" ht="14.25" customHeight="1">
      <c r="A897" s="416" t="n"/>
    </row>
    <row r="898" ht="14.25" customHeight="1">
      <c r="A898" s="416" t="n"/>
    </row>
    <row r="899" ht="14.25" customHeight="1">
      <c r="A899" s="416" t="n"/>
    </row>
    <row r="900" ht="14.25" customHeight="1">
      <c r="A900" s="416" t="n"/>
    </row>
    <row r="901" ht="14.25" customHeight="1">
      <c r="A901" s="416" t="n"/>
    </row>
    <row r="902" ht="14.25" customHeight="1">
      <c r="A902" s="416" t="n"/>
    </row>
    <row r="903" ht="14.25" customHeight="1">
      <c r="A903" s="416" t="n"/>
    </row>
    <row r="904" ht="14.25" customHeight="1">
      <c r="A904" s="416" t="n"/>
    </row>
    <row r="905" ht="14.25" customHeight="1">
      <c r="A905" s="416" t="n"/>
    </row>
    <row r="906" ht="14.25" customHeight="1">
      <c r="A906" s="416" t="n"/>
    </row>
    <row r="907" ht="14.25" customHeight="1">
      <c r="A907" s="416" t="n"/>
    </row>
    <row r="908" ht="14.25" customHeight="1">
      <c r="A908" s="416" t="n"/>
    </row>
    <row r="909" ht="14.25" customHeight="1">
      <c r="A909" s="416" t="n"/>
    </row>
    <row r="910" ht="14.25" customHeight="1">
      <c r="A910" s="416" t="n"/>
    </row>
    <row r="911" ht="14.25" customHeight="1">
      <c r="A911" s="416" t="n"/>
    </row>
    <row r="912" ht="14.25" customHeight="1">
      <c r="A912" s="416" t="n"/>
    </row>
    <row r="913" ht="14.25" customHeight="1">
      <c r="A913" s="416" t="n"/>
    </row>
    <row r="914" ht="14.25" customHeight="1">
      <c r="A914" s="416" t="n"/>
    </row>
    <row r="915" ht="14.25" customHeight="1">
      <c r="A915" s="416" t="n"/>
    </row>
    <row r="916" ht="14.25" customHeight="1">
      <c r="A916" s="416" t="n"/>
    </row>
    <row r="917" ht="14.25" customHeight="1">
      <c r="A917" s="416" t="n"/>
    </row>
    <row r="918" ht="14.25" customHeight="1">
      <c r="A918" s="416" t="n"/>
    </row>
    <row r="919" ht="14.25" customHeight="1">
      <c r="A919" s="416" t="n"/>
    </row>
    <row r="920" ht="14.25" customHeight="1">
      <c r="A920" s="416" t="n"/>
    </row>
    <row r="921" ht="14.25" customHeight="1">
      <c r="A921" s="416" t="n"/>
    </row>
    <row r="922" ht="14.25" customHeight="1">
      <c r="A922" s="416" t="n"/>
    </row>
    <row r="923" ht="14.25" customHeight="1">
      <c r="A923" s="416" t="n"/>
    </row>
    <row r="924" ht="14.25" customHeight="1">
      <c r="A924" s="416" t="n"/>
    </row>
    <row r="925" ht="14.25" customHeight="1">
      <c r="A925" s="416" t="n"/>
    </row>
    <row r="926" ht="14.25" customHeight="1">
      <c r="A926" s="416" t="n"/>
    </row>
    <row r="927" ht="14.25" customHeight="1">
      <c r="A927" s="416" t="n"/>
    </row>
    <row r="928" ht="14.25" customHeight="1">
      <c r="A928" s="416" t="n"/>
    </row>
    <row r="929" ht="14.25" customHeight="1">
      <c r="A929" s="416" t="n"/>
    </row>
    <row r="930" ht="14.25" customHeight="1">
      <c r="A930" s="416" t="n"/>
    </row>
    <row r="931" ht="14.25" customHeight="1">
      <c r="A931" s="416" t="n"/>
    </row>
    <row r="932" ht="14.25" customHeight="1">
      <c r="A932" s="416" t="n"/>
    </row>
    <row r="933" ht="14.25" customHeight="1">
      <c r="A933" s="416" t="n"/>
    </row>
    <row r="934" ht="14.25" customHeight="1">
      <c r="A934" s="416" t="n"/>
    </row>
    <row r="935" ht="14.25" customHeight="1">
      <c r="A935" s="416" t="n"/>
    </row>
    <row r="936" ht="14.25" customHeight="1">
      <c r="A936" s="416" t="n"/>
    </row>
    <row r="937" ht="14.25" customHeight="1">
      <c r="A937" s="416" t="n"/>
    </row>
    <row r="938" ht="14.25" customHeight="1">
      <c r="A938" s="416" t="n"/>
    </row>
    <row r="939" ht="14.25" customHeight="1">
      <c r="A939" s="416" t="n"/>
    </row>
    <row r="940" ht="14.25" customHeight="1">
      <c r="A940" s="416" t="n"/>
    </row>
    <row r="941" ht="14.25" customHeight="1">
      <c r="A941" s="416" t="n"/>
    </row>
    <row r="942" ht="14.25" customHeight="1">
      <c r="A942" s="416" t="n"/>
    </row>
    <row r="943" ht="14.25" customHeight="1">
      <c r="A943" s="416" t="n"/>
    </row>
    <row r="944" ht="14.25" customHeight="1">
      <c r="A944" s="416" t="n"/>
    </row>
    <row r="945" ht="14.25" customHeight="1">
      <c r="A945" s="416" t="n"/>
    </row>
    <row r="946" ht="14.25" customHeight="1">
      <c r="A946" s="416" t="n"/>
    </row>
    <row r="947" ht="14.25" customHeight="1">
      <c r="A947" s="416" t="n"/>
    </row>
    <row r="948" ht="14.25" customHeight="1">
      <c r="A948" s="416" t="n"/>
    </row>
    <row r="949" ht="14.25" customHeight="1">
      <c r="A949" s="416" t="n"/>
    </row>
    <row r="950" ht="14.25" customHeight="1">
      <c r="A950" s="416" t="n"/>
    </row>
    <row r="951" ht="14.25" customHeight="1">
      <c r="A951" s="416" t="n"/>
    </row>
    <row r="952" ht="14.25" customHeight="1">
      <c r="A952" s="416" t="n"/>
    </row>
    <row r="953" ht="14.25" customHeight="1">
      <c r="A953" s="416" t="n"/>
    </row>
    <row r="954" ht="14.25" customHeight="1">
      <c r="A954" s="416" t="n"/>
    </row>
    <row r="955" ht="14.25" customHeight="1">
      <c r="A955" s="416" t="n"/>
    </row>
    <row r="956" ht="14.25" customHeight="1">
      <c r="A956" s="416" t="n"/>
    </row>
    <row r="957" ht="14.25" customHeight="1">
      <c r="A957" s="416" t="n"/>
    </row>
    <row r="958" ht="14.25" customHeight="1">
      <c r="A958" s="416" t="n"/>
    </row>
    <row r="959" ht="14.25" customHeight="1">
      <c r="A959" s="416" t="n"/>
    </row>
    <row r="960" ht="14.25" customHeight="1">
      <c r="A960" s="416" t="n"/>
    </row>
    <row r="961" ht="14.25" customHeight="1">
      <c r="A961" s="416" t="n"/>
    </row>
    <row r="962" ht="14.25" customHeight="1">
      <c r="A962" s="416" t="n"/>
    </row>
    <row r="963" ht="14.25" customHeight="1">
      <c r="A963" s="416" t="n"/>
    </row>
    <row r="964" ht="14.25" customHeight="1">
      <c r="A964" s="416" t="n"/>
    </row>
    <row r="965" ht="14.25" customHeight="1">
      <c r="A965" s="416" t="n"/>
    </row>
    <row r="966" ht="14.25" customHeight="1">
      <c r="A966" s="416" t="n"/>
    </row>
    <row r="967" ht="14.25" customHeight="1">
      <c r="A967" s="416" t="n"/>
    </row>
    <row r="968" ht="14.25" customHeight="1">
      <c r="A968" s="416" t="n"/>
    </row>
    <row r="969" ht="14.25" customHeight="1">
      <c r="A969" s="416" t="n"/>
    </row>
    <row r="970" ht="14.25" customHeight="1">
      <c r="A970" s="416" t="n"/>
    </row>
    <row r="971" ht="14.25" customHeight="1">
      <c r="A971" s="416" t="n"/>
    </row>
    <row r="972" ht="14.25" customHeight="1">
      <c r="A972" s="416" t="n"/>
    </row>
    <row r="973" ht="14.25" customHeight="1">
      <c r="A973" s="416" t="n"/>
    </row>
    <row r="974" ht="14.25" customHeight="1">
      <c r="A974" s="416" t="n"/>
    </row>
    <row r="975" ht="14.25" customHeight="1">
      <c r="A975" s="416" t="n"/>
    </row>
    <row r="976" ht="14.25" customHeight="1">
      <c r="A976" s="416" t="n"/>
    </row>
    <row r="977" ht="14.25" customHeight="1">
      <c r="A977" s="416" t="n"/>
    </row>
    <row r="978" ht="14.25" customHeight="1">
      <c r="A978" s="416" t="n"/>
    </row>
    <row r="979" ht="14.25" customHeight="1">
      <c r="A979" s="416" t="n"/>
    </row>
    <row r="980" ht="14.25" customHeight="1">
      <c r="A980" s="416" t="n"/>
    </row>
    <row r="981" ht="14.25" customHeight="1">
      <c r="A981" s="416" t="n"/>
    </row>
    <row r="982" ht="14.25" customHeight="1">
      <c r="A982" s="416" t="n"/>
    </row>
    <row r="983" ht="14.25" customHeight="1">
      <c r="A983" s="416" t="n"/>
    </row>
    <row r="984" ht="14.25" customHeight="1">
      <c r="A984" s="416" t="n"/>
    </row>
    <row r="985" ht="14.25" customHeight="1">
      <c r="A985" s="416" t="n"/>
    </row>
    <row r="986" ht="14.25" customHeight="1">
      <c r="A986" s="416" t="n"/>
    </row>
    <row r="987" ht="14.25" customHeight="1">
      <c r="A987" s="416" t="n"/>
    </row>
    <row r="988" ht="14.25" customHeight="1">
      <c r="A988" s="416" t="n"/>
    </row>
    <row r="989" ht="14.25" customHeight="1">
      <c r="A989" s="416" t="n"/>
    </row>
    <row r="990" ht="14.25" customHeight="1">
      <c r="A990" s="416" t="n"/>
    </row>
    <row r="991" ht="14.25" customHeight="1">
      <c r="A991" s="416" t="n"/>
    </row>
    <row r="992" ht="14.25" customHeight="1">
      <c r="A992" s="416" t="n"/>
    </row>
    <row r="993" ht="14.25" customHeight="1">
      <c r="A993" s="416" t="n"/>
    </row>
    <row r="994" ht="14.25" customHeight="1">
      <c r="A994" s="416" t="n"/>
    </row>
    <row r="995" ht="14.25" customHeight="1">
      <c r="A995" s="416" t="n"/>
    </row>
    <row r="996" ht="14.25" customHeight="1">
      <c r="A996" s="416" t="n"/>
    </row>
    <row r="997" ht="14.25" customHeight="1">
      <c r="A997" s="416" t="n"/>
    </row>
    <row r="998" ht="14.25" customHeight="1">
      <c r="A998" s="416" t="n"/>
    </row>
    <row r="999" ht="14.25" customHeight="1">
      <c r="A999" s="416" t="n"/>
    </row>
    <row r="1000" ht="14.25" customHeight="1">
      <c r="A1000" s="416" t="n"/>
    </row>
    <row r="1001" ht="14.25" customHeight="1">
      <c r="A1001" s="416" t="n"/>
    </row>
    <row r="1002" ht="14.25" customHeight="1">
      <c r="A1002" s="416" t="n"/>
    </row>
    <row r="1003" ht="14.25" customHeight="1">
      <c r="A1003" s="416" t="n"/>
    </row>
  </sheetData>
  <mergeCells count="15">
    <mergeCell ref="A21:A23"/>
    <mergeCell ref="F21:G21"/>
    <mergeCell ref="J21:K21"/>
    <mergeCell ref="C21:C23"/>
    <mergeCell ref="H21:I21"/>
    <mergeCell ref="G2:R2"/>
    <mergeCell ref="C2:C3"/>
    <mergeCell ref="B21:B23"/>
    <mergeCell ref="E21:E23"/>
    <mergeCell ref="D21:D23"/>
    <mergeCell ref="A2:A3"/>
    <mergeCell ref="B2:B3"/>
    <mergeCell ref="D2:D3"/>
    <mergeCell ref="F2:F3"/>
    <mergeCell ref="E2:E3"/>
  </mergeCells>
  <pageMargins left="0.7" right="0.7" top="0.75" bottom="0.75" header="0.3" footer="0.3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Q1003"/>
  <sheetViews>
    <sheetView topLeftCell="G19" workbookViewId="0">
      <selection activeCell="L34" sqref="L34"/>
    </sheetView>
  </sheetViews>
  <sheetFormatPr baseColWidth="8" defaultColWidth="14.3984375" defaultRowHeight="13.2"/>
  <cols>
    <col width="9.09765625" customWidth="1" style="228" min="1" max="1"/>
    <col width="12.796875" customWidth="1" style="228" min="2" max="2"/>
    <col width="23.19921875" customWidth="1" style="228" min="3" max="3"/>
    <col width="7.3984375" customWidth="1" style="228" min="4" max="6"/>
    <col width="35.19921875" customWidth="1" style="228" min="7" max="7"/>
    <col width="12.3984375" customWidth="1" style="228" min="8" max="8"/>
    <col width="17.796875" customWidth="1" style="228" min="9" max="9"/>
    <col width="26.3984375" customWidth="1" style="228" min="10" max="10"/>
    <col width="13.19921875" customWidth="1" style="228" min="11" max="15"/>
    <col width="12.296875" customWidth="1" style="228" min="16" max="17"/>
    <col width="9.09765625" customWidth="1" style="228" min="18" max="28"/>
    <col width="14.3984375" customWidth="1" style="228" min="29" max="16384"/>
  </cols>
  <sheetData>
    <row r="1" ht="18" customHeight="1">
      <c r="A1" s="1399" t="n"/>
      <c r="L1" s="581" t="n"/>
      <c r="M1" s="581" t="n"/>
      <c r="N1" s="385" t="n"/>
      <c r="O1" s="385" t="n"/>
    </row>
    <row r="2" ht="18.6" customHeight="1">
      <c r="A2" s="1398" t="inlineStr">
        <is>
          <t>ลำดับ</t>
        </is>
      </c>
      <c r="B2" s="1398" t="inlineStr">
        <is>
          <t>รหัส</t>
        </is>
      </c>
      <c r="C2" s="1398" t="inlineStr">
        <is>
          <t>ชื่อ - สกุล</t>
        </is>
      </c>
      <c r="D2" s="1398" t="inlineStr">
        <is>
          <t>เพศ</t>
        </is>
      </c>
      <c r="E2" s="1398" t="inlineStr">
        <is>
          <t>ประเภท</t>
        </is>
      </c>
      <c r="F2" s="1398" t="inlineStr">
        <is>
          <t>สัญชาติ</t>
        </is>
      </c>
      <c r="G2" s="1398" t="inlineStr">
        <is>
          <t>รายละเอียด</t>
        </is>
      </c>
      <c r="H2" s="1398" t="inlineStr">
        <is>
          <t>ระยะทาง(กม.)
เที่ยวเดียว</t>
        </is>
      </c>
      <c r="I2" s="1398" t="inlineStr">
        <is>
          <t>Link ภาพ GPS จากบ้านถึงบริษัท</t>
        </is>
      </c>
      <c r="J2" s="1398" t="inlineStr">
        <is>
          <t>พาหนะ ในการเดินทางมาบริษัท</t>
        </is>
      </c>
      <c r="K2" s="1398" t="inlineStr">
        <is>
          <t>ประเภทเชื้อเพลิง</t>
        </is>
      </c>
      <c r="L2" s="1398" t="inlineStr">
        <is>
          <t>คนขับ+ผู้ร่วมเดินทาง</t>
        </is>
      </c>
      <c r="M2" s="1400" t="inlineStr">
        <is>
          <t>หมายเหตุ</t>
        </is>
      </c>
      <c r="N2" s="1398" t="inlineStr">
        <is>
          <t>วันทำงาน</t>
        </is>
      </c>
      <c r="O2" s="1398" t="inlineStr">
        <is>
          <t>อัตราการสิ้นเปลือง</t>
        </is>
      </c>
      <c r="P2" s="599" t="inlineStr">
        <is>
          <t xml:space="preserve">Diesel </t>
        </is>
      </c>
      <c r="Q2" s="599" t="inlineStr">
        <is>
          <t>Gasoline</t>
        </is>
      </c>
    </row>
    <row r="3" ht="18.6" customHeight="1">
      <c r="A3" s="1412" t="n"/>
      <c r="B3" s="1412" t="n"/>
      <c r="C3" s="1412" t="n"/>
      <c r="D3" s="1412" t="n"/>
      <c r="E3" s="1412" t="n"/>
      <c r="F3" s="1412" t="n"/>
      <c r="G3" s="1412" t="n"/>
      <c r="H3" s="1412" t="n"/>
      <c r="I3" s="1412" t="n"/>
      <c r="J3" s="1412" t="n"/>
      <c r="K3" s="1412" t="n"/>
      <c r="L3" s="1412" t="n"/>
      <c r="M3" s="1419" t="n"/>
      <c r="N3" s="1412" t="n"/>
      <c r="O3" s="1412" t="n"/>
      <c r="P3" s="527" t="inlineStr">
        <is>
          <t>L</t>
        </is>
      </c>
      <c r="Q3" s="527" t="inlineStr">
        <is>
          <t>L</t>
        </is>
      </c>
    </row>
    <row r="4" ht="24.6" customHeight="1">
      <c r="A4" s="1417" t="n"/>
      <c r="B4" s="1417" t="n"/>
      <c r="C4" s="1417" t="n"/>
      <c r="D4" s="1417" t="n"/>
      <c r="E4" s="1417" t="n"/>
      <c r="F4" s="1417" t="n"/>
      <c r="G4" s="1417" t="n"/>
      <c r="H4" s="1417" t="n"/>
      <c r="I4" s="1417" t="n"/>
      <c r="J4" s="1417" t="n"/>
      <c r="K4" s="1417" t="n"/>
      <c r="L4" s="1417" t="n"/>
      <c r="M4" s="1413" t="n"/>
      <c r="N4" s="1417" t="n"/>
      <c r="O4" s="1417" t="n"/>
      <c r="P4" s="1753">
        <f>SUM(P5:P482)</f>
        <v/>
      </c>
      <c r="Q4" s="1753">
        <f>SUM(Q5:Q482)</f>
        <v/>
      </c>
    </row>
    <row r="5" ht="18" customHeight="1">
      <c r="A5" s="582" t="n">
        <v>1</v>
      </c>
      <c r="B5" s="582" t="n">
        <v>380003</v>
      </c>
      <c r="C5" s="583" t="inlineStr">
        <is>
          <t>เสมียน ศิลป์ชัย</t>
        </is>
      </c>
      <c r="D5" s="583" t="inlineStr">
        <is>
          <t>ชาย</t>
        </is>
      </c>
      <c r="E5" s="583" t="inlineStr">
        <is>
          <t>รายเดือน</t>
        </is>
      </c>
      <c r="F5" s="583" t="inlineStr">
        <is>
          <t>ไทย</t>
        </is>
      </c>
      <c r="G5" s="584" t="inlineStr">
        <is>
          <t>101/249 ม.10 ต.บึง อ.ศรีราชา จ.ชลบุรี 20230</t>
        </is>
      </c>
      <c r="H5" s="582" t="n">
        <v>10</v>
      </c>
      <c r="I5" s="585" t="inlineStr">
        <is>
          <t>1-380003.pdf</t>
        </is>
      </c>
      <c r="J5" s="583" t="inlineStr">
        <is>
          <t>รถยนต์เฉลี่ยทุกขนาด</t>
        </is>
      </c>
      <c r="K5" s="586" t="inlineStr">
        <is>
          <t>แก๊สโซฮอล์ 95</t>
        </is>
      </c>
      <c r="L5" s="582" t="n">
        <v>2</v>
      </c>
      <c r="M5" s="398" t="n"/>
      <c r="N5" s="257">
        <f>'[2]1.4 Septic'!$F$16</f>
        <v/>
      </c>
      <c r="O5" s="257">
        <f>$G$487</f>
        <v/>
      </c>
      <c r="P5" s="258" t="n"/>
      <c r="Q5" s="1731">
        <f>H5*2*L5*N5/O5</f>
        <v/>
      </c>
    </row>
    <row r="6" ht="18" customHeight="1">
      <c r="A6" s="396">
        <f>+A5+1</f>
        <v/>
      </c>
      <c r="B6" s="396" t="n">
        <v>380005</v>
      </c>
      <c r="C6" s="369" t="inlineStr">
        <is>
          <t>สุชาติ สุกรินทร์</t>
        </is>
      </c>
      <c r="D6" s="369" t="inlineStr">
        <is>
          <t>ชาย</t>
        </is>
      </c>
      <c r="E6" s="369" t="inlineStr">
        <is>
          <t>รายเดือน</t>
        </is>
      </c>
      <c r="F6" s="369" t="inlineStr">
        <is>
          <t>ไทย</t>
        </is>
      </c>
      <c r="G6" s="588" t="inlineStr">
        <is>
          <t>101/248 ม.10 ต.บึง อ.ศรีราชา จ.ชลบุรี 20230</t>
        </is>
      </c>
      <c r="H6" s="396" t="n">
        <v>12</v>
      </c>
      <c r="I6" s="369" t="n"/>
      <c r="J6" s="369" t="inlineStr">
        <is>
          <t>รถกระบะบรรทุก</t>
        </is>
      </c>
      <c r="K6" s="410" t="inlineStr">
        <is>
          <t>ดีเซล</t>
        </is>
      </c>
      <c r="L6" s="396" t="n">
        <v>1</v>
      </c>
      <c r="M6" s="589" t="n"/>
      <c r="N6" s="257">
        <f>'[2]1.4 Septic'!$F$16</f>
        <v/>
      </c>
      <c r="O6" s="257" t="n">
        <v>6.369</v>
      </c>
      <c r="P6" s="1731">
        <f>H6*2*L6*N6/O6</f>
        <v/>
      </c>
      <c r="Q6" s="258" t="n"/>
    </row>
    <row r="7" ht="18" customHeight="1">
      <c r="A7" s="396">
        <f>+A6+1</f>
        <v/>
      </c>
      <c r="B7" s="396" t="n">
        <v>380006</v>
      </c>
      <c r="C7" s="369" t="inlineStr">
        <is>
          <t>สมพร หอมชะลูด</t>
        </is>
      </c>
      <c r="D7" s="369" t="inlineStr">
        <is>
          <t>ชาย</t>
        </is>
      </c>
      <c r="E7" s="369" t="inlineStr">
        <is>
          <t>รายเดือน</t>
        </is>
      </c>
      <c r="F7" s="369" t="inlineStr">
        <is>
          <t>ไทย</t>
        </is>
      </c>
      <c r="G7" s="588" t="inlineStr">
        <is>
          <t>101/246 ม.10 ต.บึง อ.ศรีราชา จ.ชลบุรี 20230</t>
        </is>
      </c>
      <c r="H7" s="396" t="n">
        <v>10</v>
      </c>
      <c r="I7" s="369" t="n"/>
      <c r="J7" s="369" t="inlineStr">
        <is>
          <t>รถยนต์เฉลี่ยทุกขนาด</t>
        </is>
      </c>
      <c r="K7" s="410" t="inlineStr">
        <is>
          <t>แก๊สโซฮอล์ 91</t>
        </is>
      </c>
      <c r="L7" s="396" t="n">
        <v>1</v>
      </c>
      <c r="M7" s="589" t="n"/>
      <c r="N7" s="257">
        <f>'[2]1.4 Septic'!$F$16</f>
        <v/>
      </c>
      <c r="O7" s="257">
        <f>$G$487</f>
        <v/>
      </c>
      <c r="P7" s="258" t="n"/>
      <c r="Q7" s="1731">
        <f>H7*2*L7*N7/O7</f>
        <v/>
      </c>
    </row>
    <row r="8" ht="18" customHeight="1">
      <c r="A8" s="396">
        <f>+A7+1</f>
        <v/>
      </c>
      <c r="B8" s="396" t="n">
        <v>380007</v>
      </c>
      <c r="C8" s="369" t="inlineStr">
        <is>
          <t>ศรชัย บุญปลื้ม</t>
        </is>
      </c>
      <c r="D8" s="369" t="inlineStr">
        <is>
          <t>ชาย</t>
        </is>
      </c>
      <c r="E8" s="369" t="inlineStr">
        <is>
          <t>รายเดือน</t>
        </is>
      </c>
      <c r="F8" s="369" t="inlineStr">
        <is>
          <t>ไทย</t>
        </is>
      </c>
      <c r="G8" s="588" t="inlineStr">
        <is>
          <t>101/247 ม.10 ต.บึง อ.ศรีราชา จ.ชลบุรี 20230</t>
        </is>
      </c>
      <c r="H8" s="396" t="n">
        <v>8</v>
      </c>
      <c r="I8" s="369" t="n"/>
      <c r="J8" s="369" t="inlineStr">
        <is>
          <t>รถจักรยานยนต์ 4 จังหวะเครื่องยนต์ขนาดเล็กกว่า 125 cc</t>
        </is>
      </c>
      <c r="K8" s="410" t="inlineStr">
        <is>
          <t>แก๊สโซฮอล์ 95</t>
        </is>
      </c>
      <c r="L8" s="396" t="n">
        <v>2</v>
      </c>
      <c r="M8" s="589" t="n"/>
      <c r="N8" s="257">
        <f>'[2]1.4 Septic'!$F$16</f>
        <v/>
      </c>
      <c r="O8" s="257">
        <f>$G$492</f>
        <v/>
      </c>
      <c r="P8" s="258" t="n"/>
      <c r="Q8" s="1731">
        <f>H8*2*L8*N8/O8</f>
        <v/>
      </c>
    </row>
    <row r="9" ht="18" customHeight="1">
      <c r="A9" s="396">
        <f>+A8+1</f>
        <v/>
      </c>
      <c r="B9" s="396" t="n">
        <v>380010</v>
      </c>
      <c r="C9" s="369" t="inlineStr">
        <is>
          <t>สำรวย อาจน้อย</t>
        </is>
      </c>
      <c r="D9" s="369" t="inlineStr">
        <is>
          <t>ชาย</t>
        </is>
      </c>
      <c r="E9" s="369" t="inlineStr">
        <is>
          <t>รายเดือน</t>
        </is>
      </c>
      <c r="F9" s="369" t="inlineStr">
        <is>
          <t>ไทย</t>
        </is>
      </c>
      <c r="G9" s="588" t="inlineStr">
        <is>
          <t>101/245 ม.10 ต.ทุ่งสุขลา อ.ศรีราชา จ.ชลบุรี 20230</t>
        </is>
      </c>
      <c r="H9" s="396" t="n">
        <v>9</v>
      </c>
      <c r="I9" s="369" t="n"/>
      <c r="J9" s="369" t="inlineStr">
        <is>
          <t>รถกระบะบรรทุก</t>
        </is>
      </c>
      <c r="K9" s="410" t="inlineStr">
        <is>
          <t>ดีเซล</t>
        </is>
      </c>
      <c r="L9" s="396" t="n">
        <v>2</v>
      </c>
      <c r="M9" s="589" t="n"/>
      <c r="N9" s="257">
        <f>'[2]1.4 Septic'!$F$16</f>
        <v/>
      </c>
      <c r="O9" s="257" t="n">
        <v>6.369</v>
      </c>
      <c r="P9" s="1731">
        <f>H9*2*L9*N9/O9</f>
        <v/>
      </c>
      <c r="Q9" s="258" t="n"/>
    </row>
    <row r="10" ht="18" customHeight="1">
      <c r="A10" s="396">
        <f>+A9+1</f>
        <v/>
      </c>
      <c r="B10" s="396" t="n">
        <v>380017</v>
      </c>
      <c r="C10" s="369" t="inlineStr">
        <is>
          <t>อธิวัฒน์ ธีรวริยาภัสร์</t>
        </is>
      </c>
      <c r="D10" s="369" t="inlineStr">
        <is>
          <t>ชาย</t>
        </is>
      </c>
      <c r="E10" s="369" t="inlineStr">
        <is>
          <t>รายเดือน</t>
        </is>
      </c>
      <c r="F10" s="369" t="inlineStr">
        <is>
          <t>ไทย</t>
        </is>
      </c>
      <c r="G10" s="588" t="inlineStr">
        <is>
          <t>เลขที่ 8 หมู่บ้านท่าทรายนิเวศน์2 ซ.นนทบุรี35 ต.ท่าทราย อ.เมืองนนทบุรี จ.นนทบุรี 11000</t>
        </is>
      </c>
      <c r="H10" s="396" t="n">
        <v>38</v>
      </c>
      <c r="I10" s="369" t="n"/>
      <c r="J10" s="369" t="inlineStr">
        <is>
          <t>รถยนต์ขนาดใหญ่ (2000 cc)</t>
        </is>
      </c>
      <c r="K10" s="410" t="inlineStr">
        <is>
          <t>แก๊สโซฮอล์ 91</t>
        </is>
      </c>
      <c r="L10" s="396" t="n">
        <v>2</v>
      </c>
      <c r="M10" s="589" t="inlineStr">
        <is>
          <t>สนง.กทม.</t>
        </is>
      </c>
      <c r="N10" s="257">
        <f>'[2]1.4 Septic'!$F$34</f>
        <v/>
      </c>
      <c r="O10" s="257">
        <f>$G$495</f>
        <v/>
      </c>
      <c r="P10" s="258" t="n"/>
      <c r="Q10" s="1731">
        <f>H10*2*L10*N10/O10</f>
        <v/>
      </c>
    </row>
    <row r="11" ht="18" customHeight="1">
      <c r="A11" s="396">
        <f>+A10+1</f>
        <v/>
      </c>
      <c r="B11" s="396" t="n">
        <v>380026</v>
      </c>
      <c r="C11" s="369" t="inlineStr">
        <is>
          <t>วิชัย ธีระสาสน์</t>
        </is>
      </c>
      <c r="D11" s="369" t="inlineStr">
        <is>
          <t>ชาย</t>
        </is>
      </c>
      <c r="E11" s="369" t="inlineStr">
        <is>
          <t>รายเดือน</t>
        </is>
      </c>
      <c r="F11" s="369" t="inlineStr">
        <is>
          <t>ไทย</t>
        </is>
      </c>
      <c r="G11" s="588" t="inlineStr">
        <is>
          <t>13/282 ม.18 ต.คูคต อ.ลำลูกกา จ.ปทุมธานี 12130</t>
        </is>
      </c>
      <c r="H11" s="396" t="n">
        <v>40</v>
      </c>
      <c r="I11" s="369" t="n"/>
      <c r="J11" s="369" t="inlineStr">
        <is>
          <t>รถจักรยานยนต์ 4 จังหวะเครื่องยนต์ขนาดเล็กกว่า 125 cc</t>
        </is>
      </c>
      <c r="K11" s="410" t="inlineStr">
        <is>
          <t>แก๊สโซฮอล์ 95</t>
        </is>
      </c>
      <c r="L11" s="396" t="n">
        <v>1</v>
      </c>
      <c r="M11" s="589" t="inlineStr">
        <is>
          <t>สนง.กทม.</t>
        </is>
      </c>
      <c r="N11" s="257">
        <f>'[2]1.4 Septic'!$F$34</f>
        <v/>
      </c>
      <c r="O11" s="257">
        <f>$G$492</f>
        <v/>
      </c>
      <c r="P11" s="258" t="n"/>
      <c r="Q11" s="1731">
        <f>H11*2*L11*N11/O11</f>
        <v/>
      </c>
    </row>
    <row r="12" ht="18" customHeight="1">
      <c r="A12" s="396">
        <f>+A11+1</f>
        <v/>
      </c>
      <c r="B12" s="396" t="n">
        <v>390030</v>
      </c>
      <c r="C12" s="369" t="inlineStr">
        <is>
          <t>ภาสกร อ้อนอุบล</t>
        </is>
      </c>
      <c r="D12" s="369" t="inlineStr">
        <is>
          <t>ชาย</t>
        </is>
      </c>
      <c r="E12" s="369" t="inlineStr">
        <is>
          <t>รายเดือน</t>
        </is>
      </c>
      <c r="F12" s="369" t="inlineStr">
        <is>
          <t>ไทย</t>
        </is>
      </c>
      <c r="G12" s="588" t="inlineStr">
        <is>
          <t>101/250 ม.10 ต.บึง อ.ศรีราชา จ.ชลบุรี 20230</t>
        </is>
      </c>
      <c r="H12" s="396" t="n">
        <v>10</v>
      </c>
      <c r="I12" s="369" t="n"/>
      <c r="J12" s="369" t="inlineStr">
        <is>
          <t>รถกระบะบรรทุก</t>
        </is>
      </c>
      <c r="K12" s="410" t="inlineStr">
        <is>
          <t>ดีเซล</t>
        </is>
      </c>
      <c r="L12" s="396" t="n">
        <v>1</v>
      </c>
      <c r="M12" s="589" t="n"/>
      <c r="N12" s="257">
        <f>'[2]1.4 Septic'!$F$16</f>
        <v/>
      </c>
      <c r="O12" s="257" t="n">
        <v>6.369</v>
      </c>
      <c r="P12" s="1731">
        <f>H12*2*L12*N12/O12</f>
        <v/>
      </c>
      <c r="Q12" s="258" t="n"/>
    </row>
    <row r="13" ht="18" customHeight="1">
      <c r="A13" s="396">
        <f>+A12+1</f>
        <v/>
      </c>
      <c r="B13" s="396" t="n">
        <v>390031</v>
      </c>
      <c r="C13" s="369" t="inlineStr">
        <is>
          <t>สมพงษ์ ศิลป์ชัย</t>
        </is>
      </c>
      <c r="D13" s="369" t="inlineStr">
        <is>
          <t>ชาย</t>
        </is>
      </c>
      <c r="E13" s="369" t="inlineStr">
        <is>
          <t>รายเดือน</t>
        </is>
      </c>
      <c r="F13" s="369" t="inlineStr">
        <is>
          <t>ไทย</t>
        </is>
      </c>
      <c r="G13" s="588" t="inlineStr">
        <is>
          <t>การเคหะ แหลมฉบัง ม.6 ต.บางละมุง อ.บางละมุง จ.ชลบุรี 20150</t>
        </is>
      </c>
      <c r="H13" s="396" t="n">
        <v>15</v>
      </c>
      <c r="I13" s="369" t="n"/>
      <c r="J13" s="369" t="inlineStr">
        <is>
          <t>รถกระบะบรรทุก</t>
        </is>
      </c>
      <c r="K13" s="410" t="inlineStr">
        <is>
          <t>ดีเซล</t>
        </is>
      </c>
      <c r="L13" s="396" t="n">
        <v>1</v>
      </c>
      <c r="M13" s="589" t="n"/>
      <c r="N13" s="257">
        <f>'[2]1.4 Septic'!$F$16</f>
        <v/>
      </c>
      <c r="O13" s="257" t="n">
        <v>6.369</v>
      </c>
      <c r="P13" s="1731">
        <f>H13*2*L13*N13/O13</f>
        <v/>
      </c>
      <c r="Q13" s="258" t="n"/>
    </row>
    <row r="14" ht="18" customHeight="1">
      <c r="A14" s="396">
        <f>+A13+1</f>
        <v/>
      </c>
      <c r="B14" s="396" t="n">
        <v>400040</v>
      </c>
      <c r="C14" s="369" t="inlineStr">
        <is>
          <t>นิตยา ทองหล่อ</t>
        </is>
      </c>
      <c r="D14" s="369" t="inlineStr">
        <is>
          <t>หญิง</t>
        </is>
      </c>
      <c r="E14" s="369" t="inlineStr">
        <is>
          <t>รายเดือน</t>
        </is>
      </c>
      <c r="F14" s="369" t="inlineStr">
        <is>
          <t>ไทย</t>
        </is>
      </c>
      <c r="G14" s="588" t="inlineStr">
        <is>
          <t>198/38 ม.8 ต.บางละมุง อ.บางละมุง จ.ชลบุรี 20150</t>
        </is>
      </c>
      <c r="H14" s="396" t="n">
        <v>8.5</v>
      </c>
      <c r="I14" s="369" t="n"/>
      <c r="J14" s="369" t="inlineStr">
        <is>
          <t>รถกระบะบรรทุก</t>
        </is>
      </c>
      <c r="K14" s="410" t="inlineStr">
        <is>
          <t>ดีเซล</t>
        </is>
      </c>
      <c r="L14" s="396" t="n">
        <v>2</v>
      </c>
      <c r="M14" s="589" t="n"/>
      <c r="N14" s="257">
        <f>'[2]1.4 Septic'!$F$16</f>
        <v/>
      </c>
      <c r="O14" s="257" t="n">
        <v>6.369</v>
      </c>
      <c r="P14" s="1731">
        <f>H14*2*L14*N14/O14</f>
        <v/>
      </c>
      <c r="Q14" s="258" t="n"/>
    </row>
    <row r="15" ht="18" customHeight="1">
      <c r="A15" s="396">
        <f>+A14+1</f>
        <v/>
      </c>
      <c r="B15" s="396" t="n">
        <v>400042</v>
      </c>
      <c r="C15" s="369" t="inlineStr">
        <is>
          <t>เฉลิม สุมทุม</t>
        </is>
      </c>
      <c r="D15" s="369" t="inlineStr">
        <is>
          <t>ชาย</t>
        </is>
      </c>
      <c r="E15" s="369" t="inlineStr">
        <is>
          <t>รายเดือน</t>
        </is>
      </c>
      <c r="F15" s="369" t="inlineStr">
        <is>
          <t>ไทย</t>
        </is>
      </c>
      <c r="G15" s="588" t="inlineStr">
        <is>
          <t>101/240 ม.10 ต.บึง อ.ศรีราชา จ.ชลบุรี 20230</t>
        </is>
      </c>
      <c r="H15" s="396" t="n">
        <v>20</v>
      </c>
      <c r="I15" s="369" t="n"/>
      <c r="J15" s="369" t="inlineStr">
        <is>
          <t>รถกระบะบรรทุก</t>
        </is>
      </c>
      <c r="K15" s="410" t="inlineStr">
        <is>
          <t>ดีเซล</t>
        </is>
      </c>
      <c r="L15" s="396" t="n">
        <v>1</v>
      </c>
      <c r="M15" s="589" t="n"/>
      <c r="N15" s="257">
        <f>'[2]1.4 Septic'!$F$16</f>
        <v/>
      </c>
      <c r="O15" s="257" t="n">
        <v>6.369</v>
      </c>
      <c r="P15" s="1731">
        <f>H15*2*L15*N15/O15</f>
        <v/>
      </c>
      <c r="Q15" s="258" t="n"/>
    </row>
    <row r="16" ht="18" customHeight="1">
      <c r="A16" s="396">
        <f>+A15+1</f>
        <v/>
      </c>
      <c r="B16" s="396" t="n">
        <v>400044</v>
      </c>
      <c r="C16" s="369" t="inlineStr">
        <is>
          <t>วิชัย ประธรรมยันเต</t>
        </is>
      </c>
      <c r="D16" s="369" t="inlineStr">
        <is>
          <t>ชาย</t>
        </is>
      </c>
      <c r="E16" s="369" t="inlineStr">
        <is>
          <t>รายเดือน</t>
        </is>
      </c>
      <c r="F16" s="369" t="inlineStr">
        <is>
          <t>ไทย</t>
        </is>
      </c>
      <c r="G16" s="588" t="inlineStr">
        <is>
          <t>การเคหะแหลมฉบัง ต.บางละมุง อ.บางละมุง จ.ชลบุรี 20150</t>
        </is>
      </c>
      <c r="H16" s="396" t="n">
        <v>14</v>
      </c>
      <c r="I16" s="369" t="n"/>
      <c r="J16" s="369" t="inlineStr">
        <is>
          <t>รถจักรยานยนต์ 4 จังหวะเครื่องยนต์ขนาดเล็กกว่า 125 cc</t>
        </is>
      </c>
      <c r="K16" s="410" t="inlineStr">
        <is>
          <t>แก๊สโซฮอล์ 95</t>
        </is>
      </c>
      <c r="L16" s="396" t="n">
        <v>1</v>
      </c>
      <c r="M16" s="589" t="n"/>
      <c r="N16" s="257">
        <f>'[2]1.4 Septic'!$F$16</f>
        <v/>
      </c>
      <c r="O16" s="257">
        <f>$G$492</f>
        <v/>
      </c>
      <c r="P16" s="258" t="n"/>
      <c r="Q16" s="1731">
        <f>H16*2*L16*N16/O16</f>
        <v/>
      </c>
    </row>
    <row r="17" ht="18" customHeight="1">
      <c r="A17" s="396">
        <f>+A16+1</f>
        <v/>
      </c>
      <c r="B17" s="396" t="n">
        <v>410048</v>
      </c>
      <c r="C17" s="369" t="inlineStr">
        <is>
          <t>ธวัชชัย เสาร์ศรี</t>
        </is>
      </c>
      <c r="D17" s="369" t="inlineStr">
        <is>
          <t>ชาย</t>
        </is>
      </c>
      <c r="E17" s="369" t="inlineStr">
        <is>
          <t>รายเดือน</t>
        </is>
      </c>
      <c r="F17" s="369" t="inlineStr">
        <is>
          <t>ไทย</t>
        </is>
      </c>
      <c r="G17" s="367" t="inlineStr">
        <is>
          <t>การเคหะแหลมฉบัง บางละมุง  ชลบุรี</t>
        </is>
      </c>
      <c r="H17" s="396" t="n">
        <v>5</v>
      </c>
      <c r="I17" s="369" t="n"/>
      <c r="J17" s="369" t="inlineStr">
        <is>
          <t>รถยนต์เฉลี่ยทุกขนาด</t>
        </is>
      </c>
      <c r="K17" s="410" t="inlineStr">
        <is>
          <t>แก๊สโซฮอล์ 91</t>
        </is>
      </c>
      <c r="L17" s="396" t="n">
        <v>1</v>
      </c>
      <c r="M17" s="589" t="n"/>
      <c r="N17" s="257">
        <f>'[2]1.4 Septic'!$F$16</f>
        <v/>
      </c>
      <c r="O17" s="257">
        <f>$G$487</f>
        <v/>
      </c>
      <c r="P17" s="258" t="n"/>
      <c r="Q17" s="1731">
        <f>H17*2*L17*N17/O17</f>
        <v/>
      </c>
    </row>
    <row r="18" ht="18" customHeight="1">
      <c r="A18" s="396">
        <f>+A17+1</f>
        <v/>
      </c>
      <c r="B18" s="396" t="n">
        <v>410049</v>
      </c>
      <c r="C18" s="369" t="inlineStr">
        <is>
          <t>พิเชษฐ อภิโชติกุล</t>
        </is>
      </c>
      <c r="D18" s="369" t="inlineStr">
        <is>
          <t>ชาย</t>
        </is>
      </c>
      <c r="E18" s="369" t="inlineStr">
        <is>
          <t>รายเดือน</t>
        </is>
      </c>
      <c r="F18" s="369" t="inlineStr">
        <is>
          <t>ไทย</t>
        </is>
      </c>
      <c r="G18" s="588" t="inlineStr">
        <is>
          <t>2021 ถ.สุขุมวิท ต.พระโขนงเหนือ อ.วัฒนา จ.กรุงเทพมหานคร 10110</t>
        </is>
      </c>
      <c r="H18" s="396" t="n">
        <v>15</v>
      </c>
      <c r="I18" s="369" t="n"/>
      <c r="J18" s="369" t="inlineStr">
        <is>
          <t>รถจักรยานยนต์ 4 จังหวะเครื่องยนต์ขนาดเล็กกว่า 125 cc</t>
        </is>
      </c>
      <c r="K18" s="410" t="inlineStr">
        <is>
          <t>แก๊สโซฮอล์ 91</t>
        </is>
      </c>
      <c r="L18" s="396" t="n">
        <v>1</v>
      </c>
      <c r="M18" s="589" t="inlineStr">
        <is>
          <t>สนง.กทม.</t>
        </is>
      </c>
      <c r="N18" s="257">
        <f>'[2]1.4 Septic'!$F$34</f>
        <v/>
      </c>
      <c r="O18" s="257">
        <f>$G$492</f>
        <v/>
      </c>
      <c r="P18" s="258" t="n"/>
      <c r="Q18" s="1731">
        <f>H18*2*L18*N18/O18</f>
        <v/>
      </c>
    </row>
    <row r="19" ht="18" customHeight="1">
      <c r="A19" s="396">
        <f>+A18+1</f>
        <v/>
      </c>
      <c r="B19" s="396" t="n">
        <v>410050</v>
      </c>
      <c r="C19" s="369" t="inlineStr">
        <is>
          <t>พเยาว์ นิลทร</t>
        </is>
      </c>
      <c r="D19" s="369" t="inlineStr">
        <is>
          <t>หญิง</t>
        </is>
      </c>
      <c r="E19" s="369" t="inlineStr">
        <is>
          <t>รายเดือน</t>
        </is>
      </c>
      <c r="F19" s="369" t="inlineStr">
        <is>
          <t>ไทย</t>
        </is>
      </c>
      <c r="G19" s="590" t="inlineStr">
        <is>
          <t>234 ซ มิตคาม ต.วชิรพยาบาล อ.ดุสิต จ.กรุงเทพมหานคร 10300</t>
        </is>
      </c>
      <c r="H19" s="396" t="n">
        <v>25</v>
      </c>
      <c r="I19" s="369" t="n"/>
      <c r="J19" s="369" t="inlineStr">
        <is>
          <t>รถยนต์ขนาดเล็ก (1500 cc)</t>
        </is>
      </c>
      <c r="K19" s="410" t="inlineStr">
        <is>
          <t>แก๊สโซฮอล์ 95</t>
        </is>
      </c>
      <c r="L19" s="396" t="n">
        <v>1</v>
      </c>
      <c r="M19" s="589" t="inlineStr">
        <is>
          <t>สนง.กทม.</t>
        </is>
      </c>
      <c r="N19" s="257">
        <f>'[2]1.4 Septic'!$F$34</f>
        <v/>
      </c>
      <c r="O19" s="257">
        <f>$G$498</f>
        <v/>
      </c>
      <c r="P19" s="258" t="n"/>
      <c r="Q19" s="1731">
        <f>H19*2*L19*N19/O19</f>
        <v/>
      </c>
    </row>
    <row r="20" ht="18" customHeight="1">
      <c r="A20" s="396">
        <f>+A19+1</f>
        <v/>
      </c>
      <c r="B20" s="396" t="n">
        <v>410053</v>
      </c>
      <c r="C20" s="369" t="inlineStr">
        <is>
          <t>จิรวัฒน์ บุญสุวรรณ</t>
        </is>
      </c>
      <c r="D20" s="369" t="inlineStr">
        <is>
          <t>ชาย</t>
        </is>
      </c>
      <c r="E20" s="369" t="inlineStr">
        <is>
          <t>รายเดือน</t>
        </is>
      </c>
      <c r="F20" s="369" t="inlineStr">
        <is>
          <t>ไทย</t>
        </is>
      </c>
      <c r="G20" s="588" t="inlineStr">
        <is>
          <t>101/253 ม.10 ต.บึง อ.ศรีราชา จ.ชลบุรี 20230</t>
        </is>
      </c>
      <c r="H20" s="396" t="n">
        <v>10</v>
      </c>
      <c r="I20" s="369" t="n"/>
      <c r="J20" s="369" t="inlineStr">
        <is>
          <t>รถกระบะบรรทุก</t>
        </is>
      </c>
      <c r="K20" s="410" t="inlineStr">
        <is>
          <t>ดีเซล</t>
        </is>
      </c>
      <c r="L20" s="396" t="n">
        <v>2</v>
      </c>
      <c r="M20" s="589" t="n"/>
      <c r="N20" s="257">
        <f>'[2]1.4 Septic'!$F$16</f>
        <v/>
      </c>
      <c r="O20" s="257" t="n">
        <v>6.369</v>
      </c>
      <c r="P20" s="1731">
        <f>H20*2*L20*N20/O20</f>
        <v/>
      </c>
      <c r="Q20" s="258" t="n"/>
    </row>
    <row r="21" ht="18" customHeight="1">
      <c r="A21" s="396">
        <f>+A20+1</f>
        <v/>
      </c>
      <c r="B21" s="396" t="n">
        <v>410054</v>
      </c>
      <c r="C21" s="369" t="inlineStr">
        <is>
          <t>ชวนชม อัศวแก้วมงคล</t>
        </is>
      </c>
      <c r="D21" s="369" t="inlineStr">
        <is>
          <t>หญิง</t>
        </is>
      </c>
      <c r="E21" s="369" t="inlineStr">
        <is>
          <t>รายเดือน</t>
        </is>
      </c>
      <c r="F21" s="369" t="inlineStr">
        <is>
          <t>ไทย</t>
        </is>
      </c>
      <c r="G21" s="588" t="inlineStr">
        <is>
          <t>5/159 หมู่ที่ 16 ต.บางแก้ว อ.บางพลี จ.สมุทรปราการ 10540</t>
        </is>
      </c>
      <c r="H21" s="396" t="n">
        <v>46</v>
      </c>
      <c r="I21" s="369" t="n"/>
      <c r="J21" s="369" t="inlineStr">
        <is>
          <t>รถยนต์ขนาดกลาง (1800 cc)</t>
        </is>
      </c>
      <c r="K21" s="410" t="inlineStr">
        <is>
          <t>แก๊สโซฮอล์ 95</t>
        </is>
      </c>
      <c r="L21" s="396" t="n">
        <v>1</v>
      </c>
      <c r="M21" s="589" t="inlineStr">
        <is>
          <t>สนง.กทม.</t>
        </is>
      </c>
      <c r="N21" s="257">
        <f>'[2]1.4 Septic'!$F$34</f>
        <v/>
      </c>
      <c r="O21" s="257">
        <f>$G$496</f>
        <v/>
      </c>
      <c r="P21" s="258" t="n"/>
      <c r="Q21" s="1731">
        <f>H21*2*L21*N21/O21</f>
        <v/>
      </c>
    </row>
    <row r="22" ht="18" customHeight="1">
      <c r="A22" s="396">
        <f>+A21+1</f>
        <v/>
      </c>
      <c r="B22" s="396" t="n">
        <v>410057</v>
      </c>
      <c r="C22" s="369" t="inlineStr">
        <is>
          <t>สุพัตรา ปานเพชร</t>
        </is>
      </c>
      <c r="D22" s="369" t="inlineStr">
        <is>
          <t>หญิง</t>
        </is>
      </c>
      <c r="E22" s="369" t="inlineStr">
        <is>
          <t>รายเดือน</t>
        </is>
      </c>
      <c r="F22" s="369" t="inlineStr">
        <is>
          <t>ไทย</t>
        </is>
      </c>
      <c r="G22" s="588" t="inlineStr">
        <is>
          <t>101/238 ม.10 ต.บึง อ.ศรีราชา จ.ชลบุรี 20230</t>
        </is>
      </c>
      <c r="H22" s="396" t="n">
        <v>10</v>
      </c>
      <c r="I22" s="369" t="n"/>
      <c r="J22" s="369" t="inlineStr">
        <is>
          <t>รถยนต์ขนาดเล็ก (1500 cc)</t>
        </is>
      </c>
      <c r="K22" s="410" t="inlineStr">
        <is>
          <t>แก๊สโซฮอล์ E20</t>
        </is>
      </c>
      <c r="L22" s="396" t="n">
        <v>1</v>
      </c>
      <c r="M22" s="589" t="n"/>
      <c r="N22" s="257">
        <f>'[2]1.4 Septic'!$F$16</f>
        <v/>
      </c>
      <c r="O22" s="257">
        <f>$G$498</f>
        <v/>
      </c>
      <c r="P22" s="258" t="n"/>
      <c r="Q22" s="1731">
        <f>H22*2*L22*N22/O22</f>
        <v/>
      </c>
    </row>
    <row r="23" ht="18" customHeight="1">
      <c r="A23" s="396">
        <f>+A22+1</f>
        <v/>
      </c>
      <c r="B23" s="396" t="n">
        <v>410060</v>
      </c>
      <c r="C23" s="369" t="inlineStr">
        <is>
          <t>เพ็ญศรี อุทะนุต</t>
        </is>
      </c>
      <c r="D23" s="369" t="inlineStr">
        <is>
          <t>หญิง</t>
        </is>
      </c>
      <c r="E23" s="369" t="inlineStr">
        <is>
          <t>รายเดือน</t>
        </is>
      </c>
      <c r="F23" s="369" t="inlineStr">
        <is>
          <t>ไทย</t>
        </is>
      </c>
      <c r="G23" s="588" t="inlineStr">
        <is>
          <t>101/247 ม. 10 ต.บึง อ.ศรีราชา จ.ชลบุรี 20230</t>
        </is>
      </c>
      <c r="H23" s="396" t="n">
        <v>10</v>
      </c>
      <c r="I23" s="369" t="n"/>
      <c r="J23" s="369" t="inlineStr">
        <is>
          <t>รถจักรยานยนต์ 4 จังหวะเครื่องยนต์ขนาด 125 cc</t>
        </is>
      </c>
      <c r="K23" s="410" t="inlineStr">
        <is>
          <t>แก๊สโซฮอล์ 91</t>
        </is>
      </c>
      <c r="L23" s="396" t="n">
        <v>1</v>
      </c>
      <c r="M23" s="589" t="n"/>
      <c r="N23" s="257">
        <f>'[2]1.4 Septic'!$F$16</f>
        <v/>
      </c>
      <c r="O23" s="257">
        <f>$G$492</f>
        <v/>
      </c>
      <c r="P23" s="258" t="n"/>
      <c r="Q23" s="1731">
        <f>H23*2*L23*N23/O23</f>
        <v/>
      </c>
    </row>
    <row r="24" ht="18" customHeight="1">
      <c r="A24" s="396">
        <f>+A23+1</f>
        <v/>
      </c>
      <c r="B24" s="396" t="n">
        <v>420068</v>
      </c>
      <c r="C24" s="369" t="inlineStr">
        <is>
          <t>ชัยยา นุโทน</t>
        </is>
      </c>
      <c r="D24" s="369" t="inlineStr">
        <is>
          <t>ชาย</t>
        </is>
      </c>
      <c r="E24" s="369" t="inlineStr">
        <is>
          <t>รายเดือน</t>
        </is>
      </c>
      <c r="F24" s="369" t="inlineStr">
        <is>
          <t>ไทย</t>
        </is>
      </c>
      <c r="G24" s="369" t="inlineStr">
        <is>
          <t>136/11 ม.10 หมู่บ้านวราสิริ เฟส 2 ต.ทุ่งสุขลา อ.ศรีราชา จ.ชลบุรี 20230</t>
        </is>
      </c>
      <c r="H24" s="396" t="n">
        <v>7</v>
      </c>
      <c r="I24" s="369" t="n"/>
      <c r="J24" s="369" t="inlineStr">
        <is>
          <t>รถกระบะบรรทุก</t>
        </is>
      </c>
      <c r="K24" s="410" t="inlineStr">
        <is>
          <t>ดีเซล</t>
        </is>
      </c>
      <c r="L24" s="396" t="n">
        <v>1</v>
      </c>
      <c r="M24" s="589" t="n"/>
      <c r="N24" s="257">
        <f>'[2]1.4 Septic'!$F$16</f>
        <v/>
      </c>
      <c r="O24" s="257" t="n">
        <v>6.369</v>
      </c>
      <c r="P24" s="1731">
        <f>H24*2*L24*N24/O24</f>
        <v/>
      </c>
      <c r="Q24" s="258" t="n"/>
    </row>
    <row r="25" ht="18" customHeight="1">
      <c r="A25" s="396">
        <f>+A24+1</f>
        <v/>
      </c>
      <c r="B25" s="396" t="n">
        <v>420070</v>
      </c>
      <c r="C25" s="369" t="inlineStr">
        <is>
          <t>มลเทียร บุญยัง</t>
        </is>
      </c>
      <c r="D25" s="369" t="inlineStr">
        <is>
          <t>ชาย</t>
        </is>
      </c>
      <c r="E25" s="369" t="inlineStr">
        <is>
          <t>รายเดือน</t>
        </is>
      </c>
      <c r="F25" s="369" t="inlineStr">
        <is>
          <t>ไทย</t>
        </is>
      </c>
      <c r="G25" s="588" t="inlineStr">
        <is>
          <t>101/238 ม.10 ต ต..บึง อ.ศรีราชา จ.ชลบุรี 20230</t>
        </is>
      </c>
      <c r="H25" s="396" t="n">
        <v>10</v>
      </c>
      <c r="I25" s="369" t="n"/>
      <c r="J25" s="369" t="inlineStr">
        <is>
          <t>รถยนต์ขนาดเล็ก (1500 cc)</t>
        </is>
      </c>
      <c r="K25" s="410" t="inlineStr">
        <is>
          <t>แก๊สโซฮอล์ E20</t>
        </is>
      </c>
      <c r="L25" s="396" t="n">
        <v>1</v>
      </c>
      <c r="M25" s="589" t="n"/>
      <c r="N25" s="257">
        <f>'[2]1.4 Septic'!$F$16</f>
        <v/>
      </c>
      <c r="O25" s="257">
        <f>$G$498</f>
        <v/>
      </c>
      <c r="P25" s="258" t="n"/>
      <c r="Q25" s="1731">
        <f>H25*2*L25*N25/O25</f>
        <v/>
      </c>
    </row>
    <row r="26" ht="18" customHeight="1">
      <c r="A26" s="396">
        <f>+A25+1</f>
        <v/>
      </c>
      <c r="B26" s="396" t="n">
        <v>430074</v>
      </c>
      <c r="C26" s="369" t="inlineStr">
        <is>
          <t>วิชัย ศรีภักดี</t>
        </is>
      </c>
      <c r="D26" s="369" t="inlineStr">
        <is>
          <t>ชาย</t>
        </is>
      </c>
      <c r="E26" s="369" t="inlineStr">
        <is>
          <t>รายเดือน</t>
        </is>
      </c>
      <c r="F26" s="369" t="inlineStr">
        <is>
          <t>ไทย</t>
        </is>
      </c>
      <c r="G26" s="588" t="inlineStr">
        <is>
          <t>220/97 ม.6 ต.บางละมุง อ.บางละมุง จ.ชลบุรี 20150</t>
        </is>
      </c>
      <c r="H26" s="396" t="n">
        <v>14</v>
      </c>
      <c r="I26" s="369" t="n"/>
      <c r="J26" s="369" t="inlineStr">
        <is>
          <t>รถจักรยานยนต์ 4 จังหวะเครื่องยนต์ขนาดเล็กกว่า 125 cc</t>
        </is>
      </c>
      <c r="K26" s="410" t="inlineStr">
        <is>
          <t>แก๊สโซฮอล์ 91</t>
        </is>
      </c>
      <c r="L26" s="396" t="n">
        <v>1</v>
      </c>
      <c r="M26" s="589" t="n"/>
      <c r="N26" s="257">
        <f>'[2]1.4 Septic'!$F$16</f>
        <v/>
      </c>
      <c r="O26" s="257">
        <f>$G$492</f>
        <v/>
      </c>
      <c r="P26" s="258" t="n"/>
      <c r="Q26" s="1731">
        <f>H26*2*L26*N26/O26</f>
        <v/>
      </c>
    </row>
    <row r="27" ht="18" customHeight="1">
      <c r="A27" s="396">
        <f>+A26+1</f>
        <v/>
      </c>
      <c r="B27" s="396" t="n">
        <v>430076</v>
      </c>
      <c r="C27" s="369" t="inlineStr">
        <is>
          <t>นันธิชา ประสิทธิ์</t>
        </is>
      </c>
      <c r="D27" s="369" t="inlineStr">
        <is>
          <t>หญิง</t>
        </is>
      </c>
      <c r="E27" s="369" t="inlineStr">
        <is>
          <t>รายเดือน</t>
        </is>
      </c>
      <c r="F27" s="369" t="inlineStr">
        <is>
          <t>ไทย</t>
        </is>
      </c>
      <c r="G27" s="369" t="inlineStr">
        <is>
          <t>889/38 ม.9  ต. ทุ่งสุขลา อ. ศรีราชา ชลบุรี 20230</t>
        </is>
      </c>
      <c r="H27" s="396" t="n">
        <v>4</v>
      </c>
      <c r="I27" s="369" t="n"/>
      <c r="J27" s="369" t="inlineStr">
        <is>
          <t>รถยนต์ขนาดใหญ่ (2000 cc)</t>
        </is>
      </c>
      <c r="K27" s="410" t="inlineStr">
        <is>
          <t>แก๊สโซฮอล์ 95</t>
        </is>
      </c>
      <c r="L27" s="396" t="n">
        <v>1</v>
      </c>
      <c r="M27" s="589" t="n"/>
      <c r="N27" s="257">
        <f>'[2]1.4 Septic'!$F$16</f>
        <v/>
      </c>
      <c r="O27" s="257">
        <f>$G$495</f>
        <v/>
      </c>
      <c r="P27" s="258" t="n"/>
      <c r="Q27" s="1731">
        <f>H27*2*L27*N27/O27</f>
        <v/>
      </c>
    </row>
    <row r="28" ht="18" customHeight="1">
      <c r="A28" s="396">
        <f>+A27+1</f>
        <v/>
      </c>
      <c r="B28" s="396" t="n">
        <v>440089</v>
      </c>
      <c r="C28" s="369" t="inlineStr">
        <is>
          <t>ภิรมย์ สุราศรี</t>
        </is>
      </c>
      <c r="D28" s="369" t="inlineStr">
        <is>
          <t>ชาย</t>
        </is>
      </c>
      <c r="E28" s="369" t="inlineStr">
        <is>
          <t>รายเดือน</t>
        </is>
      </c>
      <c r="F28" s="369" t="inlineStr">
        <is>
          <t>ไทย</t>
        </is>
      </c>
      <c r="G28" s="588" t="inlineStr">
        <is>
          <t>101/297 ม.10 ต.บึง อ.ศรีราชา จ.ชลบุรี 20230</t>
        </is>
      </c>
      <c r="H28" s="396" t="n">
        <v>9</v>
      </c>
      <c r="I28" s="369" t="n"/>
      <c r="J28" s="369" t="inlineStr">
        <is>
          <t>รถจักรยานยนต์ 4 จังหวะเครื่องยนต์ขนาดเล็กกว่า 125 cc</t>
        </is>
      </c>
      <c r="K28" s="410" t="inlineStr">
        <is>
          <t>แก๊สโซฮอล์ 91</t>
        </is>
      </c>
      <c r="L28" s="396" t="n">
        <v>2</v>
      </c>
      <c r="M28" s="589" t="n"/>
      <c r="N28" s="257">
        <f>'[2]1.4 Septic'!$F$16</f>
        <v/>
      </c>
      <c r="O28" s="257">
        <f>$G$492</f>
        <v/>
      </c>
      <c r="P28" s="258" t="n"/>
      <c r="Q28" s="1731">
        <f>H28*2*L28*N28/O28</f>
        <v/>
      </c>
    </row>
    <row r="29" ht="18" customHeight="1">
      <c r="A29" s="396">
        <f>+A28+1</f>
        <v/>
      </c>
      <c r="B29" s="396" t="n">
        <v>440090</v>
      </c>
      <c r="C29" s="369" t="inlineStr">
        <is>
          <t>บุญรวม ไทยประเสริฐ</t>
        </is>
      </c>
      <c r="D29" s="369" t="inlineStr">
        <is>
          <t>หญิง</t>
        </is>
      </c>
      <c r="E29" s="369" t="inlineStr">
        <is>
          <t>รายเดือน</t>
        </is>
      </c>
      <c r="F29" s="369" t="inlineStr">
        <is>
          <t>ไทย</t>
        </is>
      </c>
      <c r="G29" s="588" t="inlineStr">
        <is>
          <t>316/26 ม. 6 ต.บางละมุง อ.บางละมุง จ.ชลบุรี 20260</t>
        </is>
      </c>
      <c r="H29" s="396" t="n">
        <v>5</v>
      </c>
      <c r="I29" s="369" t="n"/>
      <c r="J29" s="369" t="inlineStr">
        <is>
          <t>รถยนต์ขนาดเล็ก (1500 cc)</t>
        </is>
      </c>
      <c r="K29" s="410" t="inlineStr">
        <is>
          <t>แก๊สโซฮอล์ E85</t>
        </is>
      </c>
      <c r="L29" s="396" t="n">
        <v>1</v>
      </c>
      <c r="M29" s="589" t="n"/>
      <c r="N29" s="257">
        <f>'[2]1.4 Septic'!$F$16</f>
        <v/>
      </c>
      <c r="O29" s="257">
        <f>$G$498</f>
        <v/>
      </c>
      <c r="P29" s="258" t="n"/>
      <c r="Q29" s="1731">
        <f>H29*2*L29*N29/O29</f>
        <v/>
      </c>
    </row>
    <row r="30" ht="18" customHeight="1">
      <c r="A30" s="396">
        <f>+A29+1</f>
        <v/>
      </c>
      <c r="B30" s="396" t="n">
        <v>440095</v>
      </c>
      <c r="C30" s="369" t="inlineStr">
        <is>
          <t>พัชศิริ ยิ่งเลิศ</t>
        </is>
      </c>
      <c r="D30" s="369" t="n"/>
      <c r="E30" s="369" t="inlineStr">
        <is>
          <t>รายเดือน</t>
        </is>
      </c>
      <c r="F30" s="369" t="n"/>
      <c r="G30" s="588" t="inlineStr">
        <is>
          <t>429 ซ.หมู่บ้านเศรษฐกิจ 31 บางแค กรุงเทพมหานคร 10160</t>
        </is>
      </c>
      <c r="H30" s="396" t="n">
        <v>29</v>
      </c>
      <c r="I30" s="369" t="n"/>
      <c r="J30" s="369" t="inlineStr">
        <is>
          <t>รถยนต์ขนาดเล็ก (1500 cc)</t>
        </is>
      </c>
      <c r="K30" s="410" t="inlineStr">
        <is>
          <t>แก๊สโซฮอล์ 91</t>
        </is>
      </c>
      <c r="L30" s="396" t="n">
        <v>1</v>
      </c>
      <c r="M30" s="589" t="inlineStr">
        <is>
          <t>สนง.กทม.</t>
        </is>
      </c>
      <c r="N30" s="257">
        <f>'[2]1.4 Septic'!$F$34</f>
        <v/>
      </c>
      <c r="O30" s="257">
        <f>$G$498</f>
        <v/>
      </c>
      <c r="P30" s="258" t="n"/>
      <c r="Q30" s="1731">
        <f>H30*2*L30*N30/O30</f>
        <v/>
      </c>
    </row>
    <row r="31" ht="18" customHeight="1">
      <c r="A31" s="396">
        <f>+A30+1</f>
        <v/>
      </c>
      <c r="B31" s="396" t="n">
        <v>440108</v>
      </c>
      <c r="C31" s="369" t="inlineStr">
        <is>
          <t>เยาวรัตน์ หงษ์วิหก</t>
        </is>
      </c>
      <c r="D31" s="369" t="inlineStr">
        <is>
          <t>หญิง</t>
        </is>
      </c>
      <c r="E31" s="369" t="inlineStr">
        <is>
          <t>รายเดือน</t>
        </is>
      </c>
      <c r="F31" s="369" t="inlineStr">
        <is>
          <t>ไทย</t>
        </is>
      </c>
      <c r="G31" s="591" t="inlineStr">
        <is>
          <t xml:space="preserve"> 9/6 หมู่7 ต.บางละมุง อ.บางละมุง จ.ชลบุรี 20150 </t>
        </is>
      </c>
      <c r="H31" s="396" t="n">
        <v>10</v>
      </c>
      <c r="I31" s="369" t="n"/>
      <c r="J31" s="369" t="inlineStr">
        <is>
          <t>รถกระบะบรรทุก</t>
        </is>
      </c>
      <c r="K31" s="410" t="inlineStr">
        <is>
          <t>ดีเซล</t>
        </is>
      </c>
      <c r="L31" s="396" t="n">
        <v>2</v>
      </c>
      <c r="M31" s="589" t="n"/>
      <c r="N31" s="257">
        <f>'[2]1.4 Septic'!$F$16</f>
        <v/>
      </c>
      <c r="O31" s="257" t="n">
        <v>6.369</v>
      </c>
      <c r="P31" s="1731">
        <f>H31*2*L31*N31/O31</f>
        <v/>
      </c>
      <c r="Q31" s="258" t="n"/>
    </row>
    <row r="32" ht="18" customHeight="1">
      <c r="A32" s="396">
        <f>+A31+1</f>
        <v/>
      </c>
      <c r="B32" s="396" t="n">
        <v>450111</v>
      </c>
      <c r="C32" s="369" t="inlineStr">
        <is>
          <t>บุญทำ ฤทธิ์ธา</t>
        </is>
      </c>
      <c r="D32" s="369" t="inlineStr">
        <is>
          <t>ชาย</t>
        </is>
      </c>
      <c r="E32" s="369" t="inlineStr">
        <is>
          <t>รายเดือน</t>
        </is>
      </c>
      <c r="F32" s="369" t="inlineStr">
        <is>
          <t>ไทย</t>
        </is>
      </c>
      <c r="G32" s="588" t="inlineStr">
        <is>
          <t>เคหะแหลมฉบัง ม.6 ต.บางละมุง อ.บางละมุง จ.ชลบุรี 20150</t>
        </is>
      </c>
      <c r="H32" s="396" t="n">
        <v>6</v>
      </c>
      <c r="I32" s="369" t="n"/>
      <c r="J32" s="369" t="inlineStr">
        <is>
          <t>รถจักรยานยนต์ 2 จังหวะเครื่องยนต์ขนาด 120cc</t>
        </is>
      </c>
      <c r="K32" s="410" t="inlineStr">
        <is>
          <t>แก๊สโซฮอล์ 91</t>
        </is>
      </c>
      <c r="L32" s="396" t="n">
        <v>1</v>
      </c>
      <c r="M32" s="589" t="n"/>
      <c r="N32" s="257">
        <f>'[2]1.4 Septic'!$F$16</f>
        <v/>
      </c>
      <c r="O32" s="1754">
        <f>$G$491</f>
        <v/>
      </c>
      <c r="P32" s="258" t="n"/>
      <c r="Q32" s="1731">
        <f>H32*2*L32*N32/O32</f>
        <v/>
      </c>
    </row>
    <row r="33" ht="18" customHeight="1">
      <c r="A33" s="396">
        <f>+A32+1</f>
        <v/>
      </c>
      <c r="B33" s="396" t="n">
        <v>450114</v>
      </c>
      <c r="C33" s="369" t="inlineStr">
        <is>
          <t>พุทธวรรณ แก้วไผ่ซอ</t>
        </is>
      </c>
      <c r="D33" s="369" t="inlineStr">
        <is>
          <t>หญิง</t>
        </is>
      </c>
      <c r="E33" s="369" t="inlineStr">
        <is>
          <t>รายเดือน</t>
        </is>
      </c>
      <c r="F33" s="369" t="inlineStr">
        <is>
          <t>ไทย</t>
        </is>
      </c>
      <c r="G33" s="588" t="inlineStr">
        <is>
          <t>101/251 ม.10 ต.บึง อ.ศรีราชา จ.ชลบุรี 20230</t>
        </is>
      </c>
      <c r="H33" s="396" t="n">
        <v>10</v>
      </c>
      <c r="I33" s="369" t="n"/>
      <c r="J33" s="369" t="inlineStr">
        <is>
          <t>รถจักรยานยนต์ 2 จังหวะเครื่องยนต์ขนาด 150cc</t>
        </is>
      </c>
      <c r="K33" s="410" t="inlineStr">
        <is>
          <t>แก๊สโซฮอล์ 91</t>
        </is>
      </c>
      <c r="L33" s="396" t="n">
        <v>1</v>
      </c>
      <c r="M33" s="589" t="n"/>
      <c r="N33" s="257">
        <f>'[2]1.4 Septic'!$F$16</f>
        <v/>
      </c>
      <c r="O33" s="1754">
        <f>$G$491</f>
        <v/>
      </c>
      <c r="P33" s="258" t="n"/>
      <c r="Q33" s="1731">
        <f>H33*2*L33*N33/O33</f>
        <v/>
      </c>
    </row>
    <row r="34" ht="18" customHeight="1">
      <c r="A34" s="396">
        <f>+A33+1</f>
        <v/>
      </c>
      <c r="B34" s="396" t="n">
        <v>450116</v>
      </c>
      <c r="C34" s="369" t="inlineStr">
        <is>
          <t>ประยงค์ สายเคน</t>
        </is>
      </c>
      <c r="D34" s="369" t="inlineStr">
        <is>
          <t>ชาย</t>
        </is>
      </c>
      <c r="E34" s="369" t="inlineStr">
        <is>
          <t>รายเดือน</t>
        </is>
      </c>
      <c r="F34" s="369" t="inlineStr">
        <is>
          <t>ไทย</t>
        </is>
      </c>
      <c r="G34" s="369" t="inlineStr">
        <is>
          <t>33/80 ม.4 ต.บางละมุง อ.บางละมุง จ.ชลบุรี 20150</t>
        </is>
      </c>
      <c r="H34" s="396" t="n">
        <v>6</v>
      </c>
      <c r="I34" s="369" t="n"/>
      <c r="J34" s="369" t="inlineStr">
        <is>
          <t>รถกระบะบรรทุก</t>
        </is>
      </c>
      <c r="K34" s="410" t="inlineStr">
        <is>
          <t>ดีเซล</t>
        </is>
      </c>
      <c r="L34" s="396" t="n">
        <v>2</v>
      </c>
      <c r="M34" s="589" t="n"/>
      <c r="N34" s="257">
        <f>'[2]1.4 Septic'!$F$16</f>
        <v/>
      </c>
      <c r="O34" s="257" t="n">
        <v>6.369</v>
      </c>
      <c r="P34" s="1731">
        <f>H34*2*L34*N34/O34</f>
        <v/>
      </c>
      <c r="Q34" s="258" t="n"/>
    </row>
    <row r="35" ht="18" customHeight="1">
      <c r="A35" s="396">
        <f>+A34+1</f>
        <v/>
      </c>
      <c r="B35" s="396" t="n">
        <v>450119</v>
      </c>
      <c r="C35" s="369" t="inlineStr">
        <is>
          <t>เอนก ยาพรม</t>
        </is>
      </c>
      <c r="D35" s="369" t="inlineStr">
        <is>
          <t>ชาย</t>
        </is>
      </c>
      <c r="E35" s="369" t="inlineStr">
        <is>
          <t>รายเดือน</t>
        </is>
      </c>
      <c r="F35" s="369" t="inlineStr">
        <is>
          <t>ไทย</t>
        </is>
      </c>
      <c r="G35" s="369" t="inlineStr">
        <is>
          <t>101/259 ม.10 ต.บึง อ.ศรีราชา จ.ชลบุรี 20230</t>
        </is>
      </c>
      <c r="H35" s="396" t="n">
        <v>10</v>
      </c>
      <c r="I35" s="369" t="n"/>
      <c r="J35" s="369" t="inlineStr">
        <is>
          <t>รถจักรยานยนต์ 4 จังหวะเครื่องยนต์ขนาดเล็กกว่า 125 cc</t>
        </is>
      </c>
      <c r="K35" s="410" t="inlineStr">
        <is>
          <t>แก๊สโซฮอล์ 91</t>
        </is>
      </c>
      <c r="L35" s="396" t="n">
        <v>1</v>
      </c>
      <c r="M35" s="589" t="n"/>
      <c r="N35" s="257">
        <f>'[2]1.4 Septic'!$F$16</f>
        <v/>
      </c>
      <c r="O35" s="257">
        <f>$G$492</f>
        <v/>
      </c>
      <c r="P35" s="258" t="n"/>
      <c r="Q35" s="1731">
        <f>H35*2*L35*N35/O35</f>
        <v/>
      </c>
    </row>
    <row r="36" ht="18" customHeight="1">
      <c r="A36" s="396">
        <f>+A35+1</f>
        <v/>
      </c>
      <c r="B36" s="396" t="n">
        <v>450121</v>
      </c>
      <c r="C36" s="369" t="inlineStr">
        <is>
          <t>วัฒนา สาระมัด</t>
        </is>
      </c>
      <c r="D36" s="369" t="inlineStr">
        <is>
          <t>ชาย</t>
        </is>
      </c>
      <c r="E36" s="369" t="inlineStr">
        <is>
          <t>รายเดือน</t>
        </is>
      </c>
      <c r="F36" s="369" t="inlineStr">
        <is>
          <t>ไทย</t>
        </is>
      </c>
      <c r="G36" s="369" t="inlineStr">
        <is>
          <t>เคหะแหลมฉบัง ตึก 20 ม.6 ต.บางละมุง อ.บางละมุง จ.ชลบุรี 20150</t>
        </is>
      </c>
      <c r="H36" s="396" t="n">
        <v>12</v>
      </c>
      <c r="I36" s="369" t="n"/>
      <c r="J36" s="369" t="inlineStr">
        <is>
          <t>รถกระบะบรรทุก</t>
        </is>
      </c>
      <c r="K36" s="410" t="inlineStr">
        <is>
          <t>ดีเซล</t>
        </is>
      </c>
      <c r="L36" s="396" t="n">
        <v>2</v>
      </c>
      <c r="M36" s="589" t="n"/>
      <c r="N36" s="257">
        <f>'[2]1.4 Septic'!$F$16</f>
        <v/>
      </c>
      <c r="O36" s="257" t="n">
        <v>6.369</v>
      </c>
      <c r="P36" s="1731">
        <f>H36*2*L36*N36/O36</f>
        <v/>
      </c>
      <c r="Q36" s="258" t="n"/>
    </row>
    <row r="37" ht="18" customHeight="1">
      <c r="A37" s="396">
        <f>+A36+1</f>
        <v/>
      </c>
      <c r="B37" s="396" t="n">
        <v>450122</v>
      </c>
      <c r="C37" s="369" t="inlineStr">
        <is>
          <t>สมชาย สุทธิประเสริฐ</t>
        </is>
      </c>
      <c r="D37" s="369" t="inlineStr">
        <is>
          <t>ชาย</t>
        </is>
      </c>
      <c r="E37" s="369" t="inlineStr">
        <is>
          <t>รายเดือน</t>
        </is>
      </c>
      <c r="F37" s="369" t="inlineStr">
        <is>
          <t>ไทย</t>
        </is>
      </c>
      <c r="G37" s="367" t="inlineStr">
        <is>
          <t>เคหะแหลมฉบัง ม.6 บางละมุง บางละมุง ชลบุรี 20150</t>
        </is>
      </c>
      <c r="H37" s="396" t="n">
        <v>7</v>
      </c>
      <c r="I37" s="369" t="n"/>
      <c r="J37" s="369" t="inlineStr">
        <is>
          <t>รถยนต์เฉลี่ยทุกขนาด</t>
        </is>
      </c>
      <c r="K37" s="410" t="inlineStr">
        <is>
          <t>แก๊สโซฮอล์ 95</t>
        </is>
      </c>
      <c r="L37" s="396" t="n">
        <v>1</v>
      </c>
      <c r="M37" s="589" t="n"/>
      <c r="N37" s="257">
        <f>'[2]1.4 Septic'!$F$16</f>
        <v/>
      </c>
      <c r="O37" s="257">
        <f>$G$487</f>
        <v/>
      </c>
      <c r="P37" s="258" t="n"/>
      <c r="Q37" s="1731">
        <f>H37*2*L37*N37/O37</f>
        <v/>
      </c>
    </row>
    <row r="38" ht="18" customHeight="1">
      <c r="A38" s="396">
        <f>+A37+1</f>
        <v/>
      </c>
      <c r="B38" s="396" t="n">
        <v>460138</v>
      </c>
      <c r="C38" s="369" t="inlineStr">
        <is>
          <t>มนทิรา ไตยโส</t>
        </is>
      </c>
      <c r="D38" s="369" t="inlineStr">
        <is>
          <t>หญิง</t>
        </is>
      </c>
      <c r="E38" s="369" t="inlineStr">
        <is>
          <t>รายเดือน</t>
        </is>
      </c>
      <c r="F38" s="369" t="inlineStr">
        <is>
          <t>ไทย</t>
        </is>
      </c>
      <c r="G38" s="369" t="inlineStr">
        <is>
          <t>133/220 ม.6 ต.บางละมุง อ.บางละมุง จ.ชลบุรี 20150</t>
        </is>
      </c>
      <c r="H38" s="396" t="n">
        <v>14</v>
      </c>
      <c r="I38" s="369" t="n"/>
      <c r="J38" s="369" t="inlineStr">
        <is>
          <t>รถยนต์เฉลี่ยทุกขนาด</t>
        </is>
      </c>
      <c r="K38" s="410" t="inlineStr">
        <is>
          <t>แก๊สโซฮอล์ 91</t>
        </is>
      </c>
      <c r="L38" s="396" t="n">
        <v>1</v>
      </c>
      <c r="M38" s="589" t="n"/>
      <c r="N38" s="257">
        <f>'[2]1.4 Septic'!$F$16</f>
        <v/>
      </c>
      <c r="O38" s="257">
        <f>$G$487</f>
        <v/>
      </c>
      <c r="P38" s="258" t="n"/>
      <c r="Q38" s="1731">
        <f>H38*2*L38*N38/O38</f>
        <v/>
      </c>
    </row>
    <row r="39" ht="18" customHeight="1">
      <c r="A39" s="396">
        <f>+A38+1</f>
        <v/>
      </c>
      <c r="B39" s="396" t="n">
        <v>460139</v>
      </c>
      <c r="C39" s="369" t="inlineStr">
        <is>
          <t>พิษมัย ปินะถา</t>
        </is>
      </c>
      <c r="D39" s="369" t="inlineStr">
        <is>
          <t>หญิง</t>
        </is>
      </c>
      <c r="E39" s="369" t="inlineStr">
        <is>
          <t>รายเดือน</t>
        </is>
      </c>
      <c r="F39" s="369" t="inlineStr">
        <is>
          <t>ไทย</t>
        </is>
      </c>
      <c r="G39" s="369" t="inlineStr">
        <is>
          <t>142/140 ม.7 ต.สุรศักดิ์ อ.ศรีราชา จ.ชลบุรี 20230</t>
        </is>
      </c>
      <c r="H39" s="396" t="n">
        <v>5</v>
      </c>
      <c r="I39" s="369" t="n"/>
      <c r="J39" s="369" t="inlineStr">
        <is>
          <t>รถกระบะบรรทุก</t>
        </is>
      </c>
      <c r="K39" s="410" t="inlineStr">
        <is>
          <t>ดีเซล</t>
        </is>
      </c>
      <c r="L39" s="396" t="n">
        <v>2</v>
      </c>
      <c r="M39" s="589" t="n"/>
      <c r="N39" s="257">
        <f>'[2]1.4 Septic'!$F$16</f>
        <v/>
      </c>
      <c r="O39" s="257" t="n">
        <v>6.369</v>
      </c>
      <c r="P39" s="1731">
        <f>H39*2*L39*N39/O39</f>
        <v/>
      </c>
      <c r="Q39" s="258" t="n"/>
    </row>
    <row r="40" ht="18" customHeight="1">
      <c r="A40" s="396">
        <f>+A39+1</f>
        <v/>
      </c>
      <c r="B40" s="396" t="n">
        <v>460140</v>
      </c>
      <c r="C40" s="369" t="inlineStr">
        <is>
          <t>สุรารักษ์ เทพนา</t>
        </is>
      </c>
      <c r="D40" s="369" t="inlineStr">
        <is>
          <t>ชาย</t>
        </is>
      </c>
      <c r="E40" s="369" t="inlineStr">
        <is>
          <t>รายเดือน</t>
        </is>
      </c>
      <c r="F40" s="369" t="inlineStr">
        <is>
          <t>ไทย</t>
        </is>
      </c>
      <c r="G40" s="367" t="inlineStr">
        <is>
          <t>การเคหะแหลมฉบัง ต.บางละมุง อ.บางละมุง จ.ชลบุรี</t>
        </is>
      </c>
      <c r="H40" s="396" t="n">
        <v>7</v>
      </c>
      <c r="I40" s="369" t="n"/>
      <c r="J40" s="369" t="inlineStr">
        <is>
          <t>รถจักรยานยนต์ 2 จังหวะเฉลี่ยทุกขนาด</t>
        </is>
      </c>
      <c r="K40" s="410" t="inlineStr">
        <is>
          <t>แก๊สโซฮอล์ 91</t>
        </is>
      </c>
      <c r="L40" s="396" t="n">
        <v>1</v>
      </c>
      <c r="M40" s="589" t="n"/>
      <c r="N40" s="257">
        <f>'[2]1.4 Septic'!$F$16</f>
        <v/>
      </c>
      <c r="O40" s="1754">
        <f>$G$491</f>
        <v/>
      </c>
      <c r="P40" s="258" t="n"/>
      <c r="Q40" s="1731">
        <f>H40*2*L40*N40/O40</f>
        <v/>
      </c>
    </row>
    <row r="41" ht="18" customHeight="1">
      <c r="A41" s="396">
        <f>+A40+1</f>
        <v/>
      </c>
      <c r="B41" s="396" t="n">
        <v>460142</v>
      </c>
      <c r="C41" s="369" t="inlineStr">
        <is>
          <t>สนอง สุขนวน</t>
        </is>
      </c>
      <c r="D41" s="369" t="inlineStr">
        <is>
          <t>ชาย</t>
        </is>
      </c>
      <c r="E41" s="369" t="inlineStr">
        <is>
          <t>รายเดือน</t>
        </is>
      </c>
      <c r="F41" s="369" t="inlineStr">
        <is>
          <t>ไทย</t>
        </is>
      </c>
      <c r="G41" s="369" t="inlineStr">
        <is>
          <t>220/137  การเคหะแห่งชาติ ต.บางละมุง อ.บางละมุง จ.ชลบุรี 20150</t>
        </is>
      </c>
      <c r="H41" s="396" t="n">
        <v>5</v>
      </c>
      <c r="I41" s="369" t="n"/>
      <c r="J41" s="369" t="inlineStr">
        <is>
          <t>รถยนต์ขนาดกลาง (1600 cc)</t>
        </is>
      </c>
      <c r="K41" s="410" t="inlineStr">
        <is>
          <t>แก๊สโซฮอล์ 91</t>
        </is>
      </c>
      <c r="L41" s="396" t="n">
        <v>1</v>
      </c>
      <c r="M41" s="589" t="n"/>
      <c r="N41" s="257">
        <f>'[2]1.4 Septic'!$F$16</f>
        <v/>
      </c>
      <c r="O41" s="257">
        <f>$G$497</f>
        <v/>
      </c>
      <c r="P41" s="258" t="n"/>
      <c r="Q41" s="1731">
        <f>H41*2*L41*N41/O41</f>
        <v/>
      </c>
    </row>
    <row r="42" ht="18" customHeight="1">
      <c r="A42" s="396">
        <f>+A41+1</f>
        <v/>
      </c>
      <c r="B42" s="396" t="n">
        <v>460149</v>
      </c>
      <c r="C42" s="369" t="inlineStr">
        <is>
          <t>บรรหาญ คล้อยมาตร์</t>
        </is>
      </c>
      <c r="D42" s="369" t="inlineStr">
        <is>
          <t>ชาย</t>
        </is>
      </c>
      <c r="E42" s="369" t="inlineStr">
        <is>
          <t>รายเดือน</t>
        </is>
      </c>
      <c r="F42" s="369" t="inlineStr">
        <is>
          <t>ไทย</t>
        </is>
      </c>
      <c r="G42" s="369" t="inlineStr">
        <is>
          <t>101/85 ม.10 ต.บึง อ.ศรีราชา จ.ชลบุรี 20230</t>
        </is>
      </c>
      <c r="H42" s="396" t="n">
        <v>9</v>
      </c>
      <c r="I42" s="369" t="n"/>
      <c r="J42" s="369" t="inlineStr">
        <is>
          <t>รถจักรยานยนต์ 4 จังหวะเครื่องยนต์ขนาดเล็กกว่า 125 cc</t>
        </is>
      </c>
      <c r="K42" s="410" t="inlineStr">
        <is>
          <t>แก๊สโซฮอล์ 91</t>
        </is>
      </c>
      <c r="L42" s="396" t="n">
        <v>1</v>
      </c>
      <c r="M42" s="589" t="n"/>
      <c r="N42" s="257">
        <f>'[2]1.4 Septic'!$F$16</f>
        <v/>
      </c>
      <c r="O42" s="257">
        <f>$G$492</f>
        <v/>
      </c>
      <c r="P42" s="258" t="n"/>
      <c r="Q42" s="1731">
        <f>H42*2*L42*N42/O42</f>
        <v/>
      </c>
    </row>
    <row r="43" ht="18" customHeight="1">
      <c r="A43" s="396">
        <f>+A42+1</f>
        <v/>
      </c>
      <c r="B43" s="396" t="n">
        <v>460154</v>
      </c>
      <c r="C43" s="369" t="inlineStr">
        <is>
          <t>จรัญ จันทร์บุปผา</t>
        </is>
      </c>
      <c r="D43" s="369" t="inlineStr">
        <is>
          <t>ชาย</t>
        </is>
      </c>
      <c r="E43" s="369" t="inlineStr">
        <is>
          <t>รายเดือน</t>
        </is>
      </c>
      <c r="F43" s="369" t="inlineStr">
        <is>
          <t>ไทย</t>
        </is>
      </c>
      <c r="G43" s="369" t="inlineStr">
        <is>
          <t>10/22 ม.4 ต.บางไผ่ อ.บางแค จ.กรุงเทพมหานคร 10160</t>
        </is>
      </c>
      <c r="H43" s="396" t="n">
        <v>40</v>
      </c>
      <c r="I43" s="369" t="n"/>
      <c r="J43" s="369" t="inlineStr">
        <is>
          <t>รถยนต์ขนาดกลาง (1800 cc)</t>
        </is>
      </c>
      <c r="K43" s="228" t="inlineStr">
        <is>
          <t>แก๊สโซฮอล์ 95</t>
        </is>
      </c>
      <c r="L43" s="396" t="n">
        <v>2</v>
      </c>
      <c r="M43" s="589" t="inlineStr">
        <is>
          <t>สนง.กทม.</t>
        </is>
      </c>
      <c r="N43" s="257">
        <f>'[2]1.4 Septic'!$F$34</f>
        <v/>
      </c>
      <c r="O43" s="257">
        <f>$G$496</f>
        <v/>
      </c>
      <c r="P43" s="258" t="n"/>
      <c r="Q43" s="1731">
        <f>H43*2*L43*N43/O43</f>
        <v/>
      </c>
    </row>
    <row r="44" ht="18" customHeight="1">
      <c r="A44" s="396">
        <f>+A43+1</f>
        <v/>
      </c>
      <c r="B44" s="396" t="n">
        <v>460155</v>
      </c>
      <c r="C44" s="369" t="inlineStr">
        <is>
          <t>บรรจง ยาพรม</t>
        </is>
      </c>
      <c r="D44" s="369" t="inlineStr">
        <is>
          <t>หญิง</t>
        </is>
      </c>
      <c r="E44" s="369" t="inlineStr">
        <is>
          <t>รายเดือน</t>
        </is>
      </c>
      <c r="F44" s="369" t="inlineStr">
        <is>
          <t>ไทย</t>
        </is>
      </c>
      <c r="G44" s="369" t="inlineStr">
        <is>
          <t>101/259 ม.10 ต.บึง อ.ศรีราชา จ.ชลบุรี 20230</t>
        </is>
      </c>
      <c r="H44" s="396" t="n">
        <v>9.800000000000001</v>
      </c>
      <c r="I44" s="369" t="n"/>
      <c r="J44" s="369" t="inlineStr">
        <is>
          <t>รถจักรยานยนต์ 4 จังหวะเครื่องยนต์ขนาดเล็กกว่า 125 cc</t>
        </is>
      </c>
      <c r="K44" s="410" t="inlineStr">
        <is>
          <t>แก๊สโซฮอล์ 91</t>
        </is>
      </c>
      <c r="L44" s="396" t="n">
        <v>1</v>
      </c>
      <c r="M44" s="589" t="n"/>
      <c r="N44" s="257">
        <f>'[2]1.4 Septic'!$F$16</f>
        <v/>
      </c>
      <c r="O44" s="257">
        <f>$G$492</f>
        <v/>
      </c>
      <c r="P44" s="258" t="n"/>
      <c r="Q44" s="1731">
        <f>H44*2*L44*N44/O44</f>
        <v/>
      </c>
    </row>
    <row r="45" ht="18" customHeight="1">
      <c r="A45" s="396">
        <f>+A44+1</f>
        <v/>
      </c>
      <c r="B45" s="396" t="n">
        <v>460156</v>
      </c>
      <c r="C45" s="369" t="inlineStr">
        <is>
          <t>รัชฎาพร ศรีจันทร์</t>
        </is>
      </c>
      <c r="D45" s="369" t="inlineStr">
        <is>
          <t>หญิง</t>
        </is>
      </c>
      <c r="E45" s="369" t="inlineStr">
        <is>
          <t>รายเดือน</t>
        </is>
      </c>
      <c r="F45" s="369" t="inlineStr">
        <is>
          <t>ไทย</t>
        </is>
      </c>
      <c r="G45" s="369" t="inlineStr">
        <is>
          <t>101/261 ม.10 ต.บึง อ.ศรีราชา จ.ชลบุรี 20230</t>
        </is>
      </c>
      <c r="H45" s="396" t="n">
        <v>10</v>
      </c>
      <c r="I45" s="369" t="n"/>
      <c r="J45" s="369" t="inlineStr">
        <is>
          <t>รถจักรยานยนต์ 4 จังหวะเฉลี่ยทุกขนาด</t>
        </is>
      </c>
      <c r="K45" s="410" t="inlineStr">
        <is>
          <t>แก๊สโซฮอล์ 91</t>
        </is>
      </c>
      <c r="L45" s="396" t="n">
        <v>2</v>
      </c>
      <c r="M45" s="589" t="n"/>
      <c r="N45" s="257">
        <f>'[2]1.4 Septic'!$F$16</f>
        <v/>
      </c>
      <c r="O45" s="257">
        <f>$G$492</f>
        <v/>
      </c>
      <c r="P45" s="258" t="n"/>
      <c r="Q45" s="1731">
        <f>H45*2*L45*N45/O45</f>
        <v/>
      </c>
    </row>
    <row r="46" ht="18" customHeight="1">
      <c r="A46" s="396">
        <f>+A45+1</f>
        <v/>
      </c>
      <c r="B46" s="396" t="n">
        <v>460157</v>
      </c>
      <c r="C46" s="369" t="inlineStr">
        <is>
          <t>ทวีป ตะกุดสงฆ์</t>
        </is>
      </c>
      <c r="D46" s="369" t="inlineStr">
        <is>
          <t>ชาย</t>
        </is>
      </c>
      <c r="E46" s="369" t="inlineStr">
        <is>
          <t>รายเดือน</t>
        </is>
      </c>
      <c r="F46" s="369" t="inlineStr">
        <is>
          <t>ไทย</t>
        </is>
      </c>
      <c r="G46" s="367" t="inlineStr">
        <is>
          <t>การเคหะแหลมฉบัง  ม.6 ต.บางละมุง อ.บางละมุง จ.ชลบุรี</t>
        </is>
      </c>
      <c r="H46" s="396" t="n">
        <v>7</v>
      </c>
      <c r="I46" s="369" t="n"/>
      <c r="J46" s="369" t="inlineStr">
        <is>
          <t>รถจักรยานยนต์ 4 จังหวะเครื่องยนต์ขนาดเล็กกว่า 125 cc</t>
        </is>
      </c>
      <c r="K46" s="410" t="inlineStr">
        <is>
          <t>แก๊สโซฮอล์ 95</t>
        </is>
      </c>
      <c r="L46" s="396" t="n">
        <v>2</v>
      </c>
      <c r="M46" s="589" t="n"/>
      <c r="N46" s="257">
        <f>'[2]1.4 Septic'!$F$16</f>
        <v/>
      </c>
      <c r="O46" s="257">
        <f>$G$492</f>
        <v/>
      </c>
      <c r="P46" s="258" t="n"/>
      <c r="Q46" s="1731">
        <f>H46*2*L46*N46/O46</f>
        <v/>
      </c>
    </row>
    <row r="47" ht="18" customHeight="1">
      <c r="A47" s="396">
        <f>+A46+1</f>
        <v/>
      </c>
      <c r="B47" s="396" t="n">
        <v>460162</v>
      </c>
      <c r="C47" s="369" t="inlineStr">
        <is>
          <t>วรวุฒิ สุขจันทร์</t>
        </is>
      </c>
      <c r="D47" s="369" t="inlineStr">
        <is>
          <t>ชาย</t>
        </is>
      </c>
      <c r="E47" s="369" t="inlineStr">
        <is>
          <t>รายเดือน</t>
        </is>
      </c>
      <c r="F47" s="369" t="inlineStr">
        <is>
          <t>ไทย</t>
        </is>
      </c>
      <c r="G47" s="367" t="inlineStr">
        <is>
          <t>การเคหะแหลมฉบัง ต.บางละมุง อ.บางละมุง จ.ชลบุรี</t>
        </is>
      </c>
      <c r="H47" s="396" t="n">
        <v>7</v>
      </c>
      <c r="I47" s="369" t="n"/>
      <c r="J47" s="369" t="inlineStr">
        <is>
          <t>รถกระบะบรรทุก</t>
        </is>
      </c>
      <c r="K47" s="228" t="inlineStr">
        <is>
          <t>ดีเซล</t>
        </is>
      </c>
      <c r="L47" s="396" t="n">
        <v>2</v>
      </c>
      <c r="M47" s="589" t="n"/>
      <c r="N47" s="257">
        <f>'[2]1.4 Septic'!$F$16</f>
        <v/>
      </c>
      <c r="O47" s="257" t="n">
        <v>6.369</v>
      </c>
      <c r="P47" s="1731">
        <f>H47*2*L47*N47/O47</f>
        <v/>
      </c>
      <c r="Q47" s="1731" t="n"/>
    </row>
    <row r="48" ht="18" customHeight="1">
      <c r="A48" s="396">
        <f>+A47+1</f>
        <v/>
      </c>
      <c r="B48" s="396" t="n">
        <v>470169</v>
      </c>
      <c r="C48" s="369" t="inlineStr">
        <is>
          <t>นรินทร์ โอภาสพงศ์</t>
        </is>
      </c>
      <c r="D48" s="369" t="inlineStr">
        <is>
          <t>ชาย</t>
        </is>
      </c>
      <c r="E48" s="369" t="inlineStr">
        <is>
          <t>รายเดือน</t>
        </is>
      </c>
      <c r="F48" s="369" t="inlineStr">
        <is>
          <t>ไทย</t>
        </is>
      </c>
      <c r="G48" s="369" t="inlineStr">
        <is>
          <t>207/1 หมู่ 8 หมู่บ้านนัทมน ต.บางละมุง อ.บางละมุง จ.ชลบุรี 20150</t>
        </is>
      </c>
      <c r="H48" s="396" t="n">
        <v>7</v>
      </c>
      <c r="I48" s="369" t="n"/>
      <c r="J48" s="369" t="inlineStr">
        <is>
          <t>รถกระบะบรรทุก</t>
        </is>
      </c>
      <c r="K48" s="228" t="inlineStr">
        <is>
          <t>ดีเซล</t>
        </is>
      </c>
      <c r="L48" s="396" t="n">
        <v>1</v>
      </c>
      <c r="M48" s="589" t="n"/>
      <c r="N48" s="257">
        <f>'[2]1.4 Septic'!$F$16</f>
        <v/>
      </c>
      <c r="O48" s="257" t="n">
        <v>6.369</v>
      </c>
      <c r="P48" s="1731">
        <f>H48*2*L48*N48/O48</f>
        <v/>
      </c>
      <c r="Q48" s="258" t="n"/>
    </row>
    <row r="49" ht="18.6" customHeight="1">
      <c r="A49" s="396">
        <f>+A48+1</f>
        <v/>
      </c>
      <c r="B49" s="396" t="n">
        <v>480202</v>
      </c>
      <c r="C49" s="369" t="inlineStr">
        <is>
          <t>วิมลทิพย์ เครือผือ</t>
        </is>
      </c>
      <c r="D49" s="369" t="inlineStr">
        <is>
          <t>หญิง</t>
        </is>
      </c>
      <c r="E49" s="369" t="inlineStr">
        <is>
          <t>รายเดือน</t>
        </is>
      </c>
      <c r="F49" s="369" t="inlineStr">
        <is>
          <t>ไทย</t>
        </is>
      </c>
      <c r="G49" s="369" t="inlineStr">
        <is>
          <t>799/42 ม.11 ต.หนองขาม อ.ศรีราชา จ.ชลบุรี 20230</t>
        </is>
      </c>
      <c r="H49" s="396" t="n">
        <v>7</v>
      </c>
      <c r="I49" s="369" t="n"/>
      <c r="J49" s="369" t="inlineStr">
        <is>
          <t>รถจักรยานยนต์ 4 จังหวะเครื่องยนต์ขนาดเล็กกว่า 125 cc</t>
        </is>
      </c>
      <c r="K49" s="410" t="inlineStr">
        <is>
          <t>แก๊สโซฮอล์ 91</t>
        </is>
      </c>
      <c r="L49" s="396" t="n">
        <v>1</v>
      </c>
      <c r="M49" s="589" t="n"/>
      <c r="N49" s="257">
        <f>'[2]1.4 Septic'!$F$16</f>
        <v/>
      </c>
      <c r="O49" s="257">
        <f>$G$492</f>
        <v/>
      </c>
      <c r="P49" s="258" t="n"/>
      <c r="Q49" s="1731">
        <f>H49*2*L49*N49/O49</f>
        <v/>
      </c>
    </row>
    <row r="50" ht="18" customHeight="1">
      <c r="A50" s="396">
        <f>+A49+1</f>
        <v/>
      </c>
      <c r="B50" s="396" t="n">
        <v>480204</v>
      </c>
      <c r="C50" s="369" t="inlineStr">
        <is>
          <t>มนัส ศรีบุญเอียด</t>
        </is>
      </c>
      <c r="D50" s="369" t="inlineStr">
        <is>
          <t>ชาย</t>
        </is>
      </c>
      <c r="E50" s="369" t="inlineStr">
        <is>
          <t>รายเดือน</t>
        </is>
      </c>
      <c r="F50" s="369" t="inlineStr">
        <is>
          <t>ไทย</t>
        </is>
      </c>
      <c r="G50" s="369" t="inlineStr">
        <is>
          <t>244/81ม.11 ต.หนองขาม อ.ศรีราชา จ.ชลบุรี 20110</t>
        </is>
      </c>
      <c r="H50" s="396" t="n">
        <v>30</v>
      </c>
      <c r="I50" s="369" t="n"/>
      <c r="J50" s="369" t="inlineStr">
        <is>
          <t>รถกระบะบรรทุก</t>
        </is>
      </c>
      <c r="K50" s="410" t="inlineStr">
        <is>
          <t>ดีเซล</t>
        </is>
      </c>
      <c r="L50" s="396" t="n">
        <v>1</v>
      </c>
      <c r="M50" s="589" t="n"/>
      <c r="N50" s="257">
        <f>'[2]1.4 Septic'!$F$16</f>
        <v/>
      </c>
      <c r="O50" s="257" t="n">
        <v>6.369</v>
      </c>
      <c r="P50" s="1731">
        <f>H50*2*L50*N50/O50</f>
        <v/>
      </c>
      <c r="Q50" s="258" t="n"/>
    </row>
    <row r="51" ht="18" customHeight="1">
      <c r="A51" s="396">
        <f>+A50+1</f>
        <v/>
      </c>
      <c r="B51" s="396" t="n">
        <v>480209</v>
      </c>
      <c r="C51" s="369" t="inlineStr">
        <is>
          <t>อรรณพ ธีรภาพธรรมกุล</t>
        </is>
      </c>
      <c r="D51" s="369" t="inlineStr">
        <is>
          <t>ชาย</t>
        </is>
      </c>
      <c r="E51" s="369" t="inlineStr">
        <is>
          <t>รายเดือน</t>
        </is>
      </c>
      <c r="F51" s="369" t="inlineStr">
        <is>
          <t>ไทย</t>
        </is>
      </c>
      <c r="G51" s="369" t="inlineStr">
        <is>
          <t>53 ซ.เทอดไท 48 ต.ปากคลองภาษีเจริญ อ.ภาษีเจริญ จ.กรุงเทพมหานคร 10160</t>
        </is>
      </c>
      <c r="H51" s="396" t="n">
        <v>13</v>
      </c>
      <c r="I51" s="369" t="n"/>
      <c r="J51" s="369" t="inlineStr">
        <is>
          <t>รถจักรยานยนต์ 2 จังหวะเครื่องยนต์ขนาด 150cc</t>
        </is>
      </c>
      <c r="K51" s="410" t="inlineStr">
        <is>
          <t>แก๊สโซฮอล์ 95</t>
        </is>
      </c>
      <c r="L51" s="396" t="n">
        <v>1</v>
      </c>
      <c r="M51" s="589" t="inlineStr">
        <is>
          <t>สนง.กทม.</t>
        </is>
      </c>
      <c r="N51" s="257">
        <f>'[2]1.4 Septic'!$F$34</f>
        <v/>
      </c>
      <c r="O51" s="1754">
        <f>$G$491</f>
        <v/>
      </c>
      <c r="P51" s="258" t="n"/>
      <c r="Q51" s="1731">
        <f>H51*2*L51*N51/O51</f>
        <v/>
      </c>
    </row>
    <row r="52" ht="18" customHeight="1">
      <c r="A52" s="396">
        <f>+A51+1</f>
        <v/>
      </c>
      <c r="B52" s="396" t="n">
        <v>490210</v>
      </c>
      <c r="C52" s="369" t="inlineStr">
        <is>
          <t>เทียน ศรีฤทธิ์</t>
        </is>
      </c>
      <c r="D52" s="369" t="inlineStr">
        <is>
          <t>ชาย</t>
        </is>
      </c>
      <c r="E52" s="369" t="inlineStr">
        <is>
          <t>รายเดือน</t>
        </is>
      </c>
      <c r="F52" s="369" t="inlineStr">
        <is>
          <t>ไทย</t>
        </is>
      </c>
      <c r="G52" s="369" t="inlineStr">
        <is>
          <t>104 ม. 2 ต.ทุ่งสุขลา อ.ศรีราชา จ.ชลบุรี 20230</t>
        </is>
      </c>
      <c r="H52" s="396" t="n">
        <v>8</v>
      </c>
      <c r="I52" s="369" t="n"/>
      <c r="J52" s="369" t="inlineStr">
        <is>
          <t>รถกระบะบรรทุก</t>
        </is>
      </c>
      <c r="K52" s="410" t="inlineStr">
        <is>
          <t>ดีเซล</t>
        </is>
      </c>
      <c r="L52" s="396" t="n">
        <v>1</v>
      </c>
      <c r="M52" s="589" t="n"/>
      <c r="N52" s="257">
        <f>'[2]1.4 Septic'!$F$16</f>
        <v/>
      </c>
      <c r="O52" s="257" t="n">
        <v>6.369</v>
      </c>
      <c r="P52" s="1731">
        <f>H52*2*L52*N52/O52</f>
        <v/>
      </c>
      <c r="Q52" s="258" t="n"/>
    </row>
    <row r="53" ht="18" customHeight="1">
      <c r="A53" s="396">
        <f>+A52+1</f>
        <v/>
      </c>
      <c r="B53" s="396" t="n">
        <v>490228</v>
      </c>
      <c r="C53" s="369" t="inlineStr">
        <is>
          <t>ณัฐนิต อุดทา</t>
        </is>
      </c>
      <c r="D53" s="369" t="inlineStr">
        <is>
          <t>หญิง</t>
        </is>
      </c>
      <c r="E53" s="369" t="inlineStr">
        <is>
          <t>รายเดือน</t>
        </is>
      </c>
      <c r="F53" s="369" t="inlineStr">
        <is>
          <t>ไทย</t>
        </is>
      </c>
      <c r="G53" s="369" t="inlineStr">
        <is>
          <t>401 ม.1 ต.บางละมุง อ.บางละมุง จ.ชลบุรี 20150</t>
        </is>
      </c>
      <c r="H53" s="396" t="n">
        <v>7</v>
      </c>
      <c r="I53" s="369" t="n"/>
      <c r="J53" s="369" t="inlineStr">
        <is>
          <t>รถกระบะบรรทุก</t>
        </is>
      </c>
      <c r="K53" s="410" t="inlineStr">
        <is>
          <t>ดีเซล</t>
        </is>
      </c>
      <c r="L53" s="396" t="n">
        <v>2</v>
      </c>
      <c r="M53" s="589" t="n"/>
      <c r="N53" s="257">
        <f>'[2]1.4 Septic'!$F$16</f>
        <v/>
      </c>
      <c r="O53" s="257" t="n">
        <v>6.369</v>
      </c>
      <c r="P53" s="1731">
        <f>H53*2*L53*N53/O53</f>
        <v/>
      </c>
      <c r="Q53" s="258" t="n"/>
    </row>
    <row r="54" ht="18" customHeight="1">
      <c r="A54" s="396">
        <f>+A53+1</f>
        <v/>
      </c>
      <c r="B54" s="396" t="n">
        <v>490243</v>
      </c>
      <c r="C54" s="369" t="inlineStr">
        <is>
          <t>นิเวช โพธิ์บุญ</t>
        </is>
      </c>
      <c r="D54" s="369" t="inlineStr">
        <is>
          <t>ชาย</t>
        </is>
      </c>
      <c r="E54" s="369" t="inlineStr">
        <is>
          <t>รายเดือน</t>
        </is>
      </c>
      <c r="F54" s="369" t="inlineStr">
        <is>
          <t>ไทย</t>
        </is>
      </c>
      <c r="G54" s="369" t="inlineStr">
        <is>
          <t>195/8 ม.8 ต.ทุ่งสุขลา อ.ศรีราชา จ.ชลบุรี 20230</t>
        </is>
      </c>
      <c r="H54" s="396" t="n">
        <v>4</v>
      </c>
      <c r="I54" s="369" t="n"/>
      <c r="J54" s="369" t="inlineStr">
        <is>
          <t>รถจักรยานยนต์ 2 จังหวะเครื่องยนต์ขนาด 150cc</t>
        </is>
      </c>
      <c r="K54" s="410" t="inlineStr">
        <is>
          <t>แก๊สโซฮอล์ 91</t>
        </is>
      </c>
      <c r="L54" s="396" t="n">
        <v>1</v>
      </c>
      <c r="M54" s="589" t="n"/>
      <c r="N54" s="257">
        <f>'[2]1.4 Septic'!$F$16</f>
        <v/>
      </c>
      <c r="O54" s="1754">
        <f>$G$491</f>
        <v/>
      </c>
      <c r="P54" s="258" t="n"/>
      <c r="Q54" s="1731">
        <f>H54*2*L54*N54/O54</f>
        <v/>
      </c>
    </row>
    <row r="55" ht="18" customHeight="1">
      <c r="A55" s="396">
        <f>+A54+1</f>
        <v/>
      </c>
      <c r="B55" s="396" t="n">
        <v>490245</v>
      </c>
      <c r="C55" s="369" t="inlineStr">
        <is>
          <t>เกษร มินจันทึก</t>
        </is>
      </c>
      <c r="D55" s="369" t="inlineStr">
        <is>
          <t>หญิง</t>
        </is>
      </c>
      <c r="E55" s="369" t="inlineStr">
        <is>
          <t>รายเดือน</t>
        </is>
      </c>
      <c r="F55" s="369" t="inlineStr">
        <is>
          <t>ไทย</t>
        </is>
      </c>
      <c r="G55" s="369" t="inlineStr">
        <is>
          <t>101/251 ม.10 ต.บึง อ.ศรีราชา จ.ชลบุรี 20230</t>
        </is>
      </c>
      <c r="H55" s="396" t="n">
        <v>3</v>
      </c>
      <c r="I55" s="369" t="n"/>
      <c r="J55" s="369" t="inlineStr">
        <is>
          <t>รถจักรยานยนต์ 4 จังหวะเครื่องยนต์ขนาดเล็กกว่า 125 cc</t>
        </is>
      </c>
      <c r="K55" s="410" t="inlineStr">
        <is>
          <t>แก๊สโซฮอล์ 91</t>
        </is>
      </c>
      <c r="L55" s="396" t="n">
        <v>1</v>
      </c>
      <c r="M55" s="589" t="n"/>
      <c r="N55" s="257">
        <f>'[2]1.4 Septic'!$F$16</f>
        <v/>
      </c>
      <c r="O55" s="257">
        <f>$G$492</f>
        <v/>
      </c>
      <c r="P55" s="258" t="n"/>
      <c r="Q55" s="1731">
        <f>H55*2*L55*N55/O55</f>
        <v/>
      </c>
    </row>
    <row r="56" ht="18" customHeight="1">
      <c r="A56" s="396">
        <f>+A55+1</f>
        <v/>
      </c>
      <c r="B56" s="396" t="n">
        <v>490247</v>
      </c>
      <c r="C56" s="369" t="inlineStr">
        <is>
          <t>ประวิทย์ ทาสะโก</t>
        </is>
      </c>
      <c r="D56" s="369" t="inlineStr">
        <is>
          <t>ชาย</t>
        </is>
      </c>
      <c r="E56" s="369" t="inlineStr">
        <is>
          <t>รายเดือน</t>
        </is>
      </c>
      <c r="F56" s="369" t="inlineStr">
        <is>
          <t>ไทย</t>
        </is>
      </c>
      <c r="G56" s="369" t="inlineStr">
        <is>
          <t>194/121 ม.8 ต.ทุ่งสุขลา อ.ศรีราชา จ.ชลบุรี 20230</t>
        </is>
      </c>
      <c r="H56" s="396" t="n">
        <v>5</v>
      </c>
      <c r="I56" s="369" t="n"/>
      <c r="J56" s="369" t="inlineStr">
        <is>
          <t>รถยนต์เฉลี่ยทุกขนาด</t>
        </is>
      </c>
      <c r="K56" s="410" t="inlineStr">
        <is>
          <t>แก๊สโซฮอล์ E20</t>
        </is>
      </c>
      <c r="L56" s="396" t="n">
        <v>1</v>
      </c>
      <c r="M56" s="589" t="n"/>
      <c r="N56" s="257">
        <f>'[2]1.4 Septic'!$F$16</f>
        <v/>
      </c>
      <c r="O56" s="257">
        <f>$G$487</f>
        <v/>
      </c>
      <c r="P56" s="258" t="n"/>
      <c r="Q56" s="1731">
        <f>H56*2*L56*N56/O56</f>
        <v/>
      </c>
    </row>
    <row r="57" ht="18" customHeight="1">
      <c r="A57" s="396">
        <f>+A56+1</f>
        <v/>
      </c>
      <c r="B57" s="396" t="n">
        <v>490248</v>
      </c>
      <c r="C57" s="369" t="inlineStr">
        <is>
          <t>ชัยยัน นามจันทร์</t>
        </is>
      </c>
      <c r="D57" s="369" t="inlineStr">
        <is>
          <t>ชาย</t>
        </is>
      </c>
      <c r="E57" s="369" t="inlineStr">
        <is>
          <t>รายเดือน</t>
        </is>
      </c>
      <c r="F57" s="369" t="inlineStr">
        <is>
          <t>ไทย</t>
        </is>
      </c>
      <c r="G57" s="369" t="inlineStr">
        <is>
          <t>53/19 ม.10 ต.บึง อ.ศรีราชา  จ.ชลบุรี 20230</t>
        </is>
      </c>
      <c r="H57" s="396" t="n">
        <v>18</v>
      </c>
      <c r="I57" s="369" t="n"/>
      <c r="J57" s="369" t="inlineStr">
        <is>
          <t>รถจักรยานยนต์ 4 จังหวะเครื่องยนต์ขนาดเล็กกว่า 125 cc</t>
        </is>
      </c>
      <c r="K57" s="410" t="inlineStr">
        <is>
          <t>แก๊สโซฮอล์ 91</t>
        </is>
      </c>
      <c r="L57" s="396" t="n">
        <v>1</v>
      </c>
      <c r="M57" s="589" t="n"/>
      <c r="N57" s="257">
        <f>'[2]1.4 Septic'!$F$16</f>
        <v/>
      </c>
      <c r="O57" s="257">
        <f>$G$492</f>
        <v/>
      </c>
      <c r="P57" s="258" t="n"/>
      <c r="Q57" s="1731">
        <f>H57*2*L57*N57/O57</f>
        <v/>
      </c>
    </row>
    <row r="58" ht="18" customHeight="1">
      <c r="A58" s="396">
        <f>+A57+1</f>
        <v/>
      </c>
      <c r="B58" s="396" t="n">
        <v>490251</v>
      </c>
      <c r="C58" s="369" t="inlineStr">
        <is>
          <t>อัญชนา สหัสทัศน์</t>
        </is>
      </c>
      <c r="D58" s="369" t="inlineStr">
        <is>
          <t>หญิง</t>
        </is>
      </c>
      <c r="E58" s="369" t="inlineStr">
        <is>
          <t>รายเดือน</t>
        </is>
      </c>
      <c r="F58" s="369" t="inlineStr">
        <is>
          <t>ไทย</t>
        </is>
      </c>
      <c r="G58" s="367" t="inlineStr">
        <is>
          <t>สี่มุมเมืองแหลมฉบัง ต.ทุ่งสุขลา อ.ศรีราชา จ.ชลบุรี 20230</t>
        </is>
      </c>
      <c r="H58" s="396" t="n">
        <v>3</v>
      </c>
      <c r="I58" s="369" t="n"/>
      <c r="J58" s="369" t="inlineStr">
        <is>
          <t>รถจักรยานยนต์ 4 จังหวะเครื่องยนต์ขนาดเล็กกว่า 125 cc</t>
        </is>
      </c>
      <c r="K58" s="410" t="inlineStr">
        <is>
          <t>แก๊สโซฮอล์ 91</t>
        </is>
      </c>
      <c r="L58" s="396" t="n">
        <v>1</v>
      </c>
      <c r="M58" s="589" t="n"/>
      <c r="N58" s="257">
        <f>'[2]1.4 Septic'!$F$16</f>
        <v/>
      </c>
      <c r="O58" s="257">
        <f>$G$492</f>
        <v/>
      </c>
      <c r="P58" s="258" t="n"/>
      <c r="Q58" s="1731">
        <f>H58*2*L58*N58/O58</f>
        <v/>
      </c>
    </row>
    <row r="59" ht="18" customHeight="1">
      <c r="A59" s="396">
        <f>+A58+1</f>
        <v/>
      </c>
      <c r="B59" s="396" t="n">
        <v>500257</v>
      </c>
      <c r="C59" s="369" t="inlineStr">
        <is>
          <t>วิรัช หัศกรรจ์</t>
        </is>
      </c>
      <c r="D59" s="369" t="inlineStr">
        <is>
          <t>ชาย</t>
        </is>
      </c>
      <c r="E59" s="369" t="inlineStr">
        <is>
          <t>รายเดือน</t>
        </is>
      </c>
      <c r="F59" s="369" t="inlineStr">
        <is>
          <t>ไทย</t>
        </is>
      </c>
      <c r="G59" s="588" t="inlineStr">
        <is>
          <t>101/158 ม.10 ต.บึง อ.ศรีราชา จ.ชลบุรี 20230</t>
        </is>
      </c>
      <c r="H59" s="396" t="n">
        <v>8</v>
      </c>
      <c r="I59" s="369" t="n"/>
      <c r="J59" s="369" t="inlineStr">
        <is>
          <t>รถกระบะบรรทุก</t>
        </is>
      </c>
      <c r="K59" s="410" t="inlineStr">
        <is>
          <t>ดีเซล</t>
        </is>
      </c>
      <c r="L59" s="396" t="n">
        <v>1</v>
      </c>
      <c r="M59" s="589" t="n"/>
      <c r="N59" s="257">
        <f>'[2]1.4 Septic'!$F$16</f>
        <v/>
      </c>
      <c r="O59" s="257" t="n">
        <v>6.369</v>
      </c>
      <c r="P59" s="1731">
        <f>H59*2*L59*N59/O59</f>
        <v/>
      </c>
      <c r="Q59" s="258" t="n"/>
    </row>
    <row r="60" ht="18" customHeight="1">
      <c r="A60" s="396">
        <f>+A59+1</f>
        <v/>
      </c>
      <c r="B60" s="396" t="n">
        <v>500278</v>
      </c>
      <c r="C60" s="369" t="inlineStr">
        <is>
          <t>พรพรรณ สีทำมา</t>
        </is>
      </c>
      <c r="D60" s="369" t="inlineStr">
        <is>
          <t>หญิง</t>
        </is>
      </c>
      <c r="E60" s="369" t="inlineStr">
        <is>
          <t>รายเดือน</t>
        </is>
      </c>
      <c r="F60" s="369" t="inlineStr">
        <is>
          <t>ไทย</t>
        </is>
      </c>
      <c r="G60" s="369" t="inlineStr">
        <is>
          <t>18/4-14 ม.6 ต.บางละมุง อ.บางละมุง จ.ชลบุรี 20150</t>
        </is>
      </c>
      <c r="H60" s="396" t="n">
        <v>5</v>
      </c>
      <c r="I60" s="369" t="n"/>
      <c r="J60" s="369" t="inlineStr">
        <is>
          <t>รถจักรยานยนต์ 4 จังหวะเครื่องยนต์ขนาดเล็กกว่า 125 cc</t>
        </is>
      </c>
      <c r="K60" s="410" t="inlineStr">
        <is>
          <t>แก๊สโซฮอล์ 95</t>
        </is>
      </c>
      <c r="L60" s="396" t="n">
        <v>1</v>
      </c>
      <c r="M60" s="589" t="n"/>
      <c r="N60" s="257">
        <f>'[2]1.4 Septic'!$F$16</f>
        <v/>
      </c>
      <c r="O60" s="257">
        <f>$G$492</f>
        <v/>
      </c>
      <c r="P60" s="258" t="n"/>
      <c r="Q60" s="1731">
        <f>H60*2*L60*N60/O60</f>
        <v/>
      </c>
    </row>
    <row r="61" ht="18" customHeight="1">
      <c r="A61" s="396">
        <f>+A60+1</f>
        <v/>
      </c>
      <c r="B61" s="396" t="n">
        <v>500283</v>
      </c>
      <c r="C61" s="369" t="inlineStr">
        <is>
          <t>ณัฐธิดา คำสมหมาย</t>
        </is>
      </c>
      <c r="D61" s="369" t="inlineStr">
        <is>
          <t>หญิง</t>
        </is>
      </c>
      <c r="E61" s="369" t="inlineStr">
        <is>
          <t>รายเดือน</t>
        </is>
      </c>
      <c r="F61" s="369" t="inlineStr">
        <is>
          <t>ไทย</t>
        </is>
      </c>
      <c r="G61" s="369" t="inlineStr">
        <is>
          <t>142/140 ม.7 ต.สุรศักดิ์ อ.ศรีราชา จ.ชลบุรี 20110</t>
        </is>
      </c>
      <c r="H61" s="396" t="n">
        <v>27</v>
      </c>
      <c r="I61" s="369" t="n"/>
      <c r="J61" s="369" t="inlineStr">
        <is>
          <t>รถยนต์ขนาดกลาง (1800 cc)</t>
        </is>
      </c>
      <c r="K61" s="410" t="inlineStr">
        <is>
          <t>เบนซิน</t>
        </is>
      </c>
      <c r="L61" s="396" t="n">
        <v>1</v>
      </c>
      <c r="M61" s="589" t="n"/>
      <c r="N61" s="257">
        <f>'[2]1.4 Septic'!$F$16</f>
        <v/>
      </c>
      <c r="O61" s="257">
        <f>$G$496</f>
        <v/>
      </c>
      <c r="P61" s="258" t="n"/>
      <c r="Q61" s="1731">
        <f>H61*2*L61*N61/O61</f>
        <v/>
      </c>
    </row>
    <row r="62" ht="18" customHeight="1">
      <c r="A62" s="396">
        <f>+A61+1</f>
        <v/>
      </c>
      <c r="B62" s="396" t="n">
        <v>500290</v>
      </c>
      <c r="C62" s="369" t="inlineStr">
        <is>
          <t>ทิพยโชค กุมรัมย์</t>
        </is>
      </c>
      <c r="D62" s="369" t="inlineStr">
        <is>
          <t>ชาย</t>
        </is>
      </c>
      <c r="E62" s="369" t="inlineStr">
        <is>
          <t>รายเดือน</t>
        </is>
      </c>
      <c r="F62" s="369" t="inlineStr">
        <is>
          <t>ไทย</t>
        </is>
      </c>
      <c r="G62" s="369" t="inlineStr">
        <is>
          <t>219/104 ม.6 ต.บางละมุง อ.บางละมุง จ.ชลบุรี 20150</t>
        </is>
      </c>
      <c r="H62" s="396" t="n">
        <v>7</v>
      </c>
      <c r="I62" s="369" t="n"/>
      <c r="J62" s="369" t="inlineStr">
        <is>
          <t>รถจักรยานยนต์ 4 จังหวะเครื่องยนต์ขนาดเล็กกว่า 125 cc</t>
        </is>
      </c>
      <c r="K62" s="410" t="inlineStr">
        <is>
          <t>แก๊สโซฮอล์ 95</t>
        </is>
      </c>
      <c r="L62" s="396" t="n">
        <v>2</v>
      </c>
      <c r="M62" s="589" t="n"/>
      <c r="N62" s="257">
        <f>'[2]1.4 Septic'!$F$16</f>
        <v/>
      </c>
      <c r="O62" s="257">
        <f>$G$492</f>
        <v/>
      </c>
      <c r="P62" s="258" t="n"/>
      <c r="Q62" s="1731">
        <f>H62*2*L62*N62/O62</f>
        <v/>
      </c>
    </row>
    <row r="63" ht="18" customHeight="1">
      <c r="A63" s="396">
        <f>+A62+1</f>
        <v/>
      </c>
      <c r="B63" s="396" t="n">
        <v>500300</v>
      </c>
      <c r="C63" s="369" t="inlineStr">
        <is>
          <t>อัญชสา กำจายกิตติกุล</t>
        </is>
      </c>
      <c r="D63" s="369" t="inlineStr">
        <is>
          <t>หญิง</t>
        </is>
      </c>
      <c r="E63" s="369" t="inlineStr">
        <is>
          <t>รายเดือน</t>
        </is>
      </c>
      <c r="F63" s="369" t="inlineStr">
        <is>
          <t>ไทย</t>
        </is>
      </c>
      <c r="G63" s="369" t="inlineStr">
        <is>
          <t>316/26 ม.6 ต.ทุ่งสุขลา อ.ศรีราชา จ.ชลบุรี 20230</t>
        </is>
      </c>
      <c r="H63" s="396" t="n">
        <v>50</v>
      </c>
      <c r="I63" s="369" t="n"/>
      <c r="J63" s="369" t="inlineStr">
        <is>
          <t>รถยนต์ขนาดใหญ่ (2000 cc)</t>
        </is>
      </c>
      <c r="K63" s="410" t="inlineStr">
        <is>
          <t>แก๊สโซฮอล์ 91</t>
        </is>
      </c>
      <c r="L63" s="396" t="n">
        <v>1</v>
      </c>
      <c r="M63" s="589" t="n"/>
      <c r="N63" s="257">
        <f>'[2]1.4 Septic'!$F$16</f>
        <v/>
      </c>
      <c r="O63" s="257">
        <f>$G$495</f>
        <v/>
      </c>
      <c r="P63" s="258" t="n"/>
      <c r="Q63" s="1731">
        <f>H63*2*L63*N63/O63</f>
        <v/>
      </c>
    </row>
    <row r="64" ht="18" customHeight="1">
      <c r="A64" s="396">
        <f>+A63+1</f>
        <v/>
      </c>
      <c r="B64" s="396" t="n">
        <v>510315</v>
      </c>
      <c r="C64" s="369" t="inlineStr">
        <is>
          <t>บัวผัน ภูชื่นแสง</t>
        </is>
      </c>
      <c r="D64" s="369" t="inlineStr">
        <is>
          <t>ชาย</t>
        </is>
      </c>
      <c r="E64" s="369" t="inlineStr">
        <is>
          <t>รายเดือน</t>
        </is>
      </c>
      <c r="F64" s="369" t="inlineStr">
        <is>
          <t>ไทย</t>
        </is>
      </c>
      <c r="G64" s="369" t="inlineStr">
        <is>
          <t>23/11 ม.5 ต.ทุ่งสุขลา อ.ศรีราชา จ.ชลบุรี 20230</t>
        </is>
      </c>
      <c r="H64" s="396" t="n">
        <v>10</v>
      </c>
      <c r="I64" s="369" t="n"/>
      <c r="J64" s="369" t="inlineStr">
        <is>
          <t>รถยนต์เฉลี่ยทุกขนาด</t>
        </is>
      </c>
      <c r="K64" s="410" t="inlineStr">
        <is>
          <t>เบนซิน</t>
        </is>
      </c>
      <c r="L64" s="396" t="n">
        <v>1</v>
      </c>
      <c r="M64" s="589" t="n"/>
      <c r="N64" s="257">
        <f>'[2]1.4 Septic'!$F$16</f>
        <v/>
      </c>
      <c r="O64" s="257">
        <f>$G$487</f>
        <v/>
      </c>
      <c r="P64" s="258" t="n"/>
      <c r="Q64" s="1731">
        <f>H64*2*L64*N64/O64</f>
        <v/>
      </c>
    </row>
    <row r="65" ht="18" customHeight="1">
      <c r="A65" s="396">
        <f>+A64+1</f>
        <v/>
      </c>
      <c r="B65" s="396" t="n">
        <v>510320</v>
      </c>
      <c r="C65" s="369" t="inlineStr">
        <is>
          <t>ประเดิม นกออก</t>
        </is>
      </c>
      <c r="D65" s="369" t="inlineStr">
        <is>
          <t>ชาย</t>
        </is>
      </c>
      <c r="E65" s="369" t="inlineStr">
        <is>
          <t>รายเดือน</t>
        </is>
      </c>
      <c r="F65" s="369" t="inlineStr">
        <is>
          <t>ไทย</t>
        </is>
      </c>
      <c r="G65" s="367" t="inlineStr">
        <is>
          <t>ประดิษฐ์ไพศาล 5 ซอย 2 101/96 ต.บึง อ.ศรีราชา จ.ชลบุรี 20230</t>
        </is>
      </c>
      <c r="H65" s="396" t="n">
        <v>10</v>
      </c>
      <c r="I65" s="369" t="n"/>
      <c r="J65" s="369" t="inlineStr">
        <is>
          <t>รถจักรยานยนต์ 4 จังหวะเครื่องยนต์ขนาดเล็กกว่า 125 cc</t>
        </is>
      </c>
      <c r="K65" s="410" t="inlineStr">
        <is>
          <t>แก๊สโซฮอล์ 91</t>
        </is>
      </c>
      <c r="L65" s="396" t="n">
        <v>1</v>
      </c>
      <c r="M65" s="589" t="n"/>
      <c r="N65" s="257">
        <f>'[2]1.4 Septic'!$F$16</f>
        <v/>
      </c>
      <c r="O65" s="257">
        <f>$G$492</f>
        <v/>
      </c>
      <c r="P65" s="258" t="n"/>
      <c r="Q65" s="1731">
        <f>H65*2*L65*N65/O65</f>
        <v/>
      </c>
    </row>
    <row r="66" ht="18" customHeight="1">
      <c r="A66" s="396">
        <f>+A65+1</f>
        <v/>
      </c>
      <c r="B66" s="396" t="n">
        <v>510321</v>
      </c>
      <c r="C66" s="369" t="inlineStr">
        <is>
          <t>นภัส จำนงค์</t>
        </is>
      </c>
      <c r="D66" s="369" t="inlineStr">
        <is>
          <t>หญิง</t>
        </is>
      </c>
      <c r="E66" s="369" t="inlineStr">
        <is>
          <t>รายเดือน</t>
        </is>
      </c>
      <c r="F66" s="369" t="inlineStr">
        <is>
          <t>ไทย</t>
        </is>
      </c>
      <c r="G66" s="367" t="inlineStr">
        <is>
          <t>ประดิษฐ์ไพศาล 5 ซอย 2 101/96 ต.บึง อ.ศรีราชา จ.ชลบุรี 20230</t>
        </is>
      </c>
      <c r="H66" s="396" t="n">
        <v>10</v>
      </c>
      <c r="I66" s="369" t="n"/>
      <c r="J66" s="369" t="inlineStr">
        <is>
          <t>รถกระบะบรรทุก</t>
        </is>
      </c>
      <c r="K66" s="410" t="inlineStr">
        <is>
          <t>ดีเซล</t>
        </is>
      </c>
      <c r="L66" s="396" t="n">
        <v>1</v>
      </c>
      <c r="M66" s="589" t="n"/>
      <c r="N66" s="257">
        <f>'[2]1.4 Septic'!$F$16</f>
        <v/>
      </c>
      <c r="O66" s="257" t="n">
        <v>6.369</v>
      </c>
      <c r="P66" s="1731">
        <f>H66*2*L66*N66/O66</f>
        <v/>
      </c>
      <c r="Q66" s="258" t="n"/>
    </row>
    <row r="67" ht="18" customHeight="1">
      <c r="A67" s="396">
        <f>+A66+1</f>
        <v/>
      </c>
      <c r="B67" s="396" t="n">
        <v>510323</v>
      </c>
      <c r="C67" s="369" t="inlineStr">
        <is>
          <t>กานติ์ แก้วทุ่ง</t>
        </is>
      </c>
      <c r="D67" s="369" t="inlineStr">
        <is>
          <t>ชาย</t>
        </is>
      </c>
      <c r="E67" s="369" t="inlineStr">
        <is>
          <t>รายเดือน</t>
        </is>
      </c>
      <c r="F67" s="369" t="inlineStr">
        <is>
          <t>ไทย</t>
        </is>
      </c>
      <c r="G67" s="593" t="inlineStr">
        <is>
          <t>66/12 ม.8  ต.บางละมุง อ.บางละมุง  จ.ชลบุรี  20150</t>
        </is>
      </c>
      <c r="H67" s="396" t="n">
        <v>6</v>
      </c>
      <c r="I67" s="369" t="n"/>
      <c r="J67" s="369" t="inlineStr">
        <is>
          <t>รถจักรยานยนต์ 4 จังหวะเครื่องยนต์ขนาดเล็กกว่า 125 cc</t>
        </is>
      </c>
      <c r="K67" s="410" t="inlineStr">
        <is>
          <t>แก๊สโซฮอล์ 91</t>
        </is>
      </c>
      <c r="L67" s="396" t="n">
        <v>2</v>
      </c>
      <c r="M67" s="589" t="n"/>
      <c r="N67" s="257">
        <f>'[2]1.4 Septic'!$F$16</f>
        <v/>
      </c>
      <c r="O67" s="257">
        <f>$G$492</f>
        <v/>
      </c>
      <c r="P67" s="258" t="n"/>
      <c r="Q67" s="1731">
        <f>H67*2*L67*N67/O67</f>
        <v/>
      </c>
    </row>
    <row r="68" ht="18" customHeight="1">
      <c r="A68" s="396">
        <f>+A67+1</f>
        <v/>
      </c>
      <c r="B68" s="396" t="n">
        <v>510328</v>
      </c>
      <c r="C68" s="369" t="inlineStr">
        <is>
          <t>เทอดเกียรติ ศรีวะรมย์</t>
        </is>
      </c>
      <c r="D68" s="369" t="inlineStr">
        <is>
          <t>ชาย</t>
        </is>
      </c>
      <c r="E68" s="369" t="inlineStr">
        <is>
          <t>รายเดือน</t>
        </is>
      </c>
      <c r="F68" s="369" t="inlineStr">
        <is>
          <t>ไทย</t>
        </is>
      </c>
      <c r="G68" s="593" t="inlineStr">
        <is>
          <t>41/37 ม.8 ต.บางละมุง อ.บางละมุง จ.ชลบุรี20150</t>
        </is>
      </c>
      <c r="H68" s="396" t="n">
        <v>10</v>
      </c>
      <c r="I68" s="369" t="n"/>
      <c r="J68" s="369" t="inlineStr">
        <is>
          <t>รถกระบะบรรทุก</t>
        </is>
      </c>
      <c r="K68" s="410" t="inlineStr">
        <is>
          <t>ดีเซล</t>
        </is>
      </c>
      <c r="L68" s="396" t="n">
        <v>2</v>
      </c>
      <c r="M68" s="589" t="n"/>
      <c r="N68" s="257">
        <f>'[2]1.4 Septic'!$F$16</f>
        <v/>
      </c>
      <c r="O68" s="257" t="n">
        <v>6.369</v>
      </c>
      <c r="P68" s="1731">
        <f>H68*2*L68*N68/O68</f>
        <v/>
      </c>
      <c r="Q68" s="258" t="n"/>
    </row>
    <row r="69" ht="18" customHeight="1">
      <c r="A69" s="396">
        <f>+A68+1</f>
        <v/>
      </c>
      <c r="B69" s="396" t="n">
        <v>510357</v>
      </c>
      <c r="C69" s="369" t="inlineStr">
        <is>
          <t>ศุภชัย พัฒเสมา</t>
        </is>
      </c>
      <c r="D69" s="369" t="inlineStr">
        <is>
          <t>ชาย</t>
        </is>
      </c>
      <c r="E69" s="369" t="inlineStr">
        <is>
          <t>รายเดือน</t>
        </is>
      </c>
      <c r="F69" s="369" t="inlineStr">
        <is>
          <t>ไทย</t>
        </is>
      </c>
      <c r="G69" s="369" t="inlineStr">
        <is>
          <t>149/13 ม.2 ต.ทุ่งสุขลา อ.ศรีราชา จ.ชลบุรี 20230</t>
        </is>
      </c>
      <c r="H69" s="396" t="n">
        <v>4</v>
      </c>
      <c r="I69" s="369" t="n"/>
      <c r="J69" s="369" t="inlineStr">
        <is>
          <t>รถจักรยานยนต์ 4 จังหวะเครื่องยนต์ขนาดเล็กกว่า 125 cc</t>
        </is>
      </c>
      <c r="K69" s="410" t="inlineStr">
        <is>
          <t>แก๊สโซฮอล์ 91</t>
        </is>
      </c>
      <c r="L69" s="396" t="n">
        <v>1</v>
      </c>
      <c r="M69" s="589" t="n"/>
      <c r="N69" s="257">
        <f>'[2]1.4 Septic'!$F$16</f>
        <v/>
      </c>
      <c r="O69" s="257">
        <f>$G$492</f>
        <v/>
      </c>
      <c r="P69" s="258" t="n"/>
      <c r="Q69" s="1731">
        <f>H69*2*L69*N69/O69</f>
        <v/>
      </c>
    </row>
    <row r="70" ht="18" customHeight="1">
      <c r="A70" s="396">
        <f>+A69+1</f>
        <v/>
      </c>
      <c r="B70" s="396" t="n">
        <v>510364</v>
      </c>
      <c r="C70" s="369" t="inlineStr">
        <is>
          <t>ชฎาพร แสนจิตร์</t>
        </is>
      </c>
      <c r="D70" s="369" t="n"/>
      <c r="E70" s="369" t="inlineStr">
        <is>
          <t>รายเดือน</t>
        </is>
      </c>
      <c r="F70" s="369" t="n"/>
      <c r="G70" s="588" t="inlineStr">
        <is>
          <t>508 ม.4 ถ.สุขสวัสดิ์ ราษฎร์บูรณะ กรุงเทพฯ 10140</t>
        </is>
      </c>
      <c r="H70" s="396" t="n">
        <v>40</v>
      </c>
      <c r="I70" s="369" t="n"/>
      <c r="J70" s="369" t="inlineStr">
        <is>
          <t>รถยนต์ขนาดเล็ก (1500 cc)</t>
        </is>
      </c>
      <c r="K70" s="410" t="inlineStr">
        <is>
          <t>แก๊สโซฮอล์ 95</t>
        </is>
      </c>
      <c r="L70" s="396" t="n">
        <v>1</v>
      </c>
      <c r="M70" s="589" t="inlineStr">
        <is>
          <t>สนง.กทม.</t>
        </is>
      </c>
      <c r="N70" s="257">
        <f>'[2]1.4 Septic'!$F$34</f>
        <v/>
      </c>
      <c r="O70" s="257">
        <f>$G$498</f>
        <v/>
      </c>
      <c r="P70" s="258" t="n"/>
      <c r="Q70" s="1731">
        <f>H70*2*L70*N70/O70</f>
        <v/>
      </c>
    </row>
    <row r="71" ht="18" customHeight="1">
      <c r="A71" s="396">
        <f>+A70+1</f>
        <v/>
      </c>
      <c r="B71" s="396" t="n">
        <v>520378</v>
      </c>
      <c r="C71" s="369" t="inlineStr">
        <is>
          <t>สมนึก สุขนวน</t>
        </is>
      </c>
      <c r="D71" s="369" t="inlineStr">
        <is>
          <t>หญิง</t>
        </is>
      </c>
      <c r="E71" s="369" t="inlineStr">
        <is>
          <t>รายเดือน</t>
        </is>
      </c>
      <c r="F71" s="369" t="inlineStr">
        <is>
          <t>ไทย</t>
        </is>
      </c>
      <c r="G71" s="369" t="inlineStr">
        <is>
          <t>292/92 ม.10 ต.ทุ่งสุขลา อ.ศรีราชา จ.ชลบุรี 20230</t>
        </is>
      </c>
      <c r="H71" s="396" t="n">
        <v>8</v>
      </c>
      <c r="I71" s="369" t="n"/>
      <c r="J71" s="369" t="inlineStr">
        <is>
          <t>รถจักรยานยนต์ 2 จังหวะเฉลี่ยทุกขนาด</t>
        </is>
      </c>
      <c r="K71" s="410" t="inlineStr">
        <is>
          <t>แก๊สโซฮอล์ 91</t>
        </is>
      </c>
      <c r="L71" s="396" t="n">
        <v>1</v>
      </c>
      <c r="M71" s="589" t="n"/>
      <c r="N71" s="257">
        <f>'[2]1.4 Septic'!$F$16</f>
        <v/>
      </c>
      <c r="O71" s="1754">
        <f>$G$491</f>
        <v/>
      </c>
      <c r="P71" s="258" t="n"/>
      <c r="Q71" s="1731">
        <f>H71*2*L71*N71/O71</f>
        <v/>
      </c>
    </row>
    <row r="72" ht="18" customHeight="1">
      <c r="A72" s="396">
        <f>+A71+1</f>
        <v/>
      </c>
      <c r="B72" s="396" t="n">
        <v>520379</v>
      </c>
      <c r="C72" s="369" t="inlineStr">
        <is>
          <t>บุญเรือน ดวงศรี</t>
        </is>
      </c>
      <c r="D72" s="369" t="inlineStr">
        <is>
          <t>หญิง</t>
        </is>
      </c>
      <c r="E72" s="369" t="inlineStr">
        <is>
          <t>รายเดือน</t>
        </is>
      </c>
      <c r="F72" s="369" t="inlineStr">
        <is>
          <t>ไทย</t>
        </is>
      </c>
      <c r="G72" s="593" t="inlineStr">
        <is>
          <t>การเคหะแหลมฉบัง ตึก 20  ม.6. ต บางละมุง อ บางละมุง จ ชลบุรี 20150</t>
        </is>
      </c>
      <c r="H72" s="396" t="n">
        <v>6</v>
      </c>
      <c r="I72" s="369" t="n"/>
      <c r="J72" s="369" t="inlineStr">
        <is>
          <t>รถกระบะบรรทุก</t>
        </is>
      </c>
      <c r="K72" s="410" t="inlineStr">
        <is>
          <t>ดีเซล</t>
        </is>
      </c>
      <c r="L72" s="396" t="n">
        <v>1</v>
      </c>
      <c r="M72" s="589" t="n"/>
      <c r="N72" s="257">
        <f>'[2]1.4 Septic'!$F$16</f>
        <v/>
      </c>
      <c r="O72" s="257" t="n">
        <v>6.369</v>
      </c>
      <c r="P72" s="1731">
        <f>H72*2*L72*N72/O72</f>
        <v/>
      </c>
      <c r="Q72" s="258" t="n"/>
    </row>
    <row r="73" ht="18" customHeight="1">
      <c r="A73" s="396">
        <f>+A72+1</f>
        <v/>
      </c>
      <c r="B73" s="396" t="n">
        <v>520382</v>
      </c>
      <c r="C73" s="369" t="inlineStr">
        <is>
          <t>จันทิมา เจนอาวุธ</t>
        </is>
      </c>
      <c r="D73" s="369" t="inlineStr">
        <is>
          <t>หญิง</t>
        </is>
      </c>
      <c r="E73" s="369" t="inlineStr">
        <is>
          <t>รายเดือน</t>
        </is>
      </c>
      <c r="F73" s="369" t="inlineStr">
        <is>
          <t>ไทย</t>
        </is>
      </c>
      <c r="G73" s="369" t="inlineStr">
        <is>
          <t xml:space="preserve"> เคหะแหลมฉบัง ตึก 20 ม.6 ต.บางละมุง อ.บางละมุง จ.ชลบุรี 20150</t>
        </is>
      </c>
      <c r="H73" s="396" t="n">
        <v>6</v>
      </c>
      <c r="I73" s="369" t="n"/>
      <c r="J73" s="369" t="inlineStr">
        <is>
          <t>รถจักรยานยนต์ 2 จังหวะเฉลี่ยทุกขนาด</t>
        </is>
      </c>
      <c r="K73" s="410" t="inlineStr">
        <is>
          <t>แก๊สโซฮอล์ 91</t>
        </is>
      </c>
      <c r="L73" s="396" t="n">
        <v>1</v>
      </c>
      <c r="M73" s="589" t="n"/>
      <c r="N73" s="257">
        <f>'[2]1.4 Septic'!$F$16</f>
        <v/>
      </c>
      <c r="O73" s="1754">
        <f>$G$491</f>
        <v/>
      </c>
      <c r="P73" s="258" t="n"/>
      <c r="Q73" s="1731">
        <f>H73*2*L73*N73/O73</f>
        <v/>
      </c>
    </row>
    <row r="74" ht="18" customHeight="1">
      <c r="A74" s="396">
        <f>+A73+1</f>
        <v/>
      </c>
      <c r="B74" s="396" t="n">
        <v>520384</v>
      </c>
      <c r="C74" s="369" t="inlineStr">
        <is>
          <t>บุญสร้อย เรือนทอง</t>
        </is>
      </c>
      <c r="D74" s="369" t="inlineStr">
        <is>
          <t>หญิง</t>
        </is>
      </c>
      <c r="E74" s="369" t="inlineStr">
        <is>
          <t>รายเดือน</t>
        </is>
      </c>
      <c r="F74" s="369" t="inlineStr">
        <is>
          <t>ไทย</t>
        </is>
      </c>
      <c r="G74" s="369" t="inlineStr">
        <is>
          <t>292/17 ม.10 ต.ทุ่งสุขลา อ.ศรีราชา จ.ชลบุรี 20230</t>
        </is>
      </c>
      <c r="H74" s="396" t="n">
        <v>6</v>
      </c>
      <c r="I74" s="369" t="n"/>
      <c r="J74" s="369" t="inlineStr">
        <is>
          <t>รถจักรยานยนต์ 4 จังหวะเครื่องยนต์ขนาดเล็กกว่า 125 cc</t>
        </is>
      </c>
      <c r="K74" s="410" t="inlineStr">
        <is>
          <t>แก๊สโซฮอล์ 91</t>
        </is>
      </c>
      <c r="L74" s="396" t="n">
        <v>1</v>
      </c>
      <c r="M74" s="589" t="n"/>
      <c r="N74" s="257">
        <f>'[2]1.4 Septic'!$F$16</f>
        <v/>
      </c>
      <c r="O74" s="257">
        <f>$G$492</f>
        <v/>
      </c>
      <c r="P74" s="258" t="n"/>
      <c r="Q74" s="1731">
        <f>H74*2*L74*N74/O74</f>
        <v/>
      </c>
    </row>
    <row r="75" ht="18" customHeight="1">
      <c r="A75" s="396">
        <f>+A74+1</f>
        <v/>
      </c>
      <c r="B75" s="396" t="n">
        <v>520389</v>
      </c>
      <c r="C75" s="369" t="inlineStr">
        <is>
          <t>สมชาย เชื้อหอม</t>
        </is>
      </c>
      <c r="D75" s="369" t="inlineStr">
        <is>
          <t>ชาย</t>
        </is>
      </c>
      <c r="E75" s="369" t="inlineStr">
        <is>
          <t>รายเดือน</t>
        </is>
      </c>
      <c r="F75" s="369" t="inlineStr">
        <is>
          <t>ไทย</t>
        </is>
      </c>
      <c r="G75" s="367" t="inlineStr">
        <is>
          <t>การเคหะแหลมฉบัง  ม.6 ต.บางละมุง อ.บางละมุง จ.ชลบุรี 20150</t>
        </is>
      </c>
      <c r="H75" s="396" t="n">
        <v>7</v>
      </c>
      <c r="I75" s="369" t="n"/>
      <c r="J75" s="369" t="inlineStr">
        <is>
          <t>รถกระบะบรรทุก</t>
        </is>
      </c>
      <c r="K75" s="410" t="inlineStr">
        <is>
          <t>ดีเซล</t>
        </is>
      </c>
      <c r="L75" s="396" t="n">
        <v>1</v>
      </c>
      <c r="M75" s="589" t="n"/>
      <c r="N75" s="257">
        <f>'[2]1.4 Septic'!$F$16</f>
        <v/>
      </c>
      <c r="O75" s="257" t="n">
        <v>6.369</v>
      </c>
      <c r="P75" s="1731">
        <f>H75*2*L75*N75/O75</f>
        <v/>
      </c>
      <c r="Q75" s="258" t="n"/>
    </row>
    <row r="76" ht="18" customHeight="1">
      <c r="A76" s="396">
        <f>+A75+1</f>
        <v/>
      </c>
      <c r="B76" s="396" t="n">
        <v>520394</v>
      </c>
      <c r="C76" s="369" t="inlineStr">
        <is>
          <t>คำหล้า บอรีหลง</t>
        </is>
      </c>
      <c r="D76" s="369" t="inlineStr">
        <is>
          <t>หญิง</t>
        </is>
      </c>
      <c r="E76" s="369" t="inlineStr">
        <is>
          <t>รายเดือน</t>
        </is>
      </c>
      <c r="F76" s="369" t="inlineStr">
        <is>
          <t>ไทย</t>
        </is>
      </c>
      <c r="G76" s="369" t="inlineStr">
        <is>
          <t>เคหะแหลมฉบัง ตึก 20 ม.6 ต.บางละมุง อ.บางละมุง จ.ชลบุรี 20150</t>
        </is>
      </c>
      <c r="H76" s="396" t="n">
        <v>6</v>
      </c>
      <c r="I76" s="369" t="n"/>
      <c r="J76" s="369" t="inlineStr">
        <is>
          <t>รถกระบะบรรทุก</t>
        </is>
      </c>
      <c r="K76" s="410" t="inlineStr">
        <is>
          <t>ดีเซล</t>
        </is>
      </c>
      <c r="L76" s="396" t="n">
        <v>2</v>
      </c>
      <c r="M76" s="589" t="n"/>
      <c r="N76" s="257">
        <f>'[2]1.4 Septic'!$F$16</f>
        <v/>
      </c>
      <c r="O76" s="257" t="n">
        <v>6.369</v>
      </c>
      <c r="P76" s="1731">
        <f>H76*2*L76*N76/O76</f>
        <v/>
      </c>
      <c r="Q76" s="258" t="n"/>
    </row>
    <row r="77" ht="18" customHeight="1">
      <c r="A77" s="396">
        <f>+A76+1</f>
        <v/>
      </c>
      <c r="B77" s="396" t="n">
        <v>520396</v>
      </c>
      <c r="C77" s="369" t="inlineStr">
        <is>
          <t>ประณต ทิพวัลย์</t>
        </is>
      </c>
      <c r="D77" s="369" t="inlineStr">
        <is>
          <t>ชาย</t>
        </is>
      </c>
      <c r="E77" s="369" t="inlineStr">
        <is>
          <t>รายเดือน</t>
        </is>
      </c>
      <c r="F77" s="369" t="inlineStr">
        <is>
          <t>ไทย</t>
        </is>
      </c>
      <c r="G77" s="369" t="inlineStr">
        <is>
          <t xml:space="preserve">ซ.10 ม.9  ต.ทุ่งสุขลา อ.ศรีราชา  จ.ชลบุรี 20230 </t>
        </is>
      </c>
      <c r="H77" s="396" t="n">
        <v>10</v>
      </c>
      <c r="I77" s="369" t="n"/>
      <c r="J77" s="369" t="inlineStr">
        <is>
          <t>รถจักรยานยนต์ 4 จังหวะเครื่องยนต์ขนาด 125 cc</t>
        </is>
      </c>
      <c r="K77" s="410" t="inlineStr">
        <is>
          <t>แก๊สโซฮอล์ 95</t>
        </is>
      </c>
      <c r="L77" s="396" t="n">
        <v>1</v>
      </c>
      <c r="M77" s="589" t="n"/>
      <c r="N77" s="257">
        <f>'[2]1.4 Septic'!$F$16</f>
        <v/>
      </c>
      <c r="O77" s="257">
        <f>$G$492</f>
        <v/>
      </c>
      <c r="P77" s="258" t="n"/>
      <c r="Q77" s="1731">
        <f>H77*2*L77*N77/O77</f>
        <v/>
      </c>
    </row>
    <row r="78" ht="18" customHeight="1">
      <c r="A78" s="396">
        <f>+A77+1</f>
        <v/>
      </c>
      <c r="B78" s="396" t="n">
        <v>520399</v>
      </c>
      <c r="C78" s="369" t="inlineStr">
        <is>
          <t>รุ่งดาวัน โสภากุล</t>
        </is>
      </c>
      <c r="D78" s="369" t="inlineStr">
        <is>
          <t>หญิง</t>
        </is>
      </c>
      <c r="E78" s="369" t="inlineStr">
        <is>
          <t>รายเดือน</t>
        </is>
      </c>
      <c r="F78" s="369" t="inlineStr">
        <is>
          <t>ไทย</t>
        </is>
      </c>
      <c r="G78" s="367" t="inlineStr">
        <is>
          <t>การเคหะแหลมฉบัง  ม.6 ต.บางละมุง อ.บางละมุง จ.ชลบุรี</t>
        </is>
      </c>
      <c r="H78" s="396" t="n">
        <v>7</v>
      </c>
      <c r="I78" s="369" t="n"/>
      <c r="J78" s="369" t="inlineStr">
        <is>
          <t>รถจักรยานยนต์ 4 จังหวะเครื่องยนต์ขนาดเล็กกว่า 125 cc</t>
        </is>
      </c>
      <c r="K78" s="410" t="inlineStr">
        <is>
          <t>แก๊สโซฮอล์ 91</t>
        </is>
      </c>
      <c r="L78" s="396" t="n">
        <v>1</v>
      </c>
      <c r="M78" s="589" t="n"/>
      <c r="N78" s="257">
        <f>'[2]1.4 Septic'!$F$16</f>
        <v/>
      </c>
      <c r="O78" s="257">
        <f>$G$492</f>
        <v/>
      </c>
      <c r="P78" s="258" t="n"/>
      <c r="Q78" s="1731">
        <f>H78*2*L78*N78/O78</f>
        <v/>
      </c>
    </row>
    <row r="79" ht="18" customHeight="1">
      <c r="A79" s="396">
        <f>+A78+1</f>
        <v/>
      </c>
      <c r="B79" s="396" t="n">
        <v>520402</v>
      </c>
      <c r="C79" s="369" t="inlineStr">
        <is>
          <t>สิริลักษณ์ ยอดนุ่ม</t>
        </is>
      </c>
      <c r="D79" s="369" t="inlineStr">
        <is>
          <t>หญิง</t>
        </is>
      </c>
      <c r="E79" s="369" t="inlineStr">
        <is>
          <t>รายเดือน</t>
        </is>
      </c>
      <c r="F79" s="369" t="inlineStr">
        <is>
          <t>ไทย</t>
        </is>
      </c>
      <c r="G79" s="369" t="inlineStr">
        <is>
          <t>104 ม. 2 ต.ทุ่งสุขลา อ.ศรีราชา จ.ชลบุรี 20230</t>
        </is>
      </c>
      <c r="H79" s="396" t="n">
        <v>8</v>
      </c>
      <c r="I79" s="369" t="n"/>
      <c r="J79" s="369" t="inlineStr">
        <is>
          <t>รถจักรยานยนต์ 4 จังหวะเครื่องยนต์ขนาดเล็กกว่า 125 cc</t>
        </is>
      </c>
      <c r="K79" s="410" t="inlineStr">
        <is>
          <t>แก๊สโซฮอล์ 91</t>
        </is>
      </c>
      <c r="L79" s="396" t="n">
        <v>1</v>
      </c>
      <c r="M79" s="589" t="n"/>
      <c r="N79" s="257">
        <f>'[2]1.4 Septic'!$F$16</f>
        <v/>
      </c>
      <c r="O79" s="257">
        <f>$G$492</f>
        <v/>
      </c>
      <c r="P79" s="258" t="n"/>
      <c r="Q79" s="1731">
        <f>H79*2*L79*N79/O79</f>
        <v/>
      </c>
    </row>
    <row r="80" ht="18" customHeight="1">
      <c r="A80" s="396">
        <f>+A79+1</f>
        <v/>
      </c>
      <c r="B80" s="396" t="n">
        <v>520405</v>
      </c>
      <c r="C80" s="369" t="inlineStr">
        <is>
          <t>สมหมาย กันยามา</t>
        </is>
      </c>
      <c r="D80" s="369" t="inlineStr">
        <is>
          <t>หญิง</t>
        </is>
      </c>
      <c r="E80" s="369" t="inlineStr">
        <is>
          <t>รายเดือน</t>
        </is>
      </c>
      <c r="F80" s="369" t="inlineStr">
        <is>
          <t>ไทย</t>
        </is>
      </c>
      <c r="G80" s="369" t="inlineStr">
        <is>
          <t>69/257 ม.11 ต.ทุ่งสุขลา อ.ศรีราชา จ.ชลบุรี 20230</t>
        </is>
      </c>
      <c r="H80" s="396" t="n">
        <v>8</v>
      </c>
      <c r="I80" s="369" t="n"/>
      <c r="J80" s="369" t="inlineStr">
        <is>
          <t>รถจักรยานยนต์ 2 จังหวะเครื่องยนต์ขนาด 150cc</t>
        </is>
      </c>
      <c r="K80" s="410" t="inlineStr">
        <is>
          <t>แก๊สโซฮอล์ 95</t>
        </is>
      </c>
      <c r="L80" s="396" t="n">
        <v>2</v>
      </c>
      <c r="M80" s="589" t="n"/>
      <c r="N80" s="257">
        <f>'[2]1.4 Septic'!$F$16</f>
        <v/>
      </c>
      <c r="O80" s="1754">
        <f>$G$491</f>
        <v/>
      </c>
      <c r="P80" s="258" t="n"/>
      <c r="Q80" s="1731">
        <f>H80*2*L80*N80/O80</f>
        <v/>
      </c>
    </row>
    <row r="81" ht="18" customHeight="1">
      <c r="A81" s="396">
        <f>+A80+1</f>
        <v/>
      </c>
      <c r="B81" s="396" t="n">
        <v>520406</v>
      </c>
      <c r="C81" s="369" t="inlineStr">
        <is>
          <t>ไชยยันต์ รัตนพันธ์</t>
        </is>
      </c>
      <c r="D81" s="369" t="inlineStr">
        <is>
          <t>ชาย</t>
        </is>
      </c>
      <c r="E81" s="369" t="inlineStr">
        <is>
          <t>รายเดือน</t>
        </is>
      </c>
      <c r="F81" s="369" t="inlineStr">
        <is>
          <t>ไทย</t>
        </is>
      </c>
      <c r="G81" s="369" t="inlineStr">
        <is>
          <t>อ่าวอุดม ซ.ไพเราะ ต.ทุ่งสุขลา อ.ศรีราชา จ.ชลบุรี 20230</t>
        </is>
      </c>
      <c r="H81" s="396" t="n">
        <v>10</v>
      </c>
      <c r="I81" s="369" t="n"/>
      <c r="J81" s="369" t="inlineStr">
        <is>
          <t>รถจักรยานยนต์ 4 จังหวะเครื่องยนต์ขนาดเล็กกว่า 125 cc</t>
        </is>
      </c>
      <c r="K81" s="410" t="inlineStr">
        <is>
          <t>แก๊สโซฮอล์ 95</t>
        </is>
      </c>
      <c r="L81" s="396" t="n">
        <v>1</v>
      </c>
      <c r="M81" s="589" t="n"/>
      <c r="N81" s="257">
        <f>'[2]1.4 Septic'!$F$16</f>
        <v/>
      </c>
      <c r="O81" s="257">
        <f>$G$492</f>
        <v/>
      </c>
      <c r="P81" s="258" t="n"/>
      <c r="Q81" s="1731">
        <f>H81*2*L81*N81/O81</f>
        <v/>
      </c>
    </row>
    <row r="82" ht="18" customHeight="1">
      <c r="A82" s="396">
        <f>+A81+1</f>
        <v/>
      </c>
      <c r="B82" s="396" t="n">
        <v>520407</v>
      </c>
      <c r="C82" s="369" t="inlineStr">
        <is>
          <t>อดุลย์ แก้วดำ</t>
        </is>
      </c>
      <c r="D82" s="369" t="inlineStr">
        <is>
          <t>ชาย</t>
        </is>
      </c>
      <c r="E82" s="369" t="inlineStr">
        <is>
          <t>รายเดือน</t>
        </is>
      </c>
      <c r="F82" s="369" t="inlineStr">
        <is>
          <t>ไทย</t>
        </is>
      </c>
      <c r="G82" s="367" t="inlineStr">
        <is>
          <t>99/9 ม.4 ต.สุรศักดิ์ อ.ศรีราชา จ.ชลบุรี 20230</t>
        </is>
      </c>
      <c r="H82" s="396" t="n">
        <v>10</v>
      </c>
      <c r="I82" s="369" t="n"/>
      <c r="J82" s="369" t="inlineStr">
        <is>
          <t>รถจักรยานยนต์ 4 จังหวะเครื่องยนต์ขนาดเล็กกว่า 125 cc</t>
        </is>
      </c>
      <c r="K82" s="410" t="inlineStr">
        <is>
          <t>แก๊สโซฮอล์ 95</t>
        </is>
      </c>
      <c r="L82" s="396" t="n">
        <v>1</v>
      </c>
      <c r="M82" s="589" t="n"/>
      <c r="N82" s="257">
        <f>'[2]1.4 Septic'!$F$16</f>
        <v/>
      </c>
      <c r="O82" s="257">
        <f>$G$492</f>
        <v/>
      </c>
      <c r="P82" s="258" t="n"/>
      <c r="Q82" s="1731">
        <f>H82*2*L82*N82/O82</f>
        <v/>
      </c>
    </row>
    <row r="83" ht="18" customHeight="1">
      <c r="A83" s="396">
        <f>+A82+1</f>
        <v/>
      </c>
      <c r="B83" s="396" t="n">
        <v>520416</v>
      </c>
      <c r="C83" s="369" t="inlineStr">
        <is>
          <t>ปนัดดา ก่อกุศล</t>
        </is>
      </c>
      <c r="D83" s="369" t="inlineStr">
        <is>
          <t>หญิง</t>
        </is>
      </c>
      <c r="E83" s="369" t="inlineStr">
        <is>
          <t>รายเดือน</t>
        </is>
      </c>
      <c r="F83" s="369" t="inlineStr">
        <is>
          <t>ไทย</t>
        </is>
      </c>
      <c r="G83" s="369" t="inlineStr">
        <is>
          <t>456/82 ม.10 ต.ทุ่งสุขลา อ.ศรีราชา จ.ชลบุรี 20230</t>
        </is>
      </c>
      <c r="H83" s="396" t="n">
        <v>3</v>
      </c>
      <c r="I83" s="369" t="n"/>
      <c r="J83" s="369" t="inlineStr">
        <is>
          <t>รถจักรยานยนต์ 4 จังหวะเครื่องยนต์ขนาด 125 cc</t>
        </is>
      </c>
      <c r="K83" s="410" t="inlineStr">
        <is>
          <t>แก๊สโซฮอล์ 95</t>
        </is>
      </c>
      <c r="L83" s="396" t="n">
        <v>1</v>
      </c>
      <c r="M83" s="589" t="n"/>
      <c r="N83" s="257">
        <f>'[2]1.4 Septic'!$F$16</f>
        <v/>
      </c>
      <c r="O83" s="257">
        <f>$G$492</f>
        <v/>
      </c>
      <c r="P83" s="258" t="n"/>
      <c r="Q83" s="1731">
        <f>H83*2*L83*N83/O83</f>
        <v/>
      </c>
    </row>
    <row r="84" ht="18" customHeight="1">
      <c r="A84" s="396">
        <f>+A83+1</f>
        <v/>
      </c>
      <c r="B84" s="396" t="n">
        <v>520425</v>
      </c>
      <c r="C84" s="369" t="inlineStr">
        <is>
          <t>เจตนภา ตองกลิ่น</t>
        </is>
      </c>
      <c r="D84" s="369" t="inlineStr">
        <is>
          <t>หญิง</t>
        </is>
      </c>
      <c r="E84" s="369" t="inlineStr">
        <is>
          <t>รายเดือน</t>
        </is>
      </c>
      <c r="F84" s="369" t="inlineStr">
        <is>
          <t>ไทย</t>
        </is>
      </c>
      <c r="G84" s="369" t="inlineStr">
        <is>
          <t>119/6 ม.1 ต.ตะเคียนเตี้ย อ.บางละบุง จ.ชลบุรี 20150</t>
        </is>
      </c>
      <c r="H84" s="396" t="n">
        <v>10</v>
      </c>
      <c r="I84" s="369" t="n"/>
      <c r="J84" s="369" t="inlineStr">
        <is>
          <t>รถจักรยานยนต์ 4 จังหวะเครื่องยนต์ขนาด 125 cc</t>
        </is>
      </c>
      <c r="K84" s="410" t="inlineStr">
        <is>
          <t>แก๊สโซฮอล์ 91</t>
        </is>
      </c>
      <c r="L84" s="396" t="n">
        <v>1</v>
      </c>
      <c r="M84" s="589" t="n"/>
      <c r="N84" s="257">
        <f>'[2]1.4 Septic'!$F$16</f>
        <v/>
      </c>
      <c r="O84" s="257">
        <f>$G$492</f>
        <v/>
      </c>
      <c r="P84" s="258" t="n"/>
      <c r="Q84" s="1731">
        <f>H84*2*L84*N84/O84</f>
        <v/>
      </c>
    </row>
    <row r="85" ht="18" customHeight="1">
      <c r="A85" s="396">
        <f>+A84+1</f>
        <v/>
      </c>
      <c r="B85" s="396" t="n">
        <v>520428</v>
      </c>
      <c r="C85" s="369" t="inlineStr">
        <is>
          <t>สุทธี บัวหีบแก้ว</t>
        </is>
      </c>
      <c r="D85" s="369" t="inlineStr">
        <is>
          <t>ชาย</t>
        </is>
      </c>
      <c r="E85" s="369" t="inlineStr">
        <is>
          <t>รายเดือน</t>
        </is>
      </c>
      <c r="F85" s="369" t="inlineStr">
        <is>
          <t>ไทย</t>
        </is>
      </c>
      <c r="G85" s="369" t="inlineStr">
        <is>
          <t xml:space="preserve">206/025 การเคหะแหลมฉบัง ม.6 ต.บางละมุง อ.บางละมุง จ.ชลบุรี 20150 </t>
        </is>
      </c>
      <c r="H85" s="396" t="n">
        <v>10</v>
      </c>
      <c r="I85" s="369" t="n"/>
      <c r="J85" s="369" t="inlineStr">
        <is>
          <t>รถกระบะบรรทุก</t>
        </is>
      </c>
      <c r="K85" s="410" t="inlineStr">
        <is>
          <t>ดีเซล</t>
        </is>
      </c>
      <c r="L85" s="396" t="n">
        <v>2</v>
      </c>
      <c r="M85" s="589" t="n"/>
      <c r="N85" s="257">
        <f>'[2]1.4 Septic'!$F$16</f>
        <v/>
      </c>
      <c r="O85" s="257" t="n">
        <v>6.369</v>
      </c>
      <c r="P85" s="1731">
        <f>H85*2*L85*N85/O85</f>
        <v/>
      </c>
      <c r="Q85" s="258" t="n"/>
    </row>
    <row r="86" ht="18" customHeight="1">
      <c r="A86" s="396">
        <f>+A85+1</f>
        <v/>
      </c>
      <c r="B86" s="396" t="n">
        <v>520431</v>
      </c>
      <c r="C86" s="369" t="inlineStr">
        <is>
          <t>สมัย หมายสุข</t>
        </is>
      </c>
      <c r="D86" s="369" t="inlineStr">
        <is>
          <t>ชาย</t>
        </is>
      </c>
      <c r="E86" s="369" t="inlineStr">
        <is>
          <t>รายเดือน</t>
        </is>
      </c>
      <c r="F86" s="369" t="inlineStr">
        <is>
          <t>ไทย</t>
        </is>
      </c>
      <c r="G86" s="369" t="inlineStr">
        <is>
          <t>บ้านทุ่งกราด ต.บางละมุง อ.ศรีราชา จ.ชลบุรี 20230</t>
        </is>
      </c>
      <c r="H86" s="396" t="n">
        <v>5</v>
      </c>
      <c r="I86" s="369" t="n"/>
      <c r="J86" s="369" t="inlineStr">
        <is>
          <t>รถจักรยานยนต์ 4 จังหวะเครื่องยนต์ขนาดเล็กกว่า 125 cc</t>
        </is>
      </c>
      <c r="K86" s="410" t="inlineStr">
        <is>
          <t>แก๊สโซฮอล์ 95</t>
        </is>
      </c>
      <c r="L86" s="396" t="n">
        <v>1</v>
      </c>
      <c r="M86" s="589" t="n"/>
      <c r="N86" s="257">
        <f>'[2]1.4 Septic'!$F$16</f>
        <v/>
      </c>
      <c r="O86" s="257">
        <f>$G$492</f>
        <v/>
      </c>
      <c r="P86" s="258" t="n"/>
      <c r="Q86" s="1731">
        <f>H86*2*L86*N86/O86</f>
        <v/>
      </c>
    </row>
    <row r="87" ht="18" customHeight="1">
      <c r="A87" s="396">
        <f>+A86+1</f>
        <v/>
      </c>
      <c r="B87" s="396" t="n">
        <v>520432</v>
      </c>
      <c r="C87" s="369" t="inlineStr">
        <is>
          <t>ไวพจน์ สายหล้า</t>
        </is>
      </c>
      <c r="D87" s="369" t="inlineStr">
        <is>
          <t>ชาย</t>
        </is>
      </c>
      <c r="E87" s="369" t="inlineStr">
        <is>
          <t>รายเดือน</t>
        </is>
      </c>
      <c r="F87" s="369" t="inlineStr">
        <is>
          <t>ไทย</t>
        </is>
      </c>
      <c r="G87" s="367" t="inlineStr">
        <is>
          <t>การเคหะแหลมฉบัง  ม.6 ต.บางละมุง อ.บางละมุง จ.ชลบุรี</t>
        </is>
      </c>
      <c r="H87" s="396" t="n">
        <v>10</v>
      </c>
      <c r="I87" s="369" t="n"/>
      <c r="J87" s="369" t="inlineStr">
        <is>
          <t>รถกระบะบรรทุก</t>
        </is>
      </c>
      <c r="K87" s="410" t="inlineStr">
        <is>
          <t>ดีเซล</t>
        </is>
      </c>
      <c r="L87" s="396" t="n">
        <v>2</v>
      </c>
      <c r="M87" s="589" t="n"/>
      <c r="N87" s="257">
        <f>'[2]1.4 Septic'!$F$16</f>
        <v/>
      </c>
      <c r="O87" s="257" t="n">
        <v>6.369</v>
      </c>
      <c r="P87" s="1731">
        <f>H87*2*L87*N87/O87</f>
        <v/>
      </c>
      <c r="Q87" s="258" t="n"/>
    </row>
    <row r="88" ht="18" customHeight="1">
      <c r="A88" s="396">
        <f>+A87+1</f>
        <v/>
      </c>
      <c r="B88" s="396" t="n">
        <v>520433</v>
      </c>
      <c r="C88" s="369" t="inlineStr">
        <is>
          <t>เกษม แก้วกรุงศรี</t>
        </is>
      </c>
      <c r="D88" s="369" t="inlineStr">
        <is>
          <t>ชาย</t>
        </is>
      </c>
      <c r="E88" s="369" t="inlineStr">
        <is>
          <t>รายเดือน</t>
        </is>
      </c>
      <c r="F88" s="369" t="inlineStr">
        <is>
          <t>ไทย</t>
        </is>
      </c>
      <c r="G88" s="593" t="inlineStr">
        <is>
          <t>127/26  ม.2 ต.บางละมุง อ.บางละมุง จ.ชลบุรี 20150</t>
        </is>
      </c>
      <c r="H88" s="396" t="n">
        <v>7</v>
      </c>
      <c r="I88" s="369" t="n"/>
      <c r="J88" s="369" t="inlineStr">
        <is>
          <t>รถจักรยานยนต์ 4 จังหวะเครื่องยนต์ขนาดเล็กกว่า 125 cc</t>
        </is>
      </c>
      <c r="K88" s="410" t="inlineStr">
        <is>
          <t>แก๊สโซฮอล์ 91</t>
        </is>
      </c>
      <c r="L88" s="396" t="n">
        <v>1</v>
      </c>
      <c r="M88" s="589" t="n"/>
      <c r="N88" s="257">
        <f>'[2]1.4 Septic'!$F$16</f>
        <v/>
      </c>
      <c r="O88" s="257">
        <f>$G$492</f>
        <v/>
      </c>
      <c r="P88" s="258" t="n"/>
      <c r="Q88" s="1731">
        <f>H88*2*L88*N88/O88</f>
        <v/>
      </c>
    </row>
    <row r="89" ht="18" customHeight="1">
      <c r="A89" s="396">
        <f>+A88+1</f>
        <v/>
      </c>
      <c r="B89" s="396" t="n">
        <v>520435</v>
      </c>
      <c r="C89" s="369" t="inlineStr">
        <is>
          <t>รัตนา ผู้มีสัตย์</t>
        </is>
      </c>
      <c r="D89" s="369" t="inlineStr">
        <is>
          <t>หญิง</t>
        </is>
      </c>
      <c r="E89" s="369" t="inlineStr">
        <is>
          <t>รายเดือน</t>
        </is>
      </c>
      <c r="F89" s="369" t="inlineStr">
        <is>
          <t>ไทย</t>
        </is>
      </c>
      <c r="G89" s="369" t="inlineStr">
        <is>
          <t>อ่าวอุดม ม.6  ต.ทุ่งสุขลา อ.ศรีราชา จ.ชลบุรี 20230</t>
        </is>
      </c>
      <c r="H89" s="396" t="n">
        <v>6</v>
      </c>
      <c r="I89" s="369" t="n"/>
      <c r="J89" s="369" t="inlineStr">
        <is>
          <t>รถจักรยานยนต์ 4 จังหวะเครื่องยนต์ขนาด 125 cc</t>
        </is>
      </c>
      <c r="K89" s="410" t="inlineStr">
        <is>
          <t>แก๊สโซฮอล์ 91</t>
        </is>
      </c>
      <c r="L89" s="396" t="n">
        <v>1</v>
      </c>
      <c r="M89" s="589" t="n"/>
      <c r="N89" s="257">
        <f>'[2]1.4 Septic'!$F$16</f>
        <v/>
      </c>
      <c r="O89" s="257">
        <f>$G$492</f>
        <v/>
      </c>
      <c r="P89" s="258" t="n"/>
      <c r="Q89" s="1731">
        <f>H89*2*L89*N89/O89</f>
        <v/>
      </c>
    </row>
    <row r="90" ht="18" customHeight="1">
      <c r="A90" s="396">
        <f>+A89+1</f>
        <v/>
      </c>
      <c r="B90" s="396" t="n">
        <v>520446</v>
      </c>
      <c r="C90" s="369" t="inlineStr">
        <is>
          <t>ศิวิลัย ศรีรักษา</t>
        </is>
      </c>
      <c r="D90" s="369" t="inlineStr">
        <is>
          <t>ชาย</t>
        </is>
      </c>
      <c r="E90" s="369" t="inlineStr">
        <is>
          <t>รายเดือน</t>
        </is>
      </c>
      <c r="F90" s="369" t="inlineStr">
        <is>
          <t>ไทย</t>
        </is>
      </c>
      <c r="G90" s="369" t="inlineStr">
        <is>
          <t>47/48  ม.6 ต.บางละมุง อ.บางละมุง จ.ชลบุรี 20150</t>
        </is>
      </c>
      <c r="H90" s="396" t="n">
        <v>6</v>
      </c>
      <c r="I90" s="369" t="n"/>
      <c r="J90" s="369" t="inlineStr">
        <is>
          <t>รถจักรยานยนต์ 4 จังหวะเครื่องยนต์ขนาด 125 cc</t>
        </is>
      </c>
      <c r="K90" s="410" t="inlineStr">
        <is>
          <t>แก๊สโซฮอล์ 91</t>
        </is>
      </c>
      <c r="L90" s="396" t="n">
        <v>2</v>
      </c>
      <c r="M90" s="589" t="n"/>
      <c r="N90" s="257">
        <f>'[2]1.4 Septic'!$F$16</f>
        <v/>
      </c>
      <c r="O90" s="257">
        <f>$G$492</f>
        <v/>
      </c>
      <c r="P90" s="258" t="n"/>
      <c r="Q90" s="1731">
        <f>H90*2*L90*N90/O90</f>
        <v/>
      </c>
    </row>
    <row r="91" ht="18" customHeight="1">
      <c r="A91" s="396">
        <f>+A90+1</f>
        <v/>
      </c>
      <c r="B91" s="396" t="n">
        <v>520451</v>
      </c>
      <c r="C91" s="369" t="inlineStr">
        <is>
          <t>พรเพ็ญ ผ่านสำแดง</t>
        </is>
      </c>
      <c r="D91" s="369" t="inlineStr">
        <is>
          <t>หญิง</t>
        </is>
      </c>
      <c r="E91" s="369" t="inlineStr">
        <is>
          <t>รายเดือน</t>
        </is>
      </c>
      <c r="F91" s="369" t="inlineStr">
        <is>
          <t>ไทย</t>
        </is>
      </c>
      <c r="G91" s="369" t="inlineStr">
        <is>
          <t>889/29 ม.9 ต.ทุ่งสุขลา อ.ศรี่ราชา จ.ชลบุรี 20230</t>
        </is>
      </c>
      <c r="H91" s="396" t="n">
        <v>5</v>
      </c>
      <c r="I91" s="369" t="n"/>
      <c r="J91" s="369" t="inlineStr">
        <is>
          <t>รถยนต์ขนาดเล็ก (1500 cc)</t>
        </is>
      </c>
      <c r="K91" s="410" t="inlineStr">
        <is>
          <t>แก๊สโซฮอล์ 95</t>
        </is>
      </c>
      <c r="L91" s="396" t="n">
        <v>1</v>
      </c>
      <c r="M91" s="589" t="n"/>
      <c r="N91" s="257">
        <f>'[2]1.4 Septic'!$F$16</f>
        <v/>
      </c>
      <c r="O91" s="257">
        <f>$G$498</f>
        <v/>
      </c>
      <c r="P91" s="258" t="n"/>
      <c r="Q91" s="1731">
        <f>H91*2*L91*N91/O91</f>
        <v/>
      </c>
    </row>
    <row r="92" ht="18" customHeight="1">
      <c r="A92" s="396">
        <f>+A91+1</f>
        <v/>
      </c>
      <c r="B92" s="396" t="n">
        <v>520460</v>
      </c>
      <c r="C92" s="369" t="inlineStr">
        <is>
          <t>ณัฐมงคล กล่ำจีน</t>
        </is>
      </c>
      <c r="D92" s="369" t="inlineStr">
        <is>
          <t>ชาย</t>
        </is>
      </c>
      <c r="E92" s="369" t="inlineStr">
        <is>
          <t>รายเดือน</t>
        </is>
      </c>
      <c r="F92" s="369" t="inlineStr">
        <is>
          <t>ไทย</t>
        </is>
      </c>
      <c r="G92" s="369" t="inlineStr">
        <is>
          <t>127 ม.9 ต.ทุ่งสุขลา อ.ศรีราชา จ.ชลบุรี 20230</t>
        </is>
      </c>
      <c r="H92" s="396" t="n">
        <v>9</v>
      </c>
      <c r="I92" s="369" t="n"/>
      <c r="J92" s="369" t="inlineStr">
        <is>
          <t>รถกระบะบรรทุก</t>
        </is>
      </c>
      <c r="K92" s="410" t="inlineStr">
        <is>
          <t>ดีเซล</t>
        </is>
      </c>
      <c r="L92" s="396" t="n">
        <v>2</v>
      </c>
      <c r="M92" s="589" t="n"/>
      <c r="N92" s="257">
        <f>'[2]1.4 Septic'!$F$16</f>
        <v/>
      </c>
      <c r="O92" s="257">
        <f>$G$488</f>
        <v/>
      </c>
      <c r="P92" s="1731">
        <f>H92*2*L92*N92/O92</f>
        <v/>
      </c>
      <c r="Q92" s="258" t="n"/>
    </row>
    <row r="93" ht="18" customHeight="1">
      <c r="A93" s="396">
        <f>+A92+1</f>
        <v/>
      </c>
      <c r="B93" s="396" t="n">
        <v>520464</v>
      </c>
      <c r="C93" s="369" t="inlineStr">
        <is>
          <t>รัชฎาพร ชำนาญ</t>
        </is>
      </c>
      <c r="D93" s="369" t="inlineStr">
        <is>
          <t>หญิง</t>
        </is>
      </c>
      <c r="E93" s="369" t="inlineStr">
        <is>
          <t>รายเดือน</t>
        </is>
      </c>
      <c r="F93" s="369" t="inlineStr">
        <is>
          <t>ไทย</t>
        </is>
      </c>
      <c r="G93" s="369" t="inlineStr">
        <is>
          <t>7/27 ม.6 ต.บางละมุง อ.บางละมุง จ.ชลบุรี 20150</t>
        </is>
      </c>
      <c r="H93" s="396" t="n">
        <v>12</v>
      </c>
      <c r="I93" s="369" t="n"/>
      <c r="J93" s="369" t="inlineStr">
        <is>
          <t>รถกระบะบรรทุก</t>
        </is>
      </c>
      <c r="K93" s="410" t="inlineStr">
        <is>
          <t>ดีเซล</t>
        </is>
      </c>
      <c r="L93" s="396" t="n">
        <v>1</v>
      </c>
      <c r="M93" s="589" t="n"/>
      <c r="N93" s="257">
        <f>'[2]1.4 Septic'!$F$16</f>
        <v/>
      </c>
      <c r="O93" s="257" t="n">
        <v>6.369</v>
      </c>
      <c r="P93" s="1731">
        <f>H93*2*L93*N93/O93</f>
        <v/>
      </c>
      <c r="Q93" s="258" t="n"/>
    </row>
    <row r="94" ht="18" customHeight="1">
      <c r="A94" s="396">
        <f>+A93+1</f>
        <v/>
      </c>
      <c r="B94" s="396" t="n">
        <v>520467</v>
      </c>
      <c r="C94" s="369" t="inlineStr">
        <is>
          <t>อาชัญ ไชยเพชร</t>
        </is>
      </c>
      <c r="D94" s="369" t="inlineStr">
        <is>
          <t>ชาย</t>
        </is>
      </c>
      <c r="E94" s="369" t="inlineStr">
        <is>
          <t>รายเดือน</t>
        </is>
      </c>
      <c r="F94" s="369" t="inlineStr">
        <is>
          <t>ไทย</t>
        </is>
      </c>
      <c r="G94" s="369" t="inlineStr">
        <is>
          <t>219/169 เคหะแหลมฉบัง ตึก19 ม.6 ต.บางละมุง อ.ศรีราชา จ.ชลบุรี 20150</t>
        </is>
      </c>
      <c r="H94" s="396" t="n">
        <v>7</v>
      </c>
      <c r="I94" s="369" t="n"/>
      <c r="J94" s="369" t="inlineStr">
        <is>
          <t>รถจักรยานยนต์ 2 จังหวะเครื่องยนต์ขนาด 150cc</t>
        </is>
      </c>
      <c r="K94" s="410" t="inlineStr">
        <is>
          <t>แก๊สโซฮอล์ 95</t>
        </is>
      </c>
      <c r="L94" s="396" t="n">
        <v>2</v>
      </c>
      <c r="M94" s="589" t="n"/>
      <c r="N94" s="257">
        <f>'[2]1.4 Septic'!$F$16</f>
        <v/>
      </c>
      <c r="O94" s="1754">
        <f>$G$491</f>
        <v/>
      </c>
      <c r="P94" s="258" t="n"/>
      <c r="Q94" s="1731">
        <f>H94*2*L94*N94/O94</f>
        <v/>
      </c>
    </row>
    <row r="95" ht="18" customHeight="1">
      <c r="A95" s="396">
        <f>+A94+1</f>
        <v/>
      </c>
      <c r="B95" s="396" t="n">
        <v>520471</v>
      </c>
      <c r="C95" s="369" t="inlineStr">
        <is>
          <t>ณัฐกาญจน์ เพียรปัญญารักษ์</t>
        </is>
      </c>
      <c r="D95" s="369" t="inlineStr">
        <is>
          <t>หญิง</t>
        </is>
      </c>
      <c r="E95" s="369" t="inlineStr">
        <is>
          <t>รายเดือน</t>
        </is>
      </c>
      <c r="F95" s="369" t="inlineStr">
        <is>
          <t>ไทย</t>
        </is>
      </c>
      <c r="G95" s="369" t="inlineStr">
        <is>
          <t>119/260 ซ.นวมินทร์ 101 ต.นวมินทร์ อ.บึงกุ่ม จ.กรุงเทพมหานคร 10240</t>
        </is>
      </c>
      <c r="H95" s="396" t="n">
        <v>8</v>
      </c>
      <c r="I95" s="369" t="n"/>
      <c r="J95" s="369" t="inlineStr">
        <is>
          <t>รถยนต์ขนาดใหญ่ (2000 cc)</t>
        </is>
      </c>
      <c r="K95" s="410" t="inlineStr">
        <is>
          <t>แก๊สโซฮอล์ 95</t>
        </is>
      </c>
      <c r="L95" s="396" t="n">
        <v>1</v>
      </c>
      <c r="M95" s="589" t="n"/>
      <c r="N95" s="257">
        <f>'[2]1.4 Septic'!$F$16</f>
        <v/>
      </c>
      <c r="O95" s="257">
        <f>$G$495</f>
        <v/>
      </c>
      <c r="P95" s="258" t="n"/>
      <c r="Q95" s="1731">
        <f>H95*2*L95*N95/O95</f>
        <v/>
      </c>
    </row>
    <row r="96" ht="18" customHeight="1">
      <c r="A96" s="396">
        <f>+A95+1</f>
        <v/>
      </c>
      <c r="B96" s="396" t="n">
        <v>520527</v>
      </c>
      <c r="C96" s="369" t="inlineStr">
        <is>
          <t>ฐษา กุลภาดานันท์</t>
        </is>
      </c>
      <c r="D96" s="369" t="inlineStr">
        <is>
          <t>หญิง</t>
        </is>
      </c>
      <c r="E96" s="369" t="inlineStr">
        <is>
          <t>รายเดือน</t>
        </is>
      </c>
      <c r="F96" s="369" t="inlineStr">
        <is>
          <t>ไทย</t>
        </is>
      </c>
      <c r="G96" s="588" t="inlineStr">
        <is>
          <t>100/569 ม.7 ต.บางแค อ.บางแค จ.กรุงเทพมหานคร 10160</t>
        </is>
      </c>
      <c r="H96" s="396" t="n">
        <v>17</v>
      </c>
      <c r="I96" s="369" t="n"/>
      <c r="J96" s="369" t="inlineStr">
        <is>
          <t>รถยนต์ขนาดเล็ก (1500 cc)</t>
        </is>
      </c>
      <c r="K96" s="410" t="inlineStr">
        <is>
          <t>แก๊สโซฮอล์ 91</t>
        </is>
      </c>
      <c r="L96" s="396" t="n">
        <v>1</v>
      </c>
      <c r="M96" s="589" t="inlineStr">
        <is>
          <t>สนง.กทม.</t>
        </is>
      </c>
      <c r="N96" s="257">
        <f>'[2]1.4 Septic'!$F$34</f>
        <v/>
      </c>
      <c r="O96" s="257">
        <f>$G$498</f>
        <v/>
      </c>
      <c r="P96" s="258" t="n"/>
      <c r="Q96" s="1731">
        <f>H96*2*L96*N96/O96</f>
        <v/>
      </c>
    </row>
    <row r="97" ht="18" customHeight="1">
      <c r="A97" s="396">
        <f>+A96+1</f>
        <v/>
      </c>
      <c r="B97" s="396" t="n">
        <v>520541</v>
      </c>
      <c r="C97" s="369" t="inlineStr">
        <is>
          <t>ลำจวน วรรณพฤกษ์</t>
        </is>
      </c>
      <c r="D97" s="369" t="inlineStr">
        <is>
          <t>หญิง</t>
        </is>
      </c>
      <c r="E97" s="369" t="inlineStr">
        <is>
          <t>รายเดือน</t>
        </is>
      </c>
      <c r="F97" s="369" t="inlineStr">
        <is>
          <t>ไทย</t>
        </is>
      </c>
      <c r="G97" s="369" t="inlineStr">
        <is>
          <t>220/94  ม. 6 ต.บางละมุง อ.บางละมุง จ.ชลบุรี 20150</t>
        </is>
      </c>
      <c r="H97" s="396" t="n">
        <v>15</v>
      </c>
      <c r="I97" s="369" t="n"/>
      <c r="J97" s="369" t="inlineStr">
        <is>
          <t>รถกระบะบรรทุก</t>
        </is>
      </c>
      <c r="K97" s="410" t="inlineStr">
        <is>
          <t>ดีเซล</t>
        </is>
      </c>
      <c r="L97" s="396" t="n">
        <v>1</v>
      </c>
      <c r="M97" s="589" t="n"/>
      <c r="N97" s="257">
        <f>'[2]1.4 Septic'!$F$16</f>
        <v/>
      </c>
      <c r="O97" s="257" t="n">
        <v>6.369</v>
      </c>
      <c r="P97" s="1731">
        <f>H97*2*L97*N97/O97</f>
        <v/>
      </c>
      <c r="Q97" s="258" t="n"/>
    </row>
    <row r="98" ht="18" customHeight="1">
      <c r="A98" s="396">
        <f>+A97+1</f>
        <v/>
      </c>
      <c r="B98" s="396" t="n">
        <v>520542</v>
      </c>
      <c r="C98" s="369" t="inlineStr">
        <is>
          <t>เลอศักดิ์ สีทอง</t>
        </is>
      </c>
      <c r="D98" s="369" t="inlineStr">
        <is>
          <t>ชาย</t>
        </is>
      </c>
      <c r="E98" s="369" t="inlineStr">
        <is>
          <t>รายเดือน</t>
        </is>
      </c>
      <c r="F98" s="369" t="inlineStr">
        <is>
          <t>ไทย</t>
        </is>
      </c>
      <c r="G98" s="369" t="inlineStr">
        <is>
          <t>553/23 ต.ทุ่งสุขลา อ.ศรีราชา จ.ชลบุรี 20230</t>
        </is>
      </c>
      <c r="H98" s="396" t="n">
        <v>10</v>
      </c>
      <c r="I98" s="369" t="n"/>
      <c r="J98" s="369" t="inlineStr">
        <is>
          <t>รถจักรยานยนต์ 4 จังหวะเครื่องยนต์ขนาดเล็กกว่า 125 cc</t>
        </is>
      </c>
      <c r="K98" s="410" t="inlineStr">
        <is>
          <t>แก๊สโซฮอล์ 95</t>
        </is>
      </c>
      <c r="L98" s="396" t="n">
        <v>1</v>
      </c>
      <c r="M98" s="589" t="n"/>
      <c r="N98" s="257">
        <f>'[2]1.4 Septic'!$F$16</f>
        <v/>
      </c>
      <c r="O98" s="257">
        <f>$G$492</f>
        <v/>
      </c>
      <c r="P98" s="258" t="n"/>
      <c r="Q98" s="1731">
        <f>H98*2*L98*N98/O98</f>
        <v/>
      </c>
    </row>
    <row r="99" ht="18" customHeight="1">
      <c r="A99" s="396">
        <f>+A98+1</f>
        <v/>
      </c>
      <c r="B99" s="396" t="n">
        <v>520546</v>
      </c>
      <c r="C99" s="369" t="inlineStr">
        <is>
          <t>รัตติยากร อุ่นหัวเรือ</t>
        </is>
      </c>
      <c r="D99" s="369" t="inlineStr">
        <is>
          <t>หญิง</t>
        </is>
      </c>
      <c r="E99" s="369" t="inlineStr">
        <is>
          <t>รายเดือน</t>
        </is>
      </c>
      <c r="F99" s="369" t="inlineStr">
        <is>
          <t>ไทย</t>
        </is>
      </c>
      <c r="G99" s="369" t="inlineStr">
        <is>
          <t>115/6 ม.2 ตง ต.ทุ่งสุขลา อ.ศรีราชา จ.ชลบุรี 20230</t>
        </is>
      </c>
      <c r="H99" s="396" t="n">
        <v>5</v>
      </c>
      <c r="I99" s="369" t="n"/>
      <c r="J99" s="369" t="inlineStr">
        <is>
          <t>รถจักรยานยนต์ 4 จังหวะเครื่องยนต์ขนาด 125 cc</t>
        </is>
      </c>
      <c r="K99" s="410" t="inlineStr">
        <is>
          <t>แก๊สโซฮอล์ 91</t>
        </is>
      </c>
      <c r="L99" s="396" t="n">
        <v>1</v>
      </c>
      <c r="M99" s="589" t="n"/>
      <c r="N99" s="257">
        <f>'[2]1.4 Septic'!$F$16</f>
        <v/>
      </c>
      <c r="O99" s="257">
        <f>$G$492</f>
        <v/>
      </c>
      <c r="P99" s="258" t="n"/>
      <c r="Q99" s="1731">
        <f>H99*2*L99*N99/O99</f>
        <v/>
      </c>
    </row>
    <row r="100" ht="18" customHeight="1">
      <c r="A100" s="396">
        <f>+A99+1</f>
        <v/>
      </c>
      <c r="B100" s="396" t="n">
        <v>520548</v>
      </c>
      <c r="C100" s="369" t="inlineStr">
        <is>
          <t>ชาญชัย แก้วสีดา</t>
        </is>
      </c>
      <c r="D100" s="369" t="inlineStr">
        <is>
          <t>ชาย</t>
        </is>
      </c>
      <c r="E100" s="369" t="inlineStr">
        <is>
          <t>รายเดือน</t>
        </is>
      </c>
      <c r="F100" s="369" t="inlineStr">
        <is>
          <t>ไทย</t>
        </is>
      </c>
      <c r="G100" s="369" t="inlineStr">
        <is>
          <t>220/ การเคหะฯ ม.6 ต.บางละมุง อ.บางละมุง จ.ชลบุรี 20150</t>
        </is>
      </c>
      <c r="H100" s="396" t="n">
        <v>8</v>
      </c>
      <c r="I100" s="369" t="n"/>
      <c r="J100" s="369" t="inlineStr">
        <is>
          <t>รถกระบะบรรทุก</t>
        </is>
      </c>
      <c r="K100" s="410" t="inlineStr">
        <is>
          <t>ดีเซล</t>
        </is>
      </c>
      <c r="L100" s="396" t="n">
        <v>2</v>
      </c>
      <c r="M100" s="589" t="n"/>
      <c r="N100" s="257">
        <f>'[2]1.4 Septic'!$F$16</f>
        <v/>
      </c>
      <c r="O100" s="257" t="n">
        <v>6.369</v>
      </c>
      <c r="P100" s="1731">
        <f>H100*2*L100*N100/O100</f>
        <v/>
      </c>
      <c r="Q100" s="258" t="n"/>
    </row>
    <row r="101" ht="18" customHeight="1">
      <c r="A101" s="396">
        <f>+A100+1</f>
        <v/>
      </c>
      <c r="B101" s="396" t="n">
        <v>520552</v>
      </c>
      <c r="C101" s="369" t="inlineStr">
        <is>
          <t>แพงศรี ประเสริฐศรี</t>
        </is>
      </c>
      <c r="D101" s="369" t="inlineStr">
        <is>
          <t>หญิง</t>
        </is>
      </c>
      <c r="E101" s="369" t="inlineStr">
        <is>
          <t>รายเดือน</t>
        </is>
      </c>
      <c r="F101" s="369" t="inlineStr">
        <is>
          <t>ไทย</t>
        </is>
      </c>
      <c r="G101" s="593" t="inlineStr">
        <is>
          <t>196/44 ม.8 บ้านอ่าวอุดม ต.ทุ่งสุขลา อ.ศรีราชา จ.ชลบุรี 20230</t>
        </is>
      </c>
      <c r="H101" s="396" t="n">
        <v>5</v>
      </c>
      <c r="I101" s="369" t="n"/>
      <c r="J101" s="369" t="inlineStr">
        <is>
          <t>รถจักรยานยนต์ 4 จังหวะเครื่องยนต์ขนาดเล็กกว่า 125 cc</t>
        </is>
      </c>
      <c r="K101" s="410" t="inlineStr">
        <is>
          <t>แก๊สโซฮอล์ 91</t>
        </is>
      </c>
      <c r="L101" s="396" t="n">
        <v>1</v>
      </c>
      <c r="M101" s="589" t="n"/>
      <c r="N101" s="257">
        <f>'[2]1.4 Septic'!$F$16</f>
        <v/>
      </c>
      <c r="O101" s="257">
        <f>$G$492</f>
        <v/>
      </c>
      <c r="P101" s="258" t="n"/>
      <c r="Q101" s="1731">
        <f>H101*2*L101*N101/O101</f>
        <v/>
      </c>
    </row>
    <row r="102" ht="18" customHeight="1">
      <c r="A102" s="396">
        <f>+A101+1</f>
        <v/>
      </c>
      <c r="B102" s="396" t="n">
        <v>520555</v>
      </c>
      <c r="C102" s="369" t="inlineStr">
        <is>
          <t>เยาวลักษณ์ เจริญจิตร์</t>
        </is>
      </c>
      <c r="D102" s="369" t="inlineStr">
        <is>
          <t>หญิง</t>
        </is>
      </c>
      <c r="E102" s="369" t="inlineStr">
        <is>
          <t>รายเดือน</t>
        </is>
      </c>
      <c r="F102" s="369" t="inlineStr">
        <is>
          <t>ไทย</t>
        </is>
      </c>
      <c r="G102" s="369" t="inlineStr">
        <is>
          <t>269/48 ม.3 ต.สุรศักดิ์ อ.ศรีราชา จ.ชลบุรี 20110</t>
        </is>
      </c>
      <c r="H102" s="396" t="n">
        <v>30</v>
      </c>
      <c r="I102" s="369" t="n"/>
      <c r="J102" s="369" t="inlineStr">
        <is>
          <t>รถจักรยานยนต์ 4 จังหวะเครื่องยนต์ขนาดเล็กกว่า 125 cc</t>
        </is>
      </c>
      <c r="K102" s="410" t="inlineStr">
        <is>
          <t>แก๊สโซฮอล์ 95</t>
        </is>
      </c>
      <c r="L102" s="396" t="n">
        <v>1</v>
      </c>
      <c r="M102" s="589" t="n"/>
      <c r="N102" s="257">
        <f>'[2]1.4 Septic'!$F$16</f>
        <v/>
      </c>
      <c r="O102" s="257">
        <f>$G$492</f>
        <v/>
      </c>
      <c r="P102" s="258" t="n"/>
      <c r="Q102" s="1731">
        <f>H102*2*L102*N102/O102</f>
        <v/>
      </c>
    </row>
    <row r="103" ht="18" customHeight="1">
      <c r="A103" s="396">
        <f>+A102+1</f>
        <v/>
      </c>
      <c r="B103" s="396" t="n">
        <v>520562</v>
      </c>
      <c r="C103" s="369" t="inlineStr">
        <is>
          <t>ปราโมทย์ สติมั่น</t>
        </is>
      </c>
      <c r="D103" s="369" t="inlineStr">
        <is>
          <t>ชาย</t>
        </is>
      </c>
      <c r="E103" s="369" t="inlineStr">
        <is>
          <t>รายเดือน</t>
        </is>
      </c>
      <c r="F103" s="369" t="inlineStr">
        <is>
          <t>ไทย</t>
        </is>
      </c>
      <c r="G103" s="369" t="inlineStr">
        <is>
          <t>69/260 ม.11 หมู่บ้านพานทองแท้ ต.ทุ่งสุขลา อ.ศรีราชา จ.ชลบุรี 20230</t>
        </is>
      </c>
      <c r="H103" s="396" t="n">
        <v>8</v>
      </c>
      <c r="I103" s="369" t="n"/>
      <c r="J103" s="369" t="inlineStr">
        <is>
          <t>รถกระบะบรรทุก</t>
        </is>
      </c>
      <c r="K103" s="410" t="inlineStr">
        <is>
          <t>ดีเซล</t>
        </is>
      </c>
      <c r="L103" s="396" t="n">
        <v>2</v>
      </c>
      <c r="M103" s="589" t="n"/>
      <c r="N103" s="257">
        <f>'[2]1.4 Septic'!$F$16</f>
        <v/>
      </c>
      <c r="O103" s="257" t="n">
        <v>6.369</v>
      </c>
      <c r="P103" s="1731">
        <f>H103*2*L103*N103/O103</f>
        <v/>
      </c>
      <c r="Q103" s="258" t="n"/>
    </row>
    <row r="104" ht="18" customHeight="1">
      <c r="A104" s="396">
        <f>+A103+1</f>
        <v/>
      </c>
      <c r="B104" s="396" t="n">
        <v>520563</v>
      </c>
      <c r="C104" s="369" t="inlineStr">
        <is>
          <t>บรรจง ขันคำ</t>
        </is>
      </c>
      <c r="D104" s="369" t="inlineStr">
        <is>
          <t>ชาย</t>
        </is>
      </c>
      <c r="E104" s="369" t="inlineStr">
        <is>
          <t>รายเดือน</t>
        </is>
      </c>
      <c r="F104" s="369" t="inlineStr">
        <is>
          <t>ไทย</t>
        </is>
      </c>
      <c r="G104" s="369" t="inlineStr">
        <is>
          <t>211/092 เคหะชุมชนแหลมฉบัง ม.6 ต.บางละมุง อ.บางละมุง จ.ชลบุรี 20150</t>
        </is>
      </c>
      <c r="H104" s="396" t="n">
        <v>10</v>
      </c>
      <c r="I104" s="369" t="n"/>
      <c r="J104" s="369" t="inlineStr">
        <is>
          <t>รถจักรยานยนต์ 4 จังหวะเครื่องยนต์ขนาด 125 cc</t>
        </is>
      </c>
      <c r="K104" s="410" t="inlineStr">
        <is>
          <t>แก๊สโซฮอล์ 91</t>
        </is>
      </c>
      <c r="L104" s="396" t="n">
        <v>2</v>
      </c>
      <c r="M104" s="589" t="n"/>
      <c r="N104" s="257">
        <f>'[2]1.4 Septic'!$F$16</f>
        <v/>
      </c>
      <c r="O104" s="257">
        <f>$G$492</f>
        <v/>
      </c>
      <c r="P104" s="258" t="n"/>
      <c r="Q104" s="1731">
        <f>H104*2*L104*N104/O104</f>
        <v/>
      </c>
    </row>
    <row r="105" ht="18" customHeight="1">
      <c r="A105" s="396">
        <f>+A104+1</f>
        <v/>
      </c>
      <c r="B105" s="396" t="n">
        <v>520566</v>
      </c>
      <c r="C105" s="369" t="inlineStr">
        <is>
          <t>ชีพ พิศจาร</t>
        </is>
      </c>
      <c r="D105" s="369" t="inlineStr">
        <is>
          <t>ชาย</t>
        </is>
      </c>
      <c r="E105" s="369" t="inlineStr">
        <is>
          <t>รายเดือน</t>
        </is>
      </c>
      <c r="F105" s="369" t="inlineStr">
        <is>
          <t>ไทย</t>
        </is>
      </c>
      <c r="G105" s="369" t="inlineStr">
        <is>
          <t>การเคหะแหลมฉบัง 180/012 ม.6 ต.บางละมุง อ.บางละมุง จ.ชลบุรี 20150</t>
        </is>
      </c>
      <c r="H105" s="396" t="n">
        <v>13</v>
      </c>
      <c r="I105" s="369" t="n"/>
      <c r="J105" s="369" t="inlineStr">
        <is>
          <t>รถกระบะบรรทุก</t>
        </is>
      </c>
      <c r="K105" s="410" t="inlineStr">
        <is>
          <t>ดีเซล</t>
        </is>
      </c>
      <c r="L105" s="396" t="n">
        <v>2</v>
      </c>
      <c r="M105" s="589" t="n"/>
      <c r="N105" s="257">
        <f>'[2]1.4 Septic'!$F$16</f>
        <v/>
      </c>
      <c r="O105" s="257" t="n">
        <v>6.369</v>
      </c>
      <c r="P105" s="1731">
        <f>H105*2*L105*N105/O105</f>
        <v/>
      </c>
      <c r="Q105" s="258" t="n"/>
    </row>
    <row r="106" ht="18" customHeight="1">
      <c r="A106" s="396">
        <f>+A105+1</f>
        <v/>
      </c>
      <c r="B106" s="396" t="n">
        <v>520567</v>
      </c>
      <c r="C106" s="369" t="inlineStr">
        <is>
          <t>ปัญญา ทวยมาตร</t>
        </is>
      </c>
      <c r="D106" s="369" t="inlineStr">
        <is>
          <t>ชาย</t>
        </is>
      </c>
      <c r="E106" s="369" t="inlineStr">
        <is>
          <t>รายเดือน</t>
        </is>
      </c>
      <c r="F106" s="369" t="inlineStr">
        <is>
          <t>ไทย</t>
        </is>
      </c>
      <c r="G106" s="369" t="inlineStr">
        <is>
          <t>218/166 ม.6 ต.บางละมุง อ.บางละมุง จ.ชลบุรี 20150</t>
        </is>
      </c>
      <c r="H106" s="396" t="n">
        <v>5</v>
      </c>
      <c r="I106" s="369" t="n"/>
      <c r="J106" s="369" t="inlineStr">
        <is>
          <t>รถกระบะบรรทุก</t>
        </is>
      </c>
      <c r="K106" s="410" t="inlineStr">
        <is>
          <t>ดีเซล</t>
        </is>
      </c>
      <c r="L106" s="396" t="n">
        <v>2</v>
      </c>
      <c r="M106" s="589" t="n"/>
      <c r="N106" s="257">
        <f>'[2]1.4 Septic'!$F$16</f>
        <v/>
      </c>
      <c r="O106" s="257" t="n">
        <v>6.369</v>
      </c>
      <c r="P106" s="1731">
        <f>H106*2*L106*N106/O106</f>
        <v/>
      </c>
      <c r="Q106" s="258" t="n"/>
    </row>
    <row r="107" ht="18" customHeight="1">
      <c r="A107" s="396">
        <f>+A106+1</f>
        <v/>
      </c>
      <c r="B107" s="396" t="n">
        <v>520568</v>
      </c>
      <c r="C107" s="369" t="inlineStr">
        <is>
          <t>วันชัย เตนากุล</t>
        </is>
      </c>
      <c r="D107" s="369" t="inlineStr">
        <is>
          <t>ชาย</t>
        </is>
      </c>
      <c r="E107" s="369" t="inlineStr">
        <is>
          <t>รายเดือน</t>
        </is>
      </c>
      <c r="F107" s="369" t="inlineStr">
        <is>
          <t>ไทย</t>
        </is>
      </c>
      <c r="G107" s="369" t="inlineStr">
        <is>
          <t>อ่าวอุดม ซ.ไพเราะ ต.ทุ่งสุขลา อ.ศรีราชา จ.ชลบุรี 20230</t>
        </is>
      </c>
      <c r="H107" s="396" t="n">
        <v>7</v>
      </c>
      <c r="I107" s="369" t="n"/>
      <c r="J107" s="369" t="inlineStr">
        <is>
          <t>รถจักรยานยนต์ 2 จังหวะเครื่องยนต์ขนาด 150cc</t>
        </is>
      </c>
      <c r="K107" s="410" t="inlineStr">
        <is>
          <t>แก๊สโซฮอล์ 95</t>
        </is>
      </c>
      <c r="L107" s="396" t="n">
        <v>1</v>
      </c>
      <c r="M107" s="589" t="n"/>
      <c r="N107" s="257">
        <f>'[2]1.4 Septic'!$F$16</f>
        <v/>
      </c>
      <c r="O107" s="1754">
        <f>$G$491</f>
        <v/>
      </c>
      <c r="P107" s="258" t="n"/>
      <c r="Q107" s="1731">
        <f>H107*2*L107*N107/O107</f>
        <v/>
      </c>
    </row>
    <row r="108" ht="18" customHeight="1">
      <c r="A108" s="396">
        <f>+A107+1</f>
        <v/>
      </c>
      <c r="B108" s="396" t="n">
        <v>520569</v>
      </c>
      <c r="C108" s="369" t="inlineStr">
        <is>
          <t>ประสิทธิ์ บุตรพรม</t>
        </is>
      </c>
      <c r="D108" s="369" t="inlineStr">
        <is>
          <t>ชาย</t>
        </is>
      </c>
      <c r="E108" s="369" t="inlineStr">
        <is>
          <t>รายเดือน</t>
        </is>
      </c>
      <c r="F108" s="369" t="inlineStr">
        <is>
          <t>ไทย</t>
        </is>
      </c>
      <c r="G108" s="369" t="inlineStr">
        <is>
          <t>179/206 การเคหะแห่งชาติ ต.บางละมุง อ.บางละมุง จ.ชลบุรี 20150</t>
        </is>
      </c>
      <c r="H108" s="396" t="n">
        <v>7</v>
      </c>
      <c r="I108" s="369" t="n"/>
      <c r="J108" s="369" t="inlineStr">
        <is>
          <t>รถจักรยานยนต์ 4 จังหวะเครื่องยนต์ขนาดเล็กกว่า 125 cc</t>
        </is>
      </c>
      <c r="K108" s="410" t="inlineStr">
        <is>
          <t>แก๊สโซฮอล์ 95</t>
        </is>
      </c>
      <c r="L108" s="396" t="n">
        <v>1</v>
      </c>
      <c r="M108" s="589" t="n"/>
      <c r="N108" s="257">
        <f>'[2]1.4 Septic'!$F$16</f>
        <v/>
      </c>
      <c r="O108" s="257">
        <f>$G$492</f>
        <v/>
      </c>
      <c r="P108" s="258" t="n"/>
      <c r="Q108" s="1731">
        <f>H108*2*L108*N108/O108</f>
        <v/>
      </c>
    </row>
    <row r="109" ht="18" customHeight="1">
      <c r="A109" s="396">
        <f>+A108+1</f>
        <v/>
      </c>
      <c r="B109" s="396" t="n">
        <v>520585</v>
      </c>
      <c r="C109" s="369" t="inlineStr">
        <is>
          <t>กานต์ธิดา อิ่มอารมณ์</t>
        </is>
      </c>
      <c r="D109" s="369" t="inlineStr">
        <is>
          <t>หญิง</t>
        </is>
      </c>
      <c r="E109" s="369" t="inlineStr">
        <is>
          <t>รายเดือน</t>
        </is>
      </c>
      <c r="F109" s="369" t="inlineStr">
        <is>
          <t>ไทย</t>
        </is>
      </c>
      <c r="G109" s="369" t="inlineStr">
        <is>
          <t>56/127 ม.5 ต.บึง อ.ศรีราชา จ.ชลบุรี 20230</t>
        </is>
      </c>
      <c r="H109" s="396" t="n">
        <v>12</v>
      </c>
      <c r="I109" s="369" t="n"/>
      <c r="J109" s="369" t="inlineStr">
        <is>
          <t>รถยนต์ขนาดเล็ก (1500 cc)</t>
        </is>
      </c>
      <c r="K109" s="410" t="inlineStr">
        <is>
          <t>แก๊สโซฮอล์ 95</t>
        </is>
      </c>
      <c r="L109" s="396" t="n">
        <v>1</v>
      </c>
      <c r="M109" s="589" t="n"/>
      <c r="N109" s="257">
        <f>'[2]1.4 Septic'!$F$16</f>
        <v/>
      </c>
      <c r="O109" s="257">
        <f>$G$498</f>
        <v/>
      </c>
      <c r="P109" s="258" t="n"/>
      <c r="Q109" s="1731">
        <f>H109*2*L109*N109/O109</f>
        <v/>
      </c>
    </row>
    <row r="110" ht="18" customHeight="1">
      <c r="A110" s="396">
        <f>+A109+1</f>
        <v/>
      </c>
      <c r="B110" s="396" t="n">
        <v>530594</v>
      </c>
      <c r="C110" s="369" t="inlineStr">
        <is>
          <t>ชลลดา จันพูล</t>
        </is>
      </c>
      <c r="D110" s="369" t="inlineStr">
        <is>
          <t>หญิง</t>
        </is>
      </c>
      <c r="E110" s="369" t="inlineStr">
        <is>
          <t>รายเดือน</t>
        </is>
      </c>
      <c r="F110" s="369" t="inlineStr">
        <is>
          <t>ไทย</t>
        </is>
      </c>
      <c r="G110" s="369" t="inlineStr">
        <is>
          <t>162 ม.5 ต.บางละมุง อ.บางละมุง จ.ชลบุรี 20150</t>
        </is>
      </c>
      <c r="H110" s="396" t="n">
        <v>5</v>
      </c>
      <c r="I110" s="369" t="n"/>
      <c r="J110" s="369" t="inlineStr">
        <is>
          <t>รถจักรยานยนต์ 2 จังหวะเครื่องยนต์ขนาด 150cc</t>
        </is>
      </c>
      <c r="K110" s="410" t="inlineStr">
        <is>
          <t>แก๊สโซฮอล์ 91</t>
        </is>
      </c>
      <c r="L110" s="396" t="n">
        <v>2</v>
      </c>
      <c r="M110" s="589" t="n"/>
      <c r="N110" s="257">
        <f>'[2]1.4 Septic'!$F$16</f>
        <v/>
      </c>
      <c r="O110" s="1754">
        <f>$G$491</f>
        <v/>
      </c>
      <c r="P110" s="258" t="n"/>
      <c r="Q110" s="1731">
        <f>H110*2*L110*N110/O110</f>
        <v/>
      </c>
    </row>
    <row r="111" ht="18" customHeight="1">
      <c r="A111" s="396">
        <f>+A110+1</f>
        <v/>
      </c>
      <c r="B111" s="396" t="n">
        <v>530606</v>
      </c>
      <c r="C111" s="369" t="inlineStr">
        <is>
          <t>เรณู ชูขึ้น</t>
        </is>
      </c>
      <c r="D111" s="369" t="inlineStr">
        <is>
          <t>หญิง</t>
        </is>
      </c>
      <c r="E111" s="369" t="inlineStr">
        <is>
          <t>รายเดือน</t>
        </is>
      </c>
      <c r="F111" s="369" t="inlineStr">
        <is>
          <t>ไทย</t>
        </is>
      </c>
      <c r="G111" s="367" t="inlineStr">
        <is>
          <t>419 อิสเทิร์นคอนโด 199/1-9 ม.7 ซ.2 ต.ทุ่งสุขลา อ.ศรีราชา จ.ชลบุรี 20230</t>
        </is>
      </c>
      <c r="H111" s="396" t="n">
        <v>4.1</v>
      </c>
      <c r="I111" s="369" t="n"/>
      <c r="J111" s="369" t="inlineStr">
        <is>
          <t>รถยนต์เฉลี่ยทุกขนาด</t>
        </is>
      </c>
      <c r="K111" s="410" t="inlineStr">
        <is>
          <t>แก๊สโซฮอล์ E20</t>
        </is>
      </c>
      <c r="L111" s="396" t="n">
        <v>1</v>
      </c>
      <c r="M111" s="589" t="n"/>
      <c r="N111" s="257">
        <f>'[2]1.4 Septic'!$F$16</f>
        <v/>
      </c>
      <c r="O111" s="257">
        <f>$G$487</f>
        <v/>
      </c>
      <c r="P111" s="258" t="n"/>
      <c r="Q111" s="1731">
        <f>H111*2*L111*N111/O111</f>
        <v/>
      </c>
    </row>
    <row r="112" ht="18" customHeight="1">
      <c r="A112" s="396">
        <f>+A111+1</f>
        <v/>
      </c>
      <c r="B112" s="396" t="n">
        <v>530616</v>
      </c>
      <c r="C112" s="369" t="inlineStr">
        <is>
          <t>ศุภลักษณ์ มาลาศรี</t>
        </is>
      </c>
      <c r="D112" s="369" t="inlineStr">
        <is>
          <t>หญิง</t>
        </is>
      </c>
      <c r="E112" s="369" t="inlineStr">
        <is>
          <t>รายเดือน</t>
        </is>
      </c>
      <c r="F112" s="369" t="inlineStr">
        <is>
          <t>ไทย</t>
        </is>
      </c>
      <c r="G112" s="367" t="inlineStr">
        <is>
          <t>หอพักแสงจันทร์  288 ต.หนองขาม อ.ศรีราชา ชลบุรี 20230</t>
        </is>
      </c>
      <c r="H112" s="396" t="n">
        <v>8</v>
      </c>
      <c r="I112" s="369" t="n"/>
      <c r="J112" s="369" t="inlineStr">
        <is>
          <t>รถจักรยานยนต์ 4 จังหวะเครื่องยนต์ขนาดเล็กกว่า 125 cc</t>
        </is>
      </c>
      <c r="K112" s="410" t="inlineStr">
        <is>
          <t>เบนซิน</t>
        </is>
      </c>
      <c r="L112" s="396" t="n">
        <v>1</v>
      </c>
      <c r="M112" s="589" t="n"/>
      <c r="N112" s="257">
        <f>'[2]1.4 Septic'!$F$16</f>
        <v/>
      </c>
      <c r="O112" s="257">
        <f>$G$492</f>
        <v/>
      </c>
      <c r="P112" s="258" t="n"/>
      <c r="Q112" s="1731">
        <f>H112*2*L112*N112/O112</f>
        <v/>
      </c>
    </row>
    <row r="113" ht="18" customHeight="1">
      <c r="A113" s="396">
        <f>+A112+1</f>
        <v/>
      </c>
      <c r="B113" s="396" t="n">
        <v>530633</v>
      </c>
      <c r="C113" s="369" t="inlineStr">
        <is>
          <t>ยุรนันท์ พันธุ์ดำหริ</t>
        </is>
      </c>
      <c r="D113" s="369" t="inlineStr">
        <is>
          <t>ชาย</t>
        </is>
      </c>
      <c r="E113" s="369" t="inlineStr">
        <is>
          <t>รายเดือน</t>
        </is>
      </c>
      <c r="F113" s="369" t="inlineStr">
        <is>
          <t>ไทย</t>
        </is>
      </c>
      <c r="G113" s="369" t="inlineStr">
        <is>
          <t>34/2 ม.9 ต.บางละมุง อ.บางละมุง จ.ชลบุรี 20150</t>
        </is>
      </c>
      <c r="H113" s="396" t="n">
        <v>7</v>
      </c>
      <c r="I113" s="369" t="n"/>
      <c r="J113" s="369" t="inlineStr">
        <is>
          <t>รถจักรยานยนต์ 2 จังหวะเครื่องยนต์ขนาด 120cc</t>
        </is>
      </c>
      <c r="K113" s="410" t="inlineStr">
        <is>
          <t>แก๊สโซฮอล์ 95</t>
        </is>
      </c>
      <c r="L113" s="396" t="n">
        <v>1</v>
      </c>
      <c r="M113" s="589" t="n"/>
      <c r="N113" s="257">
        <f>'[2]1.4 Septic'!$F$16</f>
        <v/>
      </c>
      <c r="O113" s="1754">
        <f>$G$491</f>
        <v/>
      </c>
      <c r="P113" s="258" t="n"/>
      <c r="Q113" s="1731">
        <f>H113*2*L113*N113/O113</f>
        <v/>
      </c>
    </row>
    <row r="114" ht="18" customHeight="1">
      <c r="A114" s="396">
        <f>+A113+1</f>
        <v/>
      </c>
      <c r="B114" s="396" t="n">
        <v>530644</v>
      </c>
      <c r="C114" s="369" t="inlineStr">
        <is>
          <t>จินตกัญญา คณะวาปี</t>
        </is>
      </c>
      <c r="D114" s="369" t="inlineStr">
        <is>
          <t>หญิง</t>
        </is>
      </c>
      <c r="E114" s="369" t="inlineStr">
        <is>
          <t>รายเดือน</t>
        </is>
      </c>
      <c r="F114" s="369" t="inlineStr">
        <is>
          <t>ไทย</t>
        </is>
      </c>
      <c r="G114" s="369" t="inlineStr">
        <is>
          <t>158/79 หมู่ที่ 12 ต.ทุ่งสุขลา อ.ศรีราชา จ.ชลบุรี 20230</t>
        </is>
      </c>
      <c r="H114" s="396" t="n">
        <v>8</v>
      </c>
      <c r="I114" s="369" t="n"/>
      <c r="J114" s="369" t="inlineStr">
        <is>
          <t>รถจักรยานยนต์ 4 จังหวะเครื่องยนต์ขนาดเล็กกว่า 125 cc</t>
        </is>
      </c>
      <c r="K114" s="410" t="inlineStr">
        <is>
          <t>แก๊สโซฮอล์ 91</t>
        </is>
      </c>
      <c r="L114" s="396" t="n">
        <v>1</v>
      </c>
      <c r="M114" s="589" t="n"/>
      <c r="N114" s="257">
        <f>'[2]1.4 Septic'!$F$16</f>
        <v/>
      </c>
      <c r="O114" s="257">
        <f>$G$492</f>
        <v/>
      </c>
      <c r="P114" s="258" t="n"/>
      <c r="Q114" s="1731">
        <f>H114*2*L114*N114/O114</f>
        <v/>
      </c>
    </row>
    <row r="115" ht="18" customHeight="1">
      <c r="A115" s="396">
        <f>+A114+1</f>
        <v/>
      </c>
      <c r="B115" s="396" t="n">
        <v>530651</v>
      </c>
      <c r="C115" s="369" t="inlineStr">
        <is>
          <t>เสถียร กาลเขว้า</t>
        </is>
      </c>
      <c r="D115" s="369" t="inlineStr">
        <is>
          <t>ชาย</t>
        </is>
      </c>
      <c r="E115" s="369" t="inlineStr">
        <is>
          <t>รายเดือน</t>
        </is>
      </c>
      <c r="F115" s="369" t="inlineStr">
        <is>
          <t>ไทย</t>
        </is>
      </c>
      <c r="G115" s="367" t="inlineStr">
        <is>
          <t>การเคหะแหลมฉบัง  ม.6 ต.บางละมุง อ.บางละมุง จ.ชลบุรี</t>
        </is>
      </c>
      <c r="H115" s="396" t="n">
        <v>7</v>
      </c>
      <c r="I115" s="369" t="n"/>
      <c r="J115" s="369" t="inlineStr">
        <is>
          <t>รถจักรยานยนต์ 4 จังหวะเครื่องยนต์ขนาด 125 cc</t>
        </is>
      </c>
      <c r="K115" s="410" t="inlineStr">
        <is>
          <t>แก๊สโซฮอล์ 95</t>
        </is>
      </c>
      <c r="L115" s="396" t="n">
        <v>2</v>
      </c>
      <c r="M115" s="589" t="n"/>
      <c r="N115" s="257">
        <f>'[2]1.4 Septic'!$F$16</f>
        <v/>
      </c>
      <c r="O115" s="257">
        <f>$G$492</f>
        <v/>
      </c>
      <c r="P115" s="258" t="n"/>
      <c r="Q115" s="1731">
        <f>H115*2*L115*N115/O115</f>
        <v/>
      </c>
    </row>
    <row r="116" ht="18" customHeight="1">
      <c r="A116" s="396">
        <f>+A115+1</f>
        <v/>
      </c>
      <c r="B116" s="396" t="n">
        <v>530663</v>
      </c>
      <c r="C116" s="369" t="inlineStr">
        <is>
          <t>สุธีร์ เรืองฤทธิ์</t>
        </is>
      </c>
      <c r="D116" s="369" t="inlineStr">
        <is>
          <t>ชาย</t>
        </is>
      </c>
      <c r="E116" s="369" t="inlineStr">
        <is>
          <t>รายเดือน</t>
        </is>
      </c>
      <c r="F116" s="369" t="inlineStr">
        <is>
          <t>ไทย</t>
        </is>
      </c>
      <c r="G116" s="369" t="inlineStr">
        <is>
          <t>213/62 ม.6 ต.บางละมุง อ.บางละมุง จ.ชลบุรี 20150</t>
        </is>
      </c>
      <c r="H116" s="396" t="n">
        <v>4</v>
      </c>
      <c r="I116" s="369" t="n"/>
      <c r="J116" s="369" t="inlineStr">
        <is>
          <t>รถจักรยานยนต์ 4 จังหวะเครื่องยนต์ขนาดเล็กกว่า 125 cc</t>
        </is>
      </c>
      <c r="K116" s="410" t="inlineStr">
        <is>
          <t>แก๊สโซฮอล์ 95</t>
        </is>
      </c>
      <c r="L116" s="396" t="n">
        <v>1</v>
      </c>
      <c r="M116" s="589" t="n"/>
      <c r="N116" s="257">
        <f>'[2]1.4 Septic'!$F$16</f>
        <v/>
      </c>
      <c r="O116" s="257">
        <f>$G$492</f>
        <v/>
      </c>
      <c r="P116" s="258" t="n"/>
      <c r="Q116" s="1731">
        <f>H116*2*L116*N116/O116</f>
        <v/>
      </c>
    </row>
    <row r="117" ht="18" customHeight="1">
      <c r="A117" s="396">
        <f>+A116+1</f>
        <v/>
      </c>
      <c r="B117" s="396" t="n">
        <v>530682</v>
      </c>
      <c r="C117" s="369" t="inlineStr">
        <is>
          <t>นิยม นาคาแก้ว</t>
        </is>
      </c>
      <c r="D117" s="369" t="inlineStr">
        <is>
          <t>ชาย</t>
        </is>
      </c>
      <c r="E117" s="369" t="inlineStr">
        <is>
          <t>รายเดือน</t>
        </is>
      </c>
      <c r="F117" s="369" t="inlineStr">
        <is>
          <t>ไทย</t>
        </is>
      </c>
      <c r="G117" s="369" t="inlineStr">
        <is>
          <t>15/101-102 ม.4 ต.สุรศักดิ์ อ.สรีราชา จ.ชลบุรี 20230</t>
        </is>
      </c>
      <c r="H117" s="396" t="n">
        <v>10</v>
      </c>
      <c r="I117" s="369" t="n"/>
      <c r="J117" s="369" t="inlineStr">
        <is>
          <t>รถกระบะบรรทุก</t>
        </is>
      </c>
      <c r="K117" s="410" t="inlineStr">
        <is>
          <t>ดีเซล</t>
        </is>
      </c>
      <c r="L117" s="396" t="n">
        <v>1</v>
      </c>
      <c r="M117" s="589" t="n"/>
      <c r="N117" s="257">
        <f>'[2]1.4 Septic'!$F$16</f>
        <v/>
      </c>
      <c r="O117" s="257" t="n">
        <v>6.369</v>
      </c>
      <c r="P117" s="1731">
        <f>H117*2*L117*N117/O117</f>
        <v/>
      </c>
      <c r="Q117" s="258" t="n"/>
    </row>
    <row r="118" ht="18" customHeight="1">
      <c r="A118" s="396">
        <f>+A117+1</f>
        <v/>
      </c>
      <c r="B118" s="396" t="n">
        <v>530687</v>
      </c>
      <c r="C118" s="369" t="inlineStr">
        <is>
          <t>ลำไพร พระไตรยะ</t>
        </is>
      </c>
      <c r="D118" s="369" t="inlineStr">
        <is>
          <t>ชาย</t>
        </is>
      </c>
      <c r="E118" s="369" t="inlineStr">
        <is>
          <t>รายเดือน</t>
        </is>
      </c>
      <c r="F118" s="369" t="inlineStr">
        <is>
          <t>ไทย</t>
        </is>
      </c>
      <c r="G118" s="369" t="inlineStr">
        <is>
          <t>217/52 เคหะแหลมฉบัง ม.6 ต.บางละมุง อ.ศรีราชา จ.ชลบุรี 20150</t>
        </is>
      </c>
      <c r="H118" s="396" t="n">
        <v>9</v>
      </c>
      <c r="I118" s="369" t="n"/>
      <c r="J118" s="369" t="inlineStr">
        <is>
          <t>รถจักรยานยนต์ 4 จังหวะเครื่องยนต์ขนาด 125 cc</t>
        </is>
      </c>
      <c r="K118" s="410" t="inlineStr">
        <is>
          <t>แก๊สโซฮอล์ 91</t>
        </is>
      </c>
      <c r="L118" s="396" t="n">
        <v>2</v>
      </c>
      <c r="M118" s="589" t="n"/>
      <c r="N118" s="257">
        <f>'[2]1.4 Septic'!$F$16</f>
        <v/>
      </c>
      <c r="O118" s="257">
        <f>$G$492</f>
        <v/>
      </c>
      <c r="P118" s="258" t="n"/>
      <c r="Q118" s="1731">
        <f>H118*2*L118*N118/O118</f>
        <v/>
      </c>
    </row>
    <row r="119" ht="18" customHeight="1">
      <c r="A119" s="396">
        <f>+A118+1</f>
        <v/>
      </c>
      <c r="B119" s="396" t="n">
        <v>530713</v>
      </c>
      <c r="C119" s="369" t="inlineStr">
        <is>
          <t>จินดา ลายทอง</t>
        </is>
      </c>
      <c r="D119" s="369" t="inlineStr">
        <is>
          <t>หญิง</t>
        </is>
      </c>
      <c r="E119" s="369" t="inlineStr">
        <is>
          <t>รายเดือน</t>
        </is>
      </c>
      <c r="F119" s="369" t="inlineStr">
        <is>
          <t>ไทย</t>
        </is>
      </c>
      <c r="G119" s="369" t="inlineStr">
        <is>
          <t>213/42 ม.6 การเคหะชุมชน ต.บางละมุง อ.บางละมุง จ.ชลบุรี 20150</t>
        </is>
      </c>
      <c r="H119" s="396" t="n">
        <v>3</v>
      </c>
      <c r="I119" s="369" t="n"/>
      <c r="J119" s="369" t="inlineStr">
        <is>
          <t>รถจักรยานยนต์ 4 จังหวะเครื่องยนต์ขนาด 125 cc</t>
        </is>
      </c>
      <c r="K119" s="410" t="inlineStr">
        <is>
          <t>แก๊สโซฮอล์ 91</t>
        </is>
      </c>
      <c r="L119" s="396" t="n">
        <v>2</v>
      </c>
      <c r="M119" s="589" t="n"/>
      <c r="N119" s="257">
        <f>'[2]1.4 Septic'!$F$16</f>
        <v/>
      </c>
      <c r="O119" s="257">
        <f>$G$492</f>
        <v/>
      </c>
      <c r="P119" s="258" t="n"/>
      <c r="Q119" s="1731">
        <f>H119*2*L119*N119/O119</f>
        <v/>
      </c>
    </row>
    <row r="120" ht="18" customHeight="1">
      <c r="A120" s="396">
        <f>+A119+1</f>
        <v/>
      </c>
      <c r="B120" s="396" t="n">
        <v>530724</v>
      </c>
      <c r="C120" s="369" t="inlineStr">
        <is>
          <t>มณีรัตน์ กันนุฬา</t>
        </is>
      </c>
      <c r="D120" s="369" t="inlineStr">
        <is>
          <t>หญิง</t>
        </is>
      </c>
      <c r="E120" s="369" t="inlineStr">
        <is>
          <t>รายเดือน</t>
        </is>
      </c>
      <c r="F120" s="369" t="inlineStr">
        <is>
          <t>ไทย</t>
        </is>
      </c>
      <c r="G120" s="369" t="inlineStr">
        <is>
          <t>89/3 ม.7 ต.บางละมุง อ.บางละมุง จ.ชลบุรี 20150</t>
        </is>
      </c>
      <c r="H120" s="396" t="n">
        <v>10</v>
      </c>
      <c r="I120" s="369" t="n"/>
      <c r="J120" s="369" t="inlineStr">
        <is>
          <t>รถจักรยานยนต์ 4 จังหวะเครื่องยนต์ขนาด 125 cc</t>
        </is>
      </c>
      <c r="K120" s="410" t="inlineStr">
        <is>
          <t>แก๊สโซฮอล์ 95</t>
        </is>
      </c>
      <c r="L120" s="396" t="n">
        <v>1</v>
      </c>
      <c r="M120" s="589" t="n"/>
      <c r="N120" s="257">
        <f>'[2]1.4 Septic'!$F$16</f>
        <v/>
      </c>
      <c r="O120" s="257">
        <f>$G$492</f>
        <v/>
      </c>
      <c r="P120" s="258" t="n"/>
      <c r="Q120" s="1731">
        <f>H120*2*L120*N120/O120</f>
        <v/>
      </c>
    </row>
    <row r="121" ht="18" customHeight="1">
      <c r="A121" s="396">
        <f>+A120+1</f>
        <v/>
      </c>
      <c r="B121" s="396" t="n">
        <v>530726</v>
      </c>
      <c r="C121" s="369" t="inlineStr">
        <is>
          <t>สายชล ด้วงประเสริฐ</t>
        </is>
      </c>
      <c r="D121" s="369" t="inlineStr">
        <is>
          <t>ชาย</t>
        </is>
      </c>
      <c r="E121" s="369" t="inlineStr">
        <is>
          <t>รายเดือน</t>
        </is>
      </c>
      <c r="F121" s="369" t="inlineStr">
        <is>
          <t>ไทย</t>
        </is>
      </c>
      <c r="G121" s="369" t="inlineStr">
        <is>
          <t>137/1 ม.1 ต.บางพระ อ.เมือง จ.ชลบุรี 20130</t>
        </is>
      </c>
      <c r="H121" s="396" t="n">
        <v>25</v>
      </c>
      <c r="I121" s="369" t="n"/>
      <c r="J121" s="369" t="inlineStr">
        <is>
          <t>รถยนต์ขนาดเล็ก (1500 cc)</t>
        </is>
      </c>
      <c r="K121" s="410" t="inlineStr">
        <is>
          <t>แก๊สโซฮอล์ 95</t>
        </is>
      </c>
      <c r="L121" s="396" t="n">
        <v>1</v>
      </c>
      <c r="M121" s="589" t="n"/>
      <c r="N121" s="257">
        <f>'[2]1.4 Septic'!$F$16</f>
        <v/>
      </c>
      <c r="O121" s="257">
        <f>$G$498</f>
        <v/>
      </c>
      <c r="P121" s="258" t="n"/>
      <c r="Q121" s="1731">
        <f>H121*2*L121*N121/O121</f>
        <v/>
      </c>
    </row>
    <row r="122" ht="18" customHeight="1">
      <c r="A122" s="396">
        <f>+A121+1</f>
        <v/>
      </c>
      <c r="B122" s="396" t="n">
        <v>530737</v>
      </c>
      <c r="C122" s="369" t="inlineStr">
        <is>
          <t>ทองวัน ประกอบผล</t>
        </is>
      </c>
      <c r="D122" s="369" t="inlineStr">
        <is>
          <t>หญิง</t>
        </is>
      </c>
      <c r="E122" s="369" t="inlineStr">
        <is>
          <t>รายเดือน</t>
        </is>
      </c>
      <c r="F122" s="369" t="inlineStr">
        <is>
          <t>ไทย</t>
        </is>
      </c>
      <c r="G122" s="369" t="inlineStr">
        <is>
          <t>เคหะแหลมฉบัง ตึก 20 ม.6 ต.บางละมุง อ.บางละมุง จ.ชลบุรี 20150</t>
        </is>
      </c>
      <c r="H122" s="396" t="n">
        <v>12</v>
      </c>
      <c r="I122" s="369" t="n"/>
      <c r="J122" s="369" t="inlineStr">
        <is>
          <t>รถกระบะบรรทุก</t>
        </is>
      </c>
      <c r="K122" s="410" t="inlineStr">
        <is>
          <t>ดีเซล</t>
        </is>
      </c>
      <c r="L122" s="396" t="n">
        <v>2</v>
      </c>
      <c r="M122" s="589" t="n"/>
      <c r="N122" s="257">
        <f>'[2]1.4 Septic'!$F$16</f>
        <v/>
      </c>
      <c r="O122" s="257" t="n">
        <v>6.369</v>
      </c>
      <c r="P122" s="1731">
        <f>H122*2*L122*N122/O122</f>
        <v/>
      </c>
      <c r="Q122" s="258" t="n"/>
    </row>
    <row r="123" ht="18" customHeight="1">
      <c r="A123" s="396">
        <f>+A122+1</f>
        <v/>
      </c>
      <c r="B123" s="396" t="n">
        <v>530744</v>
      </c>
      <c r="C123" s="369" t="inlineStr">
        <is>
          <t>ถาวร เหิมหอม</t>
        </is>
      </c>
      <c r="D123" s="369" t="inlineStr">
        <is>
          <t>ชาย</t>
        </is>
      </c>
      <c r="E123" s="369" t="inlineStr">
        <is>
          <t>รายเดือน</t>
        </is>
      </c>
      <c r="F123" s="369" t="inlineStr">
        <is>
          <t>ไทย</t>
        </is>
      </c>
      <c r="G123" s="369" t="inlineStr">
        <is>
          <t>220/047 การเคหะแหลมฉบัง ม.6 ต.บางละมุง อ.บางละมุง จ.ชลบุรี 20150</t>
        </is>
      </c>
      <c r="H123" s="396" t="n">
        <v>7</v>
      </c>
      <c r="I123" s="369" t="n"/>
      <c r="J123" s="369" t="inlineStr">
        <is>
          <t>รถจักรยานยนต์ 4 จังหวะเครื่องยนต์ขนาดเล็กกว่า 125 cc</t>
        </is>
      </c>
      <c r="K123" s="410" t="inlineStr">
        <is>
          <t>แก๊สโซฮอล์ 95</t>
        </is>
      </c>
      <c r="L123" s="396" t="n">
        <v>1</v>
      </c>
      <c r="M123" s="589" t="n"/>
      <c r="N123" s="257">
        <f>'[2]1.4 Septic'!$F$16</f>
        <v/>
      </c>
      <c r="O123" s="257">
        <f>$G$492</f>
        <v/>
      </c>
      <c r="P123" s="258" t="n"/>
      <c r="Q123" s="1731">
        <f>H123*2*L123*N123/O123</f>
        <v/>
      </c>
    </row>
    <row r="124" ht="18" customHeight="1">
      <c r="A124" s="396">
        <f>+A123+1</f>
        <v/>
      </c>
      <c r="B124" s="396" t="n">
        <v>530745</v>
      </c>
      <c r="C124" s="369" t="inlineStr">
        <is>
          <t>อรัญญา บุ่งอุทุม</t>
        </is>
      </c>
      <c r="D124" s="369" t="inlineStr">
        <is>
          <t>หญิง</t>
        </is>
      </c>
      <c r="E124" s="369" t="inlineStr">
        <is>
          <t>รายเดือน</t>
        </is>
      </c>
      <c r="F124" s="369" t="inlineStr">
        <is>
          <t>ไทย</t>
        </is>
      </c>
      <c r="G124" s="369" t="inlineStr">
        <is>
          <t>158/3 ม.8 ต.บางละมุง อ.บางละมุง จ.ชลบุรี 20150</t>
        </is>
      </c>
      <c r="H124" s="396" t="n">
        <v>4</v>
      </c>
      <c r="I124" s="369" t="n"/>
      <c r="J124" s="369" t="inlineStr">
        <is>
          <t>รถจักรยานยนต์ 4 จังหวะเครื่องยนต์ขนาด 125 cc</t>
        </is>
      </c>
      <c r="K124" s="410" t="inlineStr">
        <is>
          <t>แก๊สโซฮอล์ 95</t>
        </is>
      </c>
      <c r="L124" s="396" t="n">
        <v>1</v>
      </c>
      <c r="M124" s="589" t="n"/>
      <c r="N124" s="257">
        <f>'[2]1.4 Septic'!$F$16</f>
        <v/>
      </c>
      <c r="O124" s="257">
        <f>$G$492</f>
        <v/>
      </c>
      <c r="P124" s="258" t="n"/>
      <c r="Q124" s="1731">
        <f>H124*2*L124*N124/O124</f>
        <v/>
      </c>
    </row>
    <row r="125" ht="18" customHeight="1">
      <c r="A125" s="396">
        <f>+A124+1</f>
        <v/>
      </c>
      <c r="B125" s="396" t="n">
        <v>530749</v>
      </c>
      <c r="C125" s="369" t="inlineStr">
        <is>
          <t>สงคราม ธิวะโต</t>
        </is>
      </c>
      <c r="D125" s="369" t="inlineStr">
        <is>
          <t>ชาย</t>
        </is>
      </c>
      <c r="E125" s="369" t="inlineStr">
        <is>
          <t>รายเดือน</t>
        </is>
      </c>
      <c r="F125" s="369" t="inlineStr">
        <is>
          <t>ไทย</t>
        </is>
      </c>
      <c r="G125" s="367" t="inlineStr">
        <is>
          <t>การเคหะแหลมฉบัง  ม.6 ต.บางละมุง อ.บางละมุง จ.ชลบุรี</t>
        </is>
      </c>
      <c r="H125" s="396" t="n">
        <v>14</v>
      </c>
      <c r="I125" s="369" t="n"/>
      <c r="J125" s="369" t="inlineStr">
        <is>
          <t>รถจักรยานยนต์ 4 จังหวะเครื่องยนต์ขนาดเล็กกว่า 125 cc</t>
        </is>
      </c>
      <c r="K125" s="410" t="inlineStr">
        <is>
          <t>แก๊สโซฮอล์ 91</t>
        </is>
      </c>
      <c r="L125" s="396" t="n">
        <v>1</v>
      </c>
      <c r="M125" s="589" t="n"/>
      <c r="N125" s="257">
        <f>'[2]1.4 Septic'!$F$16</f>
        <v/>
      </c>
      <c r="O125" s="257">
        <f>$G$492</f>
        <v/>
      </c>
      <c r="P125" s="258" t="n"/>
      <c r="Q125" s="1731">
        <f>H125*2*L125*N125/O125</f>
        <v/>
      </c>
    </row>
    <row r="126" ht="18" customHeight="1">
      <c r="A126" s="396">
        <f>+A125+1</f>
        <v/>
      </c>
      <c r="B126" s="396" t="n">
        <v>530769</v>
      </c>
      <c r="C126" s="369" t="inlineStr">
        <is>
          <t>ชาญชัย ดอนชวนชม</t>
        </is>
      </c>
      <c r="D126" s="369" t="inlineStr">
        <is>
          <t>ชาย</t>
        </is>
      </c>
      <c r="E126" s="369" t="inlineStr">
        <is>
          <t>รายเดือน</t>
        </is>
      </c>
      <c r="F126" s="369" t="inlineStr">
        <is>
          <t>ไทย</t>
        </is>
      </c>
      <c r="G126" s="367" t="inlineStr">
        <is>
          <t>การเคหะแหลมฉบัง  ม.6 ต.บางละมุง อ.บางละมุง จ.ชลบุรี</t>
        </is>
      </c>
      <c r="H126" s="396" t="n">
        <v>13</v>
      </c>
      <c r="I126" s="369" t="n"/>
      <c r="J126" s="369" t="inlineStr">
        <is>
          <t>รถจักรยานยนต์ 4 จังหวะเครื่องยนต์ขนาดเล็กกว่า 125 cc</t>
        </is>
      </c>
      <c r="K126" s="410" t="inlineStr">
        <is>
          <t>แก๊สโซฮอล์ 95</t>
        </is>
      </c>
      <c r="L126" s="396" t="n">
        <v>2</v>
      </c>
      <c r="M126" s="589" t="n"/>
      <c r="N126" s="257">
        <f>'[2]1.4 Septic'!$F$16</f>
        <v/>
      </c>
      <c r="O126" s="257">
        <f>$G$492</f>
        <v/>
      </c>
      <c r="P126" s="258" t="n"/>
      <c r="Q126" s="1731">
        <f>H126*2*L126*N126/O126</f>
        <v/>
      </c>
    </row>
    <row r="127" ht="18" customHeight="1">
      <c r="A127" s="396">
        <f>+A126+1</f>
        <v/>
      </c>
      <c r="B127" s="396" t="n">
        <v>530776</v>
      </c>
      <c r="C127" s="369" t="inlineStr">
        <is>
          <t>วิษณุ พนมเขตร</t>
        </is>
      </c>
      <c r="D127" s="369" t="inlineStr">
        <is>
          <t>ชาย</t>
        </is>
      </c>
      <c r="E127" s="369" t="inlineStr">
        <is>
          <t>รายเดือน</t>
        </is>
      </c>
      <c r="F127" s="369" t="inlineStr">
        <is>
          <t>ไทย</t>
        </is>
      </c>
      <c r="G127" s="369" t="inlineStr">
        <is>
          <t>99/12 ม.6 ถ.ทุ่งทอง ต.บางละมุง อ.บางละมุง จ.ชลบุรี 20150</t>
        </is>
      </c>
      <c r="H127" s="396" t="n">
        <v>5</v>
      </c>
      <c r="I127" s="369" t="n"/>
      <c r="J127" s="369" t="inlineStr">
        <is>
          <t>รถยนต์ขนาดกลาง (1800 cc)</t>
        </is>
      </c>
      <c r="K127" s="410" t="inlineStr">
        <is>
          <t>เบนซิน</t>
        </is>
      </c>
      <c r="L127" s="396" t="n">
        <v>2</v>
      </c>
      <c r="M127" s="589" t="n"/>
      <c r="N127" s="257">
        <f>'[2]1.4 Septic'!$F$16</f>
        <v/>
      </c>
      <c r="O127" s="257">
        <f>$G$496</f>
        <v/>
      </c>
      <c r="P127" s="258" t="n"/>
      <c r="Q127" s="1731">
        <f>H127*2*L127*N127/O127</f>
        <v/>
      </c>
    </row>
    <row r="128" ht="18" customHeight="1">
      <c r="A128" s="396">
        <f>+A127+1</f>
        <v/>
      </c>
      <c r="B128" s="396" t="n">
        <v>530777</v>
      </c>
      <c r="C128" s="369" t="inlineStr">
        <is>
          <t>อารีรัตน์ ทองแช่ม</t>
        </is>
      </c>
      <c r="D128" s="369" t="inlineStr">
        <is>
          <t>หญิง</t>
        </is>
      </c>
      <c r="E128" s="369" t="inlineStr">
        <is>
          <t>รายเดือน</t>
        </is>
      </c>
      <c r="F128" s="369" t="inlineStr">
        <is>
          <t>ไทย</t>
        </is>
      </c>
      <c r="G128" s="369" t="inlineStr">
        <is>
          <t>82 ม.6 ต.บางละมุง อ.บางละมุง จ.ชลบุรี 20150</t>
        </is>
      </c>
      <c r="H128" s="396" t="n">
        <v>3</v>
      </c>
      <c r="I128" s="369" t="n"/>
      <c r="J128" s="369" t="inlineStr">
        <is>
          <t>รถจักรยานยนต์ 4 จังหวะเครื่องยนต์ขนาดเล็กกว่า 125 cc</t>
        </is>
      </c>
      <c r="K128" s="410" t="inlineStr">
        <is>
          <t>แก๊สโซฮอล์ 91</t>
        </is>
      </c>
      <c r="L128" s="396" t="n">
        <v>2</v>
      </c>
      <c r="M128" s="589" t="n"/>
      <c r="N128" s="257">
        <f>'[2]1.4 Septic'!$F$16</f>
        <v/>
      </c>
      <c r="O128" s="257">
        <f>$G$492</f>
        <v/>
      </c>
      <c r="P128" s="258" t="n"/>
      <c r="Q128" s="1731">
        <f>H128*2*L128*N128/O128</f>
        <v/>
      </c>
    </row>
    <row r="129" ht="18" customHeight="1">
      <c r="A129" s="396">
        <f>+A128+1</f>
        <v/>
      </c>
      <c r="B129" s="396" t="n">
        <v>530784</v>
      </c>
      <c r="C129" s="369" t="inlineStr">
        <is>
          <t>ธีรพล สีหานาม</t>
        </is>
      </c>
      <c r="D129" s="369" t="inlineStr">
        <is>
          <t>ชาย</t>
        </is>
      </c>
      <c r="E129" s="369" t="inlineStr">
        <is>
          <t>รายเดือน</t>
        </is>
      </c>
      <c r="F129" s="369" t="inlineStr">
        <is>
          <t>ไทย</t>
        </is>
      </c>
      <c r="G129" s="369" t="inlineStr">
        <is>
          <t>151 ม.9 ต.ทุ่งสุขลา อ.ศรีราชา จ.ชลบุรี 20230</t>
        </is>
      </c>
      <c r="H129" s="396" t="n">
        <v>8</v>
      </c>
      <c r="I129" s="369" t="n"/>
      <c r="J129" s="369" t="inlineStr">
        <is>
          <t>รถกระบะบรรทุก</t>
        </is>
      </c>
      <c r="K129" s="410" t="inlineStr">
        <is>
          <t>ดีเซล</t>
        </is>
      </c>
      <c r="L129" s="396" t="n">
        <v>2</v>
      </c>
      <c r="M129" s="589" t="n"/>
      <c r="N129" s="257">
        <f>'[2]1.4 Septic'!$F$16</f>
        <v/>
      </c>
      <c r="O129" s="257" t="n">
        <v>6.369</v>
      </c>
      <c r="P129" s="1731">
        <f>H129*2*L129*N129/O129</f>
        <v/>
      </c>
      <c r="Q129" s="258" t="n"/>
    </row>
    <row r="130" ht="18" customHeight="1">
      <c r="A130" s="396">
        <f>+A129+1</f>
        <v/>
      </c>
      <c r="B130" s="396" t="n">
        <v>530787</v>
      </c>
      <c r="C130" s="369" t="inlineStr">
        <is>
          <t>วชิรดา พุฒตาล</t>
        </is>
      </c>
      <c r="D130" s="369" t="inlineStr">
        <is>
          <t>หญิง</t>
        </is>
      </c>
      <c r="E130" s="369" t="inlineStr">
        <is>
          <t>รายเดือน</t>
        </is>
      </c>
      <c r="F130" s="369" t="inlineStr">
        <is>
          <t>ไทย</t>
        </is>
      </c>
      <c r="G130" s="593" t="inlineStr">
        <is>
          <t>898/2 ม.9 หมู่บ้านนครในฝันเฟส 2 ต.ทุ่งสุขลา อ.ศรีราชา จ.ชลบุรี 20230</t>
        </is>
      </c>
      <c r="H130" s="396" t="n">
        <v>5</v>
      </c>
      <c r="I130" s="369" t="n"/>
      <c r="J130" s="369" t="inlineStr">
        <is>
          <t>รถจักรยานยนต์ 4 จังหวะเครื่องยนต์ขนาด 125 cc</t>
        </is>
      </c>
      <c r="K130" s="410" t="inlineStr">
        <is>
          <t>แก๊สโซฮอล์ 91</t>
        </is>
      </c>
      <c r="L130" s="396" t="n">
        <v>1</v>
      </c>
      <c r="M130" s="589" t="n"/>
      <c r="N130" s="257">
        <f>'[2]1.4 Septic'!$F$16</f>
        <v/>
      </c>
      <c r="O130" s="257">
        <f>$G$492</f>
        <v/>
      </c>
      <c r="P130" s="258" t="n"/>
      <c r="Q130" s="1731">
        <f>H130*2*L130*N130/O130</f>
        <v/>
      </c>
    </row>
    <row r="131" ht="18" customHeight="1">
      <c r="A131" s="396">
        <f>+A130+1</f>
        <v/>
      </c>
      <c r="B131" s="396" t="n">
        <v>530808</v>
      </c>
      <c r="C131" s="369" t="inlineStr">
        <is>
          <t>จิตนา แสงมาศ</t>
        </is>
      </c>
      <c r="D131" s="369" t="inlineStr">
        <is>
          <t>หญิง</t>
        </is>
      </c>
      <c r="E131" s="369" t="inlineStr">
        <is>
          <t>รายเดือน</t>
        </is>
      </c>
      <c r="F131" s="369" t="inlineStr">
        <is>
          <t>ไทย</t>
        </is>
      </c>
      <c r="G131" s="369" t="inlineStr">
        <is>
          <t>211 ม.3 ต.ท่งสุฃลา อ.ศรีราชา จ.ชลบุรี 20230</t>
        </is>
      </c>
      <c r="H131" s="396" t="n">
        <v>20</v>
      </c>
      <c r="I131" s="369" t="n"/>
      <c r="J131" s="369" t="inlineStr">
        <is>
          <t>รถจักรยานยนต์ 2 จังหวะเฉลี่ยทุกขนาด</t>
        </is>
      </c>
      <c r="K131" s="410" t="inlineStr">
        <is>
          <t>แก๊สโซฮอล์ 91</t>
        </is>
      </c>
      <c r="L131" s="396" t="n">
        <v>1</v>
      </c>
      <c r="M131" s="589" t="n"/>
      <c r="N131" s="257">
        <f>'[2]1.4 Septic'!$F$16</f>
        <v/>
      </c>
      <c r="O131" s="1754">
        <f>$G$491</f>
        <v/>
      </c>
      <c r="P131" s="258" t="n"/>
      <c r="Q131" s="1731">
        <f>H131*2*L131*N131/O131</f>
        <v/>
      </c>
    </row>
    <row r="132" ht="18" customHeight="1">
      <c r="A132" s="396">
        <f>+A131+1</f>
        <v/>
      </c>
      <c r="B132" s="396" t="n">
        <v>530817</v>
      </c>
      <c r="C132" s="369" t="inlineStr">
        <is>
          <t>สายชล บัณหาราช</t>
        </is>
      </c>
      <c r="D132" s="369" t="inlineStr">
        <is>
          <t>หญิง</t>
        </is>
      </c>
      <c r="E132" s="369" t="inlineStr">
        <is>
          <t>รายเดือน</t>
        </is>
      </c>
      <c r="F132" s="369" t="inlineStr">
        <is>
          <t>ไทย</t>
        </is>
      </c>
      <c r="G132" s="369" t="inlineStr">
        <is>
          <t>136/84 ม.วราสิริ ม.10 ต.ทุ่งสุขลา อ.ศรีราชา จ.ชลบุรี 20230</t>
        </is>
      </c>
      <c r="H132" s="396" t="n">
        <v>4</v>
      </c>
      <c r="I132" s="369" t="n"/>
      <c r="J132" s="369" t="inlineStr">
        <is>
          <t>รถจักรยานยนต์ 4 จังหวะเครื่องยนต์ขนาด 125 cc</t>
        </is>
      </c>
      <c r="K132" s="410" t="inlineStr">
        <is>
          <t>แก๊สโซฮอล์ 95</t>
        </is>
      </c>
      <c r="L132" s="396" t="n">
        <v>1</v>
      </c>
      <c r="M132" s="589" t="n"/>
      <c r="N132" s="257">
        <f>'[2]1.4 Septic'!$F$16</f>
        <v/>
      </c>
      <c r="O132" s="257">
        <f>$G$492</f>
        <v/>
      </c>
      <c r="P132" s="258" t="n"/>
      <c r="Q132" s="1731">
        <f>H132*2*L132*N132/O132</f>
        <v/>
      </c>
    </row>
    <row r="133" ht="18" customHeight="1">
      <c r="A133" s="396">
        <f>+A132+1</f>
        <v/>
      </c>
      <c r="B133" s="396" t="n">
        <v>530821</v>
      </c>
      <c r="C133" s="369" t="inlineStr">
        <is>
          <t>สุวณีย์ วงศ์ศิริศักดิ์</t>
        </is>
      </c>
      <c r="D133" s="369" t="inlineStr">
        <is>
          <t>หญิง</t>
        </is>
      </c>
      <c r="E133" s="369" t="inlineStr">
        <is>
          <t>รายเดือน</t>
        </is>
      </c>
      <c r="F133" s="369" t="inlineStr">
        <is>
          <t>ไทย</t>
        </is>
      </c>
      <c r="G133" s="369" t="inlineStr">
        <is>
          <t>20/34 ต.ทุ่งสุขลา อ.ศรีราชา จ.ชลบุรี 20230</t>
        </is>
      </c>
      <c r="H133" s="396" t="n">
        <v>6.9</v>
      </c>
      <c r="I133" s="369" t="n"/>
      <c r="J133" s="369" t="inlineStr">
        <is>
          <t>รถจักรยานยนต์ 4 จังหวะเครื่องยนต์ขนาดเล็กกว่า 125 cc</t>
        </is>
      </c>
      <c r="K133" s="410" t="inlineStr">
        <is>
          <t>แก๊สโซฮอล์ 91</t>
        </is>
      </c>
      <c r="L133" s="396" t="n">
        <v>1</v>
      </c>
      <c r="M133" s="589" t="n"/>
      <c r="N133" s="257">
        <f>'[2]1.4 Septic'!$F$16</f>
        <v/>
      </c>
      <c r="O133" s="257">
        <f>$G$492</f>
        <v/>
      </c>
      <c r="P133" s="258" t="n"/>
      <c r="Q133" s="1731">
        <f>H133*2*L133*N133/O133</f>
        <v/>
      </c>
    </row>
    <row r="134" ht="18" customHeight="1">
      <c r="A134" s="396">
        <f>+A133+1</f>
        <v/>
      </c>
      <c r="B134" s="396" t="n">
        <v>530839</v>
      </c>
      <c r="C134" s="369" t="inlineStr">
        <is>
          <t>สาวิตรี แสนสีสงฆ์</t>
        </is>
      </c>
      <c r="D134" s="369" t="inlineStr">
        <is>
          <t>หญิง</t>
        </is>
      </c>
      <c r="E134" s="369" t="inlineStr">
        <is>
          <t>รายเดือน</t>
        </is>
      </c>
      <c r="F134" s="369" t="inlineStr">
        <is>
          <t>ไทย</t>
        </is>
      </c>
      <c r="G134" s="369" t="inlineStr">
        <is>
          <t>25/2 ม.6 ต.บางละมุง อ.บางละมุง จ.ชลบุรี 20150</t>
        </is>
      </c>
      <c r="H134" s="396" t="n">
        <v>10</v>
      </c>
      <c r="I134" s="369" t="n"/>
      <c r="J134" s="369" t="inlineStr">
        <is>
          <t>รถกระบะบรรทุก</t>
        </is>
      </c>
      <c r="K134" s="410" t="inlineStr">
        <is>
          <t>ดีเซล</t>
        </is>
      </c>
      <c r="L134" s="396" t="n">
        <v>2</v>
      </c>
      <c r="M134" s="589" t="n"/>
      <c r="N134" s="257">
        <f>'[2]1.4 Septic'!$F$16</f>
        <v/>
      </c>
      <c r="O134" s="257" t="n">
        <v>6.369</v>
      </c>
      <c r="P134" s="1731">
        <f>H134*2*L134*N134/O134</f>
        <v/>
      </c>
      <c r="Q134" s="258" t="n"/>
    </row>
    <row r="135" ht="18" customHeight="1">
      <c r="A135" s="396">
        <f>+A134+1</f>
        <v/>
      </c>
      <c r="B135" s="396" t="n">
        <v>530841</v>
      </c>
      <c r="C135" s="369" t="inlineStr">
        <is>
          <t>ประภาวดี พลกูล</t>
        </is>
      </c>
      <c r="D135" s="369" t="inlineStr">
        <is>
          <t>หญิง</t>
        </is>
      </c>
      <c r="E135" s="369" t="inlineStr">
        <is>
          <t>รายเดือน</t>
        </is>
      </c>
      <c r="F135" s="369" t="inlineStr">
        <is>
          <t>ไทย</t>
        </is>
      </c>
      <c r="G135" s="369" t="inlineStr">
        <is>
          <t>11/2 หมู่ 9 ต.ทุ่งสุขลา อ.ศรีราชา จ.ชลบุรี 20230</t>
        </is>
      </c>
      <c r="H135" s="396" t="n">
        <v>5</v>
      </c>
      <c r="I135" s="369" t="n"/>
      <c r="J135" s="369" t="inlineStr">
        <is>
          <t>รถกระบะบรรทุก</t>
        </is>
      </c>
      <c r="K135" s="410" t="inlineStr">
        <is>
          <t>ดีเซล</t>
        </is>
      </c>
      <c r="L135" s="396" t="n">
        <v>1</v>
      </c>
      <c r="M135" s="589" t="n"/>
      <c r="N135" s="257">
        <f>'[2]1.4 Septic'!$F$16</f>
        <v/>
      </c>
      <c r="O135" s="257" t="n">
        <v>6.369</v>
      </c>
      <c r="P135" s="1731">
        <f>H135*2*L135*N135/O135</f>
        <v/>
      </c>
      <c r="Q135" s="258" t="n"/>
    </row>
    <row r="136" ht="18" customHeight="1">
      <c r="A136" s="396">
        <f>+A135+1</f>
        <v/>
      </c>
      <c r="B136" s="396" t="n">
        <v>530858</v>
      </c>
      <c r="C136" s="369" t="inlineStr">
        <is>
          <t>ศักดิ์ชัย โถคำนาม</t>
        </is>
      </c>
      <c r="D136" s="369" t="inlineStr">
        <is>
          <t>ชาย</t>
        </is>
      </c>
      <c r="E136" s="369" t="inlineStr">
        <is>
          <t>รายเดือน</t>
        </is>
      </c>
      <c r="F136" s="369" t="inlineStr">
        <is>
          <t>ไทย</t>
        </is>
      </c>
      <c r="G136" s="367" t="inlineStr">
        <is>
          <t>การเคหะแหลมฉบัง  ม.6 ต.บางละมุง อ.บางละมุง จ.ชลบุรี</t>
        </is>
      </c>
      <c r="H136" s="396" t="n">
        <v>7</v>
      </c>
      <c r="I136" s="369" t="n"/>
      <c r="J136" s="369" t="inlineStr">
        <is>
          <t>รถจักรยานยนต์ 4 จังหวะเครื่องยนต์ขนาดเล็กกว่า 125 cc</t>
        </is>
      </c>
      <c r="K136" s="410" t="inlineStr">
        <is>
          <t>เบนซิน</t>
        </is>
      </c>
      <c r="L136" s="396" t="n">
        <v>1</v>
      </c>
      <c r="M136" s="589" t="n"/>
      <c r="N136" s="257">
        <f>'[2]1.4 Septic'!$F$16</f>
        <v/>
      </c>
      <c r="O136" s="257">
        <f>$G$492</f>
        <v/>
      </c>
      <c r="P136" s="258" t="n"/>
      <c r="Q136" s="1731">
        <f>H136*2*L136*N136/O136</f>
        <v/>
      </c>
    </row>
    <row r="137" ht="18" customHeight="1">
      <c r="A137" s="396">
        <f>+A136+1</f>
        <v/>
      </c>
      <c r="B137" s="396" t="n">
        <v>530860</v>
      </c>
      <c r="C137" s="369" t="inlineStr">
        <is>
          <t>จันทร์เพ็ญ ฉายรมย์</t>
        </is>
      </c>
      <c r="D137" s="369" t="inlineStr">
        <is>
          <t>หญิง</t>
        </is>
      </c>
      <c r="E137" s="369" t="inlineStr">
        <is>
          <t>รายเดือน</t>
        </is>
      </c>
      <c r="F137" s="369" t="inlineStr">
        <is>
          <t>ไทย</t>
        </is>
      </c>
      <c r="G137" s="369" t="inlineStr">
        <is>
          <t>143/31 ม.8 ต.ทุ่งสุขลา อ.ศรีราชา จ.ชลบุรี 20230</t>
        </is>
      </c>
      <c r="H137" s="396" t="n">
        <v>3.4</v>
      </c>
      <c r="I137" s="369" t="n"/>
      <c r="J137" s="369" t="inlineStr">
        <is>
          <t>รถจักรยานยนต์ 4 จังหวะเครื่องยนต์ขนาด 125 cc</t>
        </is>
      </c>
      <c r="K137" s="410" t="inlineStr">
        <is>
          <t>แก๊สโซฮอล์ 91</t>
        </is>
      </c>
      <c r="L137" s="396" t="n">
        <v>1</v>
      </c>
      <c r="M137" s="589" t="n"/>
      <c r="N137" s="257">
        <f>'[2]1.4 Septic'!$F$16</f>
        <v/>
      </c>
      <c r="O137" s="257">
        <f>$G$492</f>
        <v/>
      </c>
      <c r="P137" s="258" t="n"/>
      <c r="Q137" s="1731">
        <f>H137*2*L137*N137/O137</f>
        <v/>
      </c>
    </row>
    <row r="138" ht="18" customHeight="1">
      <c r="A138" s="396">
        <f>+A137+1</f>
        <v/>
      </c>
      <c r="B138" s="396" t="n">
        <v>530863</v>
      </c>
      <c r="C138" s="369" t="inlineStr">
        <is>
          <t>วรรณลี ทะยารัมย์</t>
        </is>
      </c>
      <c r="D138" s="369" t="inlineStr">
        <is>
          <t>หญิง</t>
        </is>
      </c>
      <c r="E138" s="369" t="inlineStr">
        <is>
          <t>รายเดือน</t>
        </is>
      </c>
      <c r="F138" s="369" t="inlineStr">
        <is>
          <t>ไทย</t>
        </is>
      </c>
      <c r="G138" s="369" t="inlineStr">
        <is>
          <t>20/33 ม.6 ต.บางละมุง อ.บางละมุง จ.ชลบุรี 20150</t>
        </is>
      </c>
      <c r="H138" s="396" t="n">
        <v>3</v>
      </c>
      <c r="I138" s="369" t="n"/>
      <c r="J138" s="369" t="inlineStr">
        <is>
          <t>รถจักรยานยนต์ 2 จังหวะเครื่องยนต์ขนาด 120cc</t>
        </is>
      </c>
      <c r="K138" s="410" t="inlineStr">
        <is>
          <t>แก๊สโซฮอล์ 95</t>
        </is>
      </c>
      <c r="L138" s="396" t="n">
        <v>1</v>
      </c>
      <c r="M138" s="589" t="n"/>
      <c r="N138" s="257">
        <f>'[2]1.4 Septic'!$F$16</f>
        <v/>
      </c>
      <c r="O138" s="1754">
        <f>$G$491</f>
        <v/>
      </c>
      <c r="P138" s="258" t="n"/>
      <c r="Q138" s="1731">
        <f>H138*2*L138*N138/O138</f>
        <v/>
      </c>
    </row>
    <row r="139" ht="18" customHeight="1">
      <c r="A139" s="396">
        <f>+A138+1</f>
        <v/>
      </c>
      <c r="B139" s="396" t="n">
        <v>530864</v>
      </c>
      <c r="C139" s="369" t="inlineStr">
        <is>
          <t>กัลยา สุขเกษม</t>
        </is>
      </c>
      <c r="D139" s="369" t="inlineStr">
        <is>
          <t>หญิง</t>
        </is>
      </c>
      <c r="E139" s="369" t="inlineStr">
        <is>
          <t>รายเดือน</t>
        </is>
      </c>
      <c r="F139" s="369" t="inlineStr">
        <is>
          <t>ไทย</t>
        </is>
      </c>
      <c r="G139" s="369" t="inlineStr">
        <is>
          <t>143 ม.11 ต.ห้วยใหญ่ อ.บางละมุง จ.ชลบุรี 20150</t>
        </is>
      </c>
      <c r="H139" s="396" t="n">
        <v>5</v>
      </c>
      <c r="I139" s="369" t="n"/>
      <c r="J139" s="369" t="inlineStr">
        <is>
          <t>รถจักรยานยนต์ 4 จังหวะเครื่องยนต์ขนาดเล็กกว่า 125 cc</t>
        </is>
      </c>
      <c r="K139" s="410" t="inlineStr">
        <is>
          <t>แก๊สโซฮอล์ 95</t>
        </is>
      </c>
      <c r="L139" s="396" t="n">
        <v>1</v>
      </c>
      <c r="M139" s="589" t="n"/>
      <c r="N139" s="257">
        <f>'[2]1.4 Septic'!$F$16</f>
        <v/>
      </c>
      <c r="O139" s="257">
        <f>$G$492</f>
        <v/>
      </c>
      <c r="P139" s="258" t="n"/>
      <c r="Q139" s="1731">
        <f>H139*2*L139*N139/O139</f>
        <v/>
      </c>
    </row>
    <row r="140" ht="18" customHeight="1">
      <c r="A140" s="396">
        <f>+A139+1</f>
        <v/>
      </c>
      <c r="B140" s="396" t="n">
        <v>530865</v>
      </c>
      <c r="C140" s="369" t="inlineStr">
        <is>
          <t>วิไล สิทธิชัย</t>
        </is>
      </c>
      <c r="D140" s="369" t="inlineStr">
        <is>
          <t>หญิง</t>
        </is>
      </c>
      <c r="E140" s="369" t="inlineStr">
        <is>
          <t>รายเดือน</t>
        </is>
      </c>
      <c r="F140" s="369" t="inlineStr">
        <is>
          <t>ไทย</t>
        </is>
      </c>
      <c r="G140" s="369" t="inlineStr">
        <is>
          <t>245/23 ต.หนองขาม อ.ศรีราชา จ.ชลบุรี 20230</t>
        </is>
      </c>
      <c r="H140" s="396" t="n">
        <v>8</v>
      </c>
      <c r="I140" s="369" t="n"/>
      <c r="J140" s="369" t="inlineStr">
        <is>
          <t>รถจักรยานยนต์ 4 จังหวะเครื่องยนต์ขนาดเล็กกว่า 125 cc</t>
        </is>
      </c>
      <c r="K140" s="410" t="inlineStr">
        <is>
          <t>แก๊สโซฮอล์ 91</t>
        </is>
      </c>
      <c r="L140" s="396" t="n">
        <v>1</v>
      </c>
      <c r="M140" s="589" t="n"/>
      <c r="N140" s="257">
        <f>'[2]1.4 Septic'!$F$16</f>
        <v/>
      </c>
      <c r="O140" s="257">
        <f>$G$492</f>
        <v/>
      </c>
      <c r="P140" s="258" t="n"/>
      <c r="Q140" s="1731">
        <f>H140*2*L140*N140/O140</f>
        <v/>
      </c>
    </row>
    <row r="141" ht="18" customHeight="1">
      <c r="A141" s="396">
        <f>+A140+1</f>
        <v/>
      </c>
      <c r="B141" s="396" t="n">
        <v>530867</v>
      </c>
      <c r="C141" s="369" t="inlineStr">
        <is>
          <t>น้ำทิพย์ กึนรัมย์</t>
        </is>
      </c>
      <c r="D141" s="369" t="inlineStr">
        <is>
          <t>หญิง</t>
        </is>
      </c>
      <c r="E141" s="369" t="inlineStr">
        <is>
          <t>รายเดือน</t>
        </is>
      </c>
      <c r="F141" s="369" t="inlineStr">
        <is>
          <t>ไทย</t>
        </is>
      </c>
      <c r="G141" s="369" t="inlineStr">
        <is>
          <t xml:space="preserve">หอพักเพิ่มสุข 121/29 หมู่ 9 ต.ทุ่งสุขลา อ.ศรีราชา จังหวัด.ชลบุรี 20230 </t>
        </is>
      </c>
      <c r="H141" s="396" t="n">
        <v>5</v>
      </c>
      <c r="I141" s="369" t="n"/>
      <c r="J141" s="369" t="inlineStr">
        <is>
          <t>รถจักรยานยนต์ 4 จังหวะเครื่องยนต์ขนาด 125 cc</t>
        </is>
      </c>
      <c r="K141" s="410" t="inlineStr">
        <is>
          <t>แก๊สโซฮอล์ 91</t>
        </is>
      </c>
      <c r="L141" s="396" t="n">
        <v>1</v>
      </c>
      <c r="M141" s="589" t="n"/>
      <c r="N141" s="257">
        <f>'[2]1.4 Septic'!$F$16</f>
        <v/>
      </c>
      <c r="O141" s="257">
        <f>$G$492</f>
        <v/>
      </c>
      <c r="P141" s="258" t="n"/>
      <c r="Q141" s="1731">
        <f>H141*2*L141*N141/O141</f>
        <v/>
      </c>
    </row>
    <row r="142" ht="18" customHeight="1">
      <c r="A142" s="396">
        <f>+A141+1</f>
        <v/>
      </c>
      <c r="B142" s="396" t="n">
        <v>530871</v>
      </c>
      <c r="C142" s="369" t="inlineStr">
        <is>
          <t>ชอ้อน ส่งเชื้อ</t>
        </is>
      </c>
      <c r="D142" s="369" t="inlineStr">
        <is>
          <t>หญิง</t>
        </is>
      </c>
      <c r="E142" s="369" t="inlineStr">
        <is>
          <t>รายเดือน</t>
        </is>
      </c>
      <c r="F142" s="369" t="inlineStr">
        <is>
          <t>ไทย</t>
        </is>
      </c>
      <c r="G142" s="369" t="inlineStr">
        <is>
          <t>1 ม.3 ต.ทุ่งสุขลา อ.ศรีราชา จ.ชลบุรี 20230</t>
        </is>
      </c>
      <c r="H142" s="396" t="n">
        <v>10</v>
      </c>
      <c r="I142" s="369" t="n"/>
      <c r="J142" s="369" t="inlineStr">
        <is>
          <t>รถจักรยานยนต์ 4 จังหวะเครื่องยนต์ขนาด 125 cc</t>
        </is>
      </c>
      <c r="K142" s="410" t="inlineStr">
        <is>
          <t>แก๊สโซฮอล์ 95</t>
        </is>
      </c>
      <c r="L142" s="396" t="n">
        <v>1</v>
      </c>
      <c r="M142" s="589" t="n"/>
      <c r="N142" s="257">
        <f>'[2]1.4 Septic'!$F$16</f>
        <v/>
      </c>
      <c r="O142" s="257">
        <f>$G$492</f>
        <v/>
      </c>
      <c r="P142" s="258" t="n"/>
      <c r="Q142" s="1731">
        <f>H142*2*L142*N142/O142</f>
        <v/>
      </c>
    </row>
    <row r="143" ht="18" customHeight="1">
      <c r="A143" s="396">
        <f>+A142+1</f>
        <v/>
      </c>
      <c r="B143" s="396" t="n">
        <v>530876</v>
      </c>
      <c r="C143" s="369" t="inlineStr">
        <is>
          <t>สุนีย์รัตน์ มากบุญ</t>
        </is>
      </c>
      <c r="D143" s="369" t="inlineStr">
        <is>
          <t>หญิง</t>
        </is>
      </c>
      <c r="E143" s="369" t="inlineStr">
        <is>
          <t>รายเดือน</t>
        </is>
      </c>
      <c r="F143" s="369" t="inlineStr">
        <is>
          <t>ไทย</t>
        </is>
      </c>
      <c r="G143" s="369" t="inlineStr">
        <is>
          <t>322/159 ม.8 ต.สุรศักดิ์ อ.ศรีราชา จ.ชลบุรี 20230</t>
        </is>
      </c>
      <c r="H143" s="396" t="n">
        <v>2</v>
      </c>
      <c r="I143" s="369" t="n"/>
      <c r="J143" s="369" t="inlineStr">
        <is>
          <t>รถจักรยานยนต์ 4 จังหวะเครื่องยนต์ขนาดเล็กกว่า 125 cc</t>
        </is>
      </c>
      <c r="K143" s="410" t="inlineStr">
        <is>
          <t>แก๊สโซฮอล์ 91</t>
        </is>
      </c>
      <c r="L143" s="396" t="n">
        <v>1</v>
      </c>
      <c r="M143" s="589" t="n"/>
      <c r="N143" s="257">
        <f>'[2]1.4 Septic'!$F$16</f>
        <v/>
      </c>
      <c r="O143" s="257">
        <f>$G$492</f>
        <v/>
      </c>
      <c r="P143" s="258" t="n"/>
      <c r="Q143" s="1731">
        <f>H143*2*L143*N143/O143</f>
        <v/>
      </c>
    </row>
    <row r="144" ht="18" customHeight="1">
      <c r="A144" s="396">
        <f>+A143+1</f>
        <v/>
      </c>
      <c r="B144" s="396" t="n">
        <v>530880</v>
      </c>
      <c r="C144" s="369" t="inlineStr">
        <is>
          <t>บุหลัน อาจชัยภูมิ</t>
        </is>
      </c>
      <c r="D144" s="369" t="inlineStr">
        <is>
          <t>หญิง</t>
        </is>
      </c>
      <c r="E144" s="369" t="inlineStr">
        <is>
          <t>รายเดือน</t>
        </is>
      </c>
      <c r="F144" s="369" t="inlineStr">
        <is>
          <t>ไทย</t>
        </is>
      </c>
      <c r="G144" s="593" t="inlineStr">
        <is>
          <t>94/28 ม. 6 ซ.ทุ่งทองใต้ ต.บางละมุง อ.บางละมุง จ.ชลบุรี 20150</t>
        </is>
      </c>
      <c r="H144" s="396" t="n">
        <v>6</v>
      </c>
      <c r="I144" s="369" t="n"/>
      <c r="J144" s="369" t="inlineStr">
        <is>
          <t>รถกระบะบรรทุก</t>
        </is>
      </c>
      <c r="K144" s="410" t="inlineStr">
        <is>
          <t>ดีเซล</t>
        </is>
      </c>
      <c r="L144" s="396" t="n">
        <v>2</v>
      </c>
      <c r="M144" s="589" t="n"/>
      <c r="N144" s="257">
        <f>'[2]1.4 Septic'!$F$16</f>
        <v/>
      </c>
      <c r="O144" s="257" t="n">
        <v>6.369</v>
      </c>
      <c r="P144" s="1731">
        <f>H144*2*L144*N144/O144</f>
        <v/>
      </c>
      <c r="Q144" s="258" t="n"/>
    </row>
    <row r="145" ht="18" customHeight="1">
      <c r="A145" s="396">
        <f>+A144+1</f>
        <v/>
      </c>
      <c r="B145" s="396" t="n">
        <v>530881</v>
      </c>
      <c r="C145" s="369" t="inlineStr">
        <is>
          <t>ชนากร ทุมมา</t>
        </is>
      </c>
      <c r="D145" s="369" t="inlineStr">
        <is>
          <t>ชาย</t>
        </is>
      </c>
      <c r="E145" s="369" t="inlineStr">
        <is>
          <t>รายเดือน</t>
        </is>
      </c>
      <c r="F145" s="369" t="inlineStr">
        <is>
          <t>ไทย</t>
        </is>
      </c>
      <c r="G145" s="367" t="inlineStr">
        <is>
          <t>การเคหะแหลมฉบัง  ม.6 ต.บางละมุง อ.บางละมุง จ.ชลบุรี</t>
        </is>
      </c>
      <c r="H145" s="396" t="n">
        <v>6</v>
      </c>
      <c r="I145" s="369" t="n"/>
      <c r="J145" s="369" t="inlineStr">
        <is>
          <t>รถยนต์เฉลี่ยทุกขนาด</t>
        </is>
      </c>
      <c r="K145" s="410" t="inlineStr">
        <is>
          <t>แก๊สโซฮอล์ 91</t>
        </is>
      </c>
      <c r="L145" s="396" t="n">
        <v>2</v>
      </c>
      <c r="M145" s="589" t="n"/>
      <c r="N145" s="257">
        <f>'[2]1.4 Septic'!$F$16</f>
        <v/>
      </c>
      <c r="O145" s="257">
        <f>$G$487</f>
        <v/>
      </c>
      <c r="P145" s="258" t="n"/>
      <c r="Q145" s="1731">
        <f>H145*2*L145*N145/O145</f>
        <v/>
      </c>
    </row>
    <row r="146" ht="18" customHeight="1">
      <c r="A146" s="396">
        <f>+A145+1</f>
        <v/>
      </c>
      <c r="B146" s="396" t="n">
        <v>530883</v>
      </c>
      <c r="C146" s="369" t="inlineStr">
        <is>
          <t>สมาน ศรีคุณชัย</t>
        </is>
      </c>
      <c r="D146" s="369" t="inlineStr">
        <is>
          <t>ชาย</t>
        </is>
      </c>
      <c r="E146" s="369" t="inlineStr">
        <is>
          <t>รายเดือน</t>
        </is>
      </c>
      <c r="F146" s="369" t="inlineStr">
        <is>
          <t>ไทย</t>
        </is>
      </c>
      <c r="G146" s="369" t="inlineStr">
        <is>
          <t>121/9 ต.ทุ่งสุขลา อ.ศรีราชา จ.ชลบุรี 20230</t>
        </is>
      </c>
      <c r="H146" s="396" t="n">
        <v>7</v>
      </c>
      <c r="I146" s="369" t="n"/>
      <c r="J146" s="369" t="inlineStr">
        <is>
          <t>รถจักรยานยนต์ 4 จังหวะเครื่องยนต์ขนาดเล็กกว่า 125 cc</t>
        </is>
      </c>
      <c r="K146" s="410" t="inlineStr">
        <is>
          <t>แก๊สโซฮอล์ 91</t>
        </is>
      </c>
      <c r="L146" s="396" t="n">
        <v>1</v>
      </c>
      <c r="M146" s="589" t="n"/>
      <c r="N146" s="257">
        <f>'[2]1.4 Septic'!$F$16</f>
        <v/>
      </c>
      <c r="O146" s="257">
        <f>$G$492</f>
        <v/>
      </c>
      <c r="P146" s="258" t="n"/>
      <c r="Q146" s="1731">
        <f>H146*2*L146*N146/O146</f>
        <v/>
      </c>
    </row>
    <row r="147" ht="18" customHeight="1">
      <c r="A147" s="396">
        <f>+A146+1</f>
        <v/>
      </c>
      <c r="B147" s="396" t="n">
        <v>530887</v>
      </c>
      <c r="C147" s="369" t="inlineStr">
        <is>
          <t>วิยะดา สำอางค์</t>
        </is>
      </c>
      <c r="D147" s="369" t="inlineStr">
        <is>
          <t>หญิง</t>
        </is>
      </c>
      <c r="E147" s="369" t="inlineStr">
        <is>
          <t>รายเดือน</t>
        </is>
      </c>
      <c r="F147" s="369" t="inlineStr">
        <is>
          <t>ไทย</t>
        </is>
      </c>
      <c r="G147" s="593" t="inlineStr">
        <is>
          <t>282 ม.5 ต.บางละมุง อ.บางละมุง จ.ชลบุรี 20150</t>
        </is>
      </c>
      <c r="H147" s="396" t="n">
        <v>6</v>
      </c>
      <c r="I147" s="369" t="n"/>
      <c r="J147" s="369" t="inlineStr">
        <is>
          <t>รถจักรยานยนต์ 4 จังหวะเครื่องยนต์ขนาด 125 cc</t>
        </is>
      </c>
      <c r="K147" s="410" t="inlineStr">
        <is>
          <t>แก๊สโซฮอล์ 91</t>
        </is>
      </c>
      <c r="L147" s="396" t="n">
        <v>1</v>
      </c>
      <c r="M147" s="589" t="n"/>
      <c r="N147" s="257">
        <f>'[2]1.4 Septic'!$F$16</f>
        <v/>
      </c>
      <c r="O147" s="257">
        <f>$G$492</f>
        <v/>
      </c>
      <c r="P147" s="258" t="n"/>
      <c r="Q147" s="1731">
        <f>H147*2*L147*N147/O147</f>
        <v/>
      </c>
    </row>
    <row r="148" ht="18" customHeight="1">
      <c r="A148" s="396">
        <f>+A147+1</f>
        <v/>
      </c>
      <c r="B148" s="396" t="n">
        <v>530890</v>
      </c>
      <c r="C148" s="369" t="inlineStr">
        <is>
          <t>มินทร์ธดา แก้วคำ</t>
        </is>
      </c>
      <c r="D148" s="369" t="inlineStr">
        <is>
          <t>หญิง</t>
        </is>
      </c>
      <c r="E148" s="369" t="inlineStr">
        <is>
          <t>รายเดือน</t>
        </is>
      </c>
      <c r="F148" s="369" t="inlineStr">
        <is>
          <t>ไทย</t>
        </is>
      </c>
      <c r="G148" s="369" t="inlineStr">
        <is>
          <t>18/32 ม.3 ต.สุรศักดิ์ อ.ศรีราชา จ.ชลบุรี 20110</t>
        </is>
      </c>
      <c r="H148" s="396" t="n">
        <v>12</v>
      </c>
      <c r="I148" s="369" t="n"/>
      <c r="J148" s="369" t="inlineStr">
        <is>
          <t>รถจักรยานยนต์ 4 จังหวะเครื่องยนต์ขนาดเล็กกว่า 125 cc</t>
        </is>
      </c>
      <c r="K148" s="410" t="inlineStr">
        <is>
          <t>แก๊สโซฮอล์ 91</t>
        </is>
      </c>
      <c r="L148" s="396" t="n">
        <v>1</v>
      </c>
      <c r="M148" s="589" t="n"/>
      <c r="N148" s="257">
        <f>'[2]1.4 Septic'!$F$16</f>
        <v/>
      </c>
      <c r="O148" s="257">
        <f>$G$492</f>
        <v/>
      </c>
      <c r="P148" s="258" t="n"/>
      <c r="Q148" s="1731">
        <f>H148*2*L148*N148/O148</f>
        <v/>
      </c>
    </row>
    <row r="149" ht="18" customHeight="1">
      <c r="A149" s="396">
        <f>+A148+1</f>
        <v/>
      </c>
      <c r="B149" s="396" t="n">
        <v>530894</v>
      </c>
      <c r="C149" s="369" t="inlineStr">
        <is>
          <t>ทองดี พัทธสิม</t>
        </is>
      </c>
      <c r="D149" s="369" t="inlineStr">
        <is>
          <t>หญิง</t>
        </is>
      </c>
      <c r="E149" s="369" t="inlineStr">
        <is>
          <t>รายเดือน</t>
        </is>
      </c>
      <c r="F149" s="369" t="inlineStr">
        <is>
          <t>ไทย</t>
        </is>
      </c>
      <c r="G149" s="369" t="inlineStr">
        <is>
          <t>71/98 ม.11 ต.ทุ่งสุขลา อ.สรีราชา จ.ชลบุรี 20230</t>
        </is>
      </c>
      <c r="H149" s="396" t="n">
        <v>10</v>
      </c>
      <c r="I149" s="369" t="n"/>
      <c r="J149" s="369" t="inlineStr">
        <is>
          <t>รถยนต์ขนาดเล็ก (1500 cc)</t>
        </is>
      </c>
      <c r="K149" s="410" t="inlineStr">
        <is>
          <t>แก๊สโซฮอล์ 91</t>
        </is>
      </c>
      <c r="L149" s="396" t="n">
        <v>1</v>
      </c>
      <c r="M149" s="589" t="n"/>
      <c r="N149" s="257">
        <f>'[2]1.4 Septic'!$F$16</f>
        <v/>
      </c>
      <c r="O149" s="257">
        <f>$G$498</f>
        <v/>
      </c>
      <c r="P149" s="258" t="n"/>
      <c r="Q149" s="1731">
        <f>H149*2*L149*N149/O149</f>
        <v/>
      </c>
    </row>
    <row r="150" ht="18" customHeight="1">
      <c r="A150" s="396">
        <f>+A149+1</f>
        <v/>
      </c>
      <c r="B150" s="396" t="n">
        <v>540939</v>
      </c>
      <c r="C150" s="369" t="inlineStr">
        <is>
          <t>โสภิศ ภูคำตา</t>
        </is>
      </c>
      <c r="D150" s="369" t="n"/>
      <c r="E150" s="369" t="inlineStr">
        <is>
          <t>รายเดือน</t>
        </is>
      </c>
      <c r="F150" s="369" t="n"/>
      <c r="G150" s="588" t="inlineStr">
        <is>
          <t>27  ถนนจันทน์ ซอยจันทน์ 17 ยานนาวา กรุงเทพมหานคร 10120</t>
        </is>
      </c>
      <c r="H150" s="396" t="n">
        <v>3</v>
      </c>
      <c r="I150" s="369" t="n"/>
      <c r="J150" s="369" t="inlineStr">
        <is>
          <t>รถยนต์ขนาดเล็ก (1500 cc)</t>
        </is>
      </c>
      <c r="K150" s="410" t="inlineStr">
        <is>
          <t>แก๊สโซฮอล์ E20</t>
        </is>
      </c>
      <c r="L150" s="396" t="n">
        <v>1</v>
      </c>
      <c r="M150" s="589" t="inlineStr">
        <is>
          <t>สนง.กทม.</t>
        </is>
      </c>
      <c r="N150" s="257">
        <f>'[2]1.4 Septic'!$F$34</f>
        <v/>
      </c>
      <c r="O150" s="257">
        <f>$G$498</f>
        <v/>
      </c>
      <c r="P150" s="258" t="n"/>
      <c r="Q150" s="1731">
        <f>H150*2*L150*N150/O150</f>
        <v/>
      </c>
    </row>
    <row r="151" ht="18" customHeight="1">
      <c r="A151" s="396">
        <f>+A150+1</f>
        <v/>
      </c>
      <c r="B151" s="396" t="n">
        <v>540940</v>
      </c>
      <c r="C151" s="369" t="inlineStr">
        <is>
          <t>ภาณี นฤพานนท์</t>
        </is>
      </c>
      <c r="D151" s="369" t="inlineStr">
        <is>
          <t>หญิง</t>
        </is>
      </c>
      <c r="E151" s="369" t="inlineStr">
        <is>
          <t>รายเดือน</t>
        </is>
      </c>
      <c r="F151" s="369" t="inlineStr">
        <is>
          <t>ไทย</t>
        </is>
      </c>
      <c r="G151" s="369" t="inlineStr">
        <is>
          <t>150/641 ม.13 ต.อ้อมน้อย อ.กระทุ่มแบน จ.สมุทรสาคร 74130</t>
        </is>
      </c>
      <c r="H151" s="396" t="n">
        <v>43</v>
      </c>
      <c r="I151" s="369" t="n"/>
      <c r="J151" s="369" t="inlineStr">
        <is>
          <t>รถยนต์ขนาดเล็ก (1500 cc)</t>
        </is>
      </c>
      <c r="K151" s="410" t="inlineStr">
        <is>
          <t>แก๊สโซฮอล์ 91</t>
        </is>
      </c>
      <c r="L151" s="396" t="n">
        <v>1</v>
      </c>
      <c r="M151" s="589" t="inlineStr">
        <is>
          <t>สนง.กทม.</t>
        </is>
      </c>
      <c r="N151" s="257">
        <f>'[2]1.4 Septic'!$F$34</f>
        <v/>
      </c>
      <c r="O151" s="257">
        <f>$G$498</f>
        <v/>
      </c>
      <c r="P151" s="258" t="n"/>
      <c r="Q151" s="1731">
        <f>H151*2*L151*N151/O151</f>
        <v/>
      </c>
    </row>
    <row r="152" ht="18" customHeight="1">
      <c r="A152" s="396">
        <f>+A151+1</f>
        <v/>
      </c>
      <c r="B152" s="396" t="n">
        <v>540942</v>
      </c>
      <c r="C152" s="369" t="inlineStr">
        <is>
          <t>อนุวัฒน์ มาตราช</t>
        </is>
      </c>
      <c r="D152" s="369" t="inlineStr">
        <is>
          <t>ชาย</t>
        </is>
      </c>
      <c r="E152" s="369" t="inlineStr">
        <is>
          <t>รายเดือน</t>
        </is>
      </c>
      <c r="F152" s="369" t="inlineStr">
        <is>
          <t>ไทย</t>
        </is>
      </c>
      <c r="G152" s="367" t="inlineStr">
        <is>
          <t>การเคหะแหลมฉบัง  ม.6 ต.บางละมุง อ.บางละมุง จ.ชลบุรี 20150</t>
        </is>
      </c>
      <c r="H152" s="396" t="n">
        <v>8</v>
      </c>
      <c r="I152" s="369" t="n"/>
      <c r="J152" s="369" t="inlineStr">
        <is>
          <t>รถยนต์ขนาดเล็ก (1500 cc)</t>
        </is>
      </c>
      <c r="K152" s="410" t="inlineStr">
        <is>
          <t>แก๊สโซฮอล์ 91</t>
        </is>
      </c>
      <c r="L152" s="396" t="n">
        <v>1</v>
      </c>
      <c r="M152" s="589" t="n"/>
      <c r="N152" s="257">
        <f>'[2]1.4 Septic'!$F$16</f>
        <v/>
      </c>
      <c r="O152" s="257">
        <f>$G$498</f>
        <v/>
      </c>
      <c r="P152" s="258" t="n"/>
      <c r="Q152" s="1731">
        <f>H152*2*L152*N152/O152</f>
        <v/>
      </c>
    </row>
    <row r="153" ht="18" customHeight="1">
      <c r="A153" s="396">
        <f>+A152+1</f>
        <v/>
      </c>
      <c r="B153" s="396" t="n">
        <v>540945</v>
      </c>
      <c r="C153" s="369" t="inlineStr">
        <is>
          <t>วิรัตน์ มากสวาท</t>
        </is>
      </c>
      <c r="D153" s="369" t="inlineStr">
        <is>
          <t>ชาย</t>
        </is>
      </c>
      <c r="E153" s="369" t="inlineStr">
        <is>
          <t>รายเดือน</t>
        </is>
      </c>
      <c r="F153" s="369" t="inlineStr">
        <is>
          <t>ไทย</t>
        </is>
      </c>
      <c r="G153" s="369" t="inlineStr">
        <is>
          <t>68//84 ต.สัตหีบ อ.สัตหีบ จ.ชลบุรี 20180</t>
        </is>
      </c>
      <c r="H153" s="396" t="n">
        <v>5</v>
      </c>
      <c r="I153" s="369" t="n"/>
      <c r="J153" s="369" t="inlineStr">
        <is>
          <t>รถยนต์เฉลี่ยทุกขนาด</t>
        </is>
      </c>
      <c r="K153" s="410" t="inlineStr">
        <is>
          <t>แก๊สโซฮอล์ 91</t>
        </is>
      </c>
      <c r="L153" s="396" t="n">
        <v>1</v>
      </c>
      <c r="M153" s="589" t="n"/>
      <c r="N153" s="257">
        <f>'[2]1.4 Septic'!$F$16</f>
        <v/>
      </c>
      <c r="O153" s="257">
        <f>$G$487</f>
        <v/>
      </c>
      <c r="P153" s="258" t="n"/>
      <c r="Q153" s="1731">
        <f>H153*2*L153*N153/O153</f>
        <v/>
      </c>
    </row>
    <row r="154" ht="18" customHeight="1">
      <c r="A154" s="396">
        <f>+A153+1</f>
        <v/>
      </c>
      <c r="B154" s="396" t="n">
        <v>540952</v>
      </c>
      <c r="C154" s="369" t="inlineStr">
        <is>
          <t>สุพิศ คำผง</t>
        </is>
      </c>
      <c r="D154" s="369" t="inlineStr">
        <is>
          <t>หญิง</t>
        </is>
      </c>
      <c r="E154" s="369" t="inlineStr">
        <is>
          <t>รายเดือน</t>
        </is>
      </c>
      <c r="F154" s="369" t="inlineStr">
        <is>
          <t>ไทย</t>
        </is>
      </c>
      <c r="G154" s="369" t="inlineStr">
        <is>
          <t>70/9 ม.9 ต.ทุ่งสุขลา อ.ศรีราชา จ.ชลบุรี 20230</t>
        </is>
      </c>
      <c r="H154" s="396" t="n">
        <v>3</v>
      </c>
      <c r="I154" s="369" t="n"/>
      <c r="J154" s="369" t="inlineStr">
        <is>
          <t>รถจักรยานยนต์ 4 จังหวะเครื่องยนต์ขนาด 125 cc</t>
        </is>
      </c>
      <c r="K154" s="410" t="inlineStr">
        <is>
          <t>แก๊สโซฮอล์ 91</t>
        </is>
      </c>
      <c r="L154" s="396" t="n">
        <v>1</v>
      </c>
      <c r="M154" s="589" t="n"/>
      <c r="N154" s="257">
        <f>'[2]1.4 Septic'!$F$16</f>
        <v/>
      </c>
      <c r="O154" s="257">
        <f>$G$492</f>
        <v/>
      </c>
      <c r="P154" s="258" t="n"/>
      <c r="Q154" s="1731">
        <f>H154*2*L154*N154/O154</f>
        <v/>
      </c>
    </row>
    <row r="155" ht="18" customHeight="1">
      <c r="A155" s="396">
        <f>+A154+1</f>
        <v/>
      </c>
      <c r="B155" s="396" t="n">
        <v>540968</v>
      </c>
      <c r="C155" s="369" t="inlineStr">
        <is>
          <t>ดวงตา ไกรเลิศ</t>
        </is>
      </c>
      <c r="D155" s="369" t="inlineStr">
        <is>
          <t>หญิง</t>
        </is>
      </c>
      <c r="E155" s="369" t="inlineStr">
        <is>
          <t>รายเดือน</t>
        </is>
      </c>
      <c r="F155" s="369" t="inlineStr">
        <is>
          <t>ไทย</t>
        </is>
      </c>
      <c r="G155" s="369" t="inlineStr">
        <is>
          <t>206/213 การเคหะ ต.บางละมุง อ.บางละมุง จ.ชลบุรี 20150</t>
        </is>
      </c>
      <c r="H155" s="396" t="n">
        <v>6</v>
      </c>
      <c r="I155" s="369" t="n"/>
      <c r="J155" s="369" t="inlineStr">
        <is>
          <t>รถจักรยานยนต์ 4 จังหวะเครื่องยนต์ขนาด 125 cc</t>
        </is>
      </c>
      <c r="K155" s="410" t="inlineStr">
        <is>
          <t>แก๊สโซฮอล์ 95</t>
        </is>
      </c>
      <c r="L155" s="396" t="n">
        <v>2</v>
      </c>
      <c r="M155" s="589" t="n"/>
      <c r="N155" s="257">
        <f>'[2]1.4 Septic'!$F$16</f>
        <v/>
      </c>
      <c r="O155" s="257">
        <f>$G$492</f>
        <v/>
      </c>
      <c r="P155" s="258" t="n"/>
      <c r="Q155" s="1731">
        <f>H155*2*L155*N155/O155</f>
        <v/>
      </c>
    </row>
    <row r="156" ht="18" customHeight="1">
      <c r="A156" s="396">
        <f>+A155+1</f>
        <v/>
      </c>
      <c r="B156" s="396" t="n">
        <v>540969</v>
      </c>
      <c r="C156" s="369" t="inlineStr">
        <is>
          <t>วิภาดา ยาสาไชย</t>
        </is>
      </c>
      <c r="D156" s="369" t="inlineStr">
        <is>
          <t>หญิง</t>
        </is>
      </c>
      <c r="E156" s="369" t="inlineStr">
        <is>
          <t>รายเดือน</t>
        </is>
      </c>
      <c r="F156" s="369" t="inlineStr">
        <is>
          <t>ไทย</t>
        </is>
      </c>
      <c r="G156" s="593" t="inlineStr">
        <is>
          <t>เนเจอร๋เฮ้าส์ 182/7  ม.8 ต.บางละมุง อ.บางละมุง จ.ชลบุรี 20150</t>
        </is>
      </c>
      <c r="H156" s="396" t="n">
        <v>6</v>
      </c>
      <c r="I156" s="369" t="n"/>
      <c r="J156" s="369" t="inlineStr">
        <is>
          <t>รถกระบะบรรทุก</t>
        </is>
      </c>
      <c r="K156" s="410" t="inlineStr">
        <is>
          <t>ดีเซล</t>
        </is>
      </c>
      <c r="L156" s="396" t="n">
        <v>2</v>
      </c>
      <c r="M156" s="589" t="n"/>
      <c r="N156" s="257">
        <f>'[2]1.4 Septic'!$F$16</f>
        <v/>
      </c>
      <c r="O156" s="257" t="n">
        <v>6.369</v>
      </c>
      <c r="P156" s="1731">
        <f>H156*2*L156*N156/O156</f>
        <v/>
      </c>
      <c r="Q156" s="258" t="n"/>
    </row>
    <row r="157" ht="18" customHeight="1">
      <c r="A157" s="396">
        <f>+A156+1</f>
        <v/>
      </c>
      <c r="B157" s="396" t="n">
        <v>550984</v>
      </c>
      <c r="C157" s="369" t="inlineStr">
        <is>
          <t>เมธิณี บุตรดา</t>
        </is>
      </c>
      <c r="D157" s="369" t="inlineStr">
        <is>
          <t>หญิง</t>
        </is>
      </c>
      <c r="E157" s="369" t="inlineStr">
        <is>
          <t>รายเดือน</t>
        </is>
      </c>
      <c r="F157" s="369" t="inlineStr">
        <is>
          <t>ไทย</t>
        </is>
      </c>
      <c r="G157" s="369" t="inlineStr">
        <is>
          <t>527/ 5 ม.11 ต.หนองขาม อ.ศรีราชา จ.ชลบุรี 20230</t>
        </is>
      </c>
      <c r="H157" s="396" t="n">
        <v>5</v>
      </c>
      <c r="I157" s="369" t="n"/>
      <c r="J157" s="369" t="inlineStr">
        <is>
          <t>รถจักรยานยนต์ 4 จังหวะเครื่องยนต์ขนาด 125 cc</t>
        </is>
      </c>
      <c r="K157" s="410" t="inlineStr">
        <is>
          <t>แก๊สโซฮอล์ 91</t>
        </is>
      </c>
      <c r="L157" s="396" t="n">
        <v>1</v>
      </c>
      <c r="M157" s="589" t="n"/>
      <c r="N157" s="257">
        <f>'[2]1.4 Septic'!$F$16</f>
        <v/>
      </c>
      <c r="O157" s="257">
        <f>$G$492</f>
        <v/>
      </c>
      <c r="P157" s="258" t="n"/>
      <c r="Q157" s="1731">
        <f>H157*2*L157*N157/O157</f>
        <v/>
      </c>
    </row>
    <row r="158" ht="18" customHeight="1">
      <c r="A158" s="396">
        <f>+A157+1</f>
        <v/>
      </c>
      <c r="B158" s="396" t="n">
        <v>551002</v>
      </c>
      <c r="C158" s="369" t="inlineStr">
        <is>
          <t>มานพ ก้อนแก้ว</t>
        </is>
      </c>
      <c r="D158" s="369" t="inlineStr">
        <is>
          <t>ชาย</t>
        </is>
      </c>
      <c r="E158" s="369" t="inlineStr">
        <is>
          <t>รายเดือน</t>
        </is>
      </c>
      <c r="F158" s="369" t="inlineStr">
        <is>
          <t>ไทย</t>
        </is>
      </c>
      <c r="G158" s="367" t="inlineStr">
        <is>
          <t>การเคหะแหลมฉบัง  ม.6 ต.บางละมุง อ.บางละมุง จ.ชลบุรี 20150</t>
        </is>
      </c>
      <c r="H158" s="396" t="n">
        <v>14</v>
      </c>
      <c r="I158" s="369" t="n"/>
      <c r="J158" s="369" t="inlineStr">
        <is>
          <t>รถกระบะบรรทุก</t>
        </is>
      </c>
      <c r="K158" s="410" t="inlineStr">
        <is>
          <t>ดีเซล</t>
        </is>
      </c>
      <c r="L158" s="396" t="n">
        <v>1</v>
      </c>
      <c r="M158" s="589" t="n"/>
      <c r="N158" s="257">
        <f>'[2]1.4 Septic'!$F$16</f>
        <v/>
      </c>
      <c r="O158" s="257" t="n">
        <v>6.369</v>
      </c>
      <c r="P158" s="1731">
        <f>H158*2*L158*N158/O158</f>
        <v/>
      </c>
      <c r="Q158" s="258" t="n"/>
    </row>
    <row r="159" ht="18" customHeight="1">
      <c r="A159" s="396">
        <f>+A158+1</f>
        <v/>
      </c>
      <c r="B159" s="396" t="n">
        <v>551003</v>
      </c>
      <c r="C159" s="369" t="inlineStr">
        <is>
          <t>พลวัฒน์ เกตุแผ้ว</t>
        </is>
      </c>
      <c r="D159" s="369" t="inlineStr">
        <is>
          <t>ชาย</t>
        </is>
      </c>
      <c r="E159" s="369" t="inlineStr">
        <is>
          <t>รายเดือน</t>
        </is>
      </c>
      <c r="F159" s="369" t="inlineStr">
        <is>
          <t>ไทย</t>
        </is>
      </c>
      <c r="G159" s="367" t="inlineStr">
        <is>
          <t>220/116 การเคหะแหลมฉบัง  ม.6 ต.บางละมุง อ.บางละมุง จ.ชลบุรี</t>
        </is>
      </c>
      <c r="H159" s="396" t="n">
        <v>15</v>
      </c>
      <c r="I159" s="369" t="n"/>
      <c r="J159" s="369" t="inlineStr">
        <is>
          <t>รถยนต์เฉลี่ยทุกขนาด</t>
        </is>
      </c>
      <c r="K159" s="410" t="inlineStr">
        <is>
          <t>แก๊สโซฮอล์ 91</t>
        </is>
      </c>
      <c r="L159" s="396" t="n">
        <v>2</v>
      </c>
      <c r="M159" s="589" t="n"/>
      <c r="N159" s="257">
        <f>'[2]1.4 Septic'!$F$16</f>
        <v/>
      </c>
      <c r="O159" s="257">
        <f>$G$487</f>
        <v/>
      </c>
      <c r="P159" s="258" t="n"/>
      <c r="Q159" s="1731">
        <f>H159*2*L159*N159/O159</f>
        <v/>
      </c>
    </row>
    <row r="160" ht="18" customHeight="1">
      <c r="A160" s="396">
        <f>+A159+1</f>
        <v/>
      </c>
      <c r="B160" s="396" t="n">
        <v>551004</v>
      </c>
      <c r="C160" s="369" t="inlineStr">
        <is>
          <t>ภูไท มุกดาหาร</t>
        </is>
      </c>
      <c r="D160" s="369" t="inlineStr">
        <is>
          <t>ชาย</t>
        </is>
      </c>
      <c r="E160" s="369" t="inlineStr">
        <is>
          <t>รายเดือน</t>
        </is>
      </c>
      <c r="F160" s="369" t="inlineStr">
        <is>
          <t>ไทย</t>
        </is>
      </c>
      <c r="G160" s="369" t="inlineStr">
        <is>
          <t>219/183 ต.บางละมุง อ.บางละมุง จ.ชลบุรี 20150</t>
        </is>
      </c>
      <c r="H160" s="396" t="n">
        <v>7</v>
      </c>
      <c r="I160" s="369" t="n"/>
      <c r="J160" s="369" t="inlineStr">
        <is>
          <t>รถจักรยานยนต์ 4 จังหวะเครื่องยนต์ขนาดเล็กกว่า 125 cc</t>
        </is>
      </c>
      <c r="K160" s="410" t="inlineStr">
        <is>
          <t>แก๊สโซฮอล์ 91</t>
        </is>
      </c>
      <c r="L160" s="396" t="n">
        <v>1</v>
      </c>
      <c r="M160" s="589" t="n"/>
      <c r="N160" s="257">
        <f>'[2]1.4 Septic'!$F$16</f>
        <v/>
      </c>
      <c r="O160" s="257">
        <f>$G$492</f>
        <v/>
      </c>
      <c r="P160" s="258" t="n"/>
      <c r="Q160" s="1731">
        <f>H160*2*L160*N160/O160</f>
        <v/>
      </c>
    </row>
    <row r="161" ht="18" customHeight="1">
      <c r="A161" s="396">
        <f>+A160+1</f>
        <v/>
      </c>
      <c r="B161" s="396" t="n">
        <v>551014</v>
      </c>
      <c r="C161" s="369" t="inlineStr">
        <is>
          <t>วรรณิศา มาภิวงค์</t>
        </is>
      </c>
      <c r="D161" s="369" t="inlineStr">
        <is>
          <t>หญิง</t>
        </is>
      </c>
      <c r="E161" s="369" t="inlineStr">
        <is>
          <t>รายเดือน</t>
        </is>
      </c>
      <c r="F161" s="369" t="inlineStr">
        <is>
          <t>ไทย</t>
        </is>
      </c>
      <c r="G161" s="369" t="inlineStr">
        <is>
          <t xml:space="preserve">9/46 ม.4 ต.สุรศักดิ์ อ.ศรีราชา จ.ชลบุรี </t>
        </is>
      </c>
      <c r="H161" s="396" t="n">
        <v>5</v>
      </c>
      <c r="I161" s="369" t="n"/>
      <c r="J161" s="369" t="inlineStr">
        <is>
          <t>รถจักรยานยนต์ 4 จังหวะเครื่องยนต์ขนาด 125 cc</t>
        </is>
      </c>
      <c r="K161" s="410" t="inlineStr">
        <is>
          <t>เบนซิน</t>
        </is>
      </c>
      <c r="L161" s="396" t="n">
        <v>2</v>
      </c>
      <c r="M161" s="589" t="n"/>
      <c r="N161" s="257">
        <f>'[2]1.4 Septic'!$F$16</f>
        <v/>
      </c>
      <c r="O161" s="257">
        <f>$G$492</f>
        <v/>
      </c>
      <c r="P161" s="258" t="n"/>
      <c r="Q161" s="1731">
        <f>H161*2*L161*N161/O161</f>
        <v/>
      </c>
    </row>
    <row r="162" ht="18" customHeight="1">
      <c r="A162" s="396">
        <f>+A161+1</f>
        <v/>
      </c>
      <c r="B162" s="396" t="n">
        <v>551017</v>
      </c>
      <c r="C162" s="369" t="inlineStr">
        <is>
          <t>เบญจพร ป้องเงิน</t>
        </is>
      </c>
      <c r="D162" s="369" t="inlineStr">
        <is>
          <t>หญิง</t>
        </is>
      </c>
      <c r="E162" s="369" t="inlineStr">
        <is>
          <t>รายเดือน</t>
        </is>
      </c>
      <c r="F162" s="369" t="inlineStr">
        <is>
          <t>ไทย</t>
        </is>
      </c>
      <c r="G162" s="369" t="inlineStr">
        <is>
          <t>144/123 ต.ทุ่งสุขลา อ.ศรีราชา จ.ชลบุรี 20230</t>
        </is>
      </c>
      <c r="H162" s="396" t="n">
        <v>5</v>
      </c>
      <c r="I162" s="369" t="n"/>
      <c r="J162" s="369" t="inlineStr">
        <is>
          <t>รถจักรยานยนต์ 4 จังหวะเครื่องยนต์ขนาด 125 cc</t>
        </is>
      </c>
      <c r="K162" s="410" t="inlineStr">
        <is>
          <t>เบนซิน</t>
        </is>
      </c>
      <c r="L162" s="396" t="n">
        <v>2</v>
      </c>
      <c r="M162" s="589" t="n"/>
      <c r="N162" s="257">
        <f>'[2]1.4 Septic'!$F$16</f>
        <v/>
      </c>
      <c r="O162" s="257">
        <f>$G$492</f>
        <v/>
      </c>
      <c r="P162" s="258" t="n"/>
      <c r="Q162" s="1731">
        <f>H162*2*L162*N162/O162</f>
        <v/>
      </c>
    </row>
    <row r="163" ht="18" customHeight="1">
      <c r="A163" s="396">
        <f>+A162+1</f>
        <v/>
      </c>
      <c r="B163" s="396" t="n">
        <v>551035</v>
      </c>
      <c r="C163" s="369" t="inlineStr">
        <is>
          <t>ยุพิณร์ พันยะราช</t>
        </is>
      </c>
      <c r="D163" s="369" t="inlineStr">
        <is>
          <t>หญิง</t>
        </is>
      </c>
      <c r="E163" s="369" t="inlineStr">
        <is>
          <t>รายเดือน</t>
        </is>
      </c>
      <c r="F163" s="369" t="inlineStr">
        <is>
          <t>ไทย</t>
        </is>
      </c>
      <c r="G163" s="369" t="inlineStr">
        <is>
          <t>440 ม.9 ต.หนองปรือ อ.บางละมุง จ.ชลบุรี 20150</t>
        </is>
      </c>
      <c r="H163" s="396" t="n">
        <v>5.3</v>
      </c>
      <c r="I163" s="369" t="n"/>
      <c r="J163" s="369" t="inlineStr">
        <is>
          <t>รถจักรยานยนต์ 4 จังหวะเครื่องยนต์ขนาด 125 cc</t>
        </is>
      </c>
      <c r="K163" s="410" t="inlineStr">
        <is>
          <t>แก๊สโซฮอล์ 95</t>
        </is>
      </c>
      <c r="L163" s="396" t="n">
        <v>1</v>
      </c>
      <c r="M163" s="589" t="n"/>
      <c r="N163" s="257">
        <f>'[2]1.4 Septic'!$F$16</f>
        <v/>
      </c>
      <c r="O163" s="257">
        <f>$G$492</f>
        <v/>
      </c>
      <c r="P163" s="258" t="n"/>
      <c r="Q163" s="1731">
        <f>H163*2*L163*N163/O163</f>
        <v/>
      </c>
    </row>
    <row r="164" ht="18" customHeight="1">
      <c r="A164" s="396">
        <f>+A163+1</f>
        <v/>
      </c>
      <c r="B164" s="396" t="n">
        <v>551065</v>
      </c>
      <c r="C164" s="369" t="inlineStr">
        <is>
          <t>รุ่งนิภา ทุมมา</t>
        </is>
      </c>
      <c r="D164" s="369" t="inlineStr">
        <is>
          <t>หญิง</t>
        </is>
      </c>
      <c r="E164" s="369" t="inlineStr">
        <is>
          <t>รายเดือน</t>
        </is>
      </c>
      <c r="F164" s="369" t="inlineStr">
        <is>
          <t>ไทย</t>
        </is>
      </c>
      <c r="G164" s="367" t="inlineStr">
        <is>
          <t>การเคหะแหลมฉบัง  ม.6 ต.บางละมุง อ.บางละมุง จ.ชลบุรี</t>
        </is>
      </c>
      <c r="H164" s="396" t="n">
        <v>14</v>
      </c>
      <c r="I164" s="369" t="n"/>
      <c r="J164" s="369" t="inlineStr">
        <is>
          <t>รถจักรยานยนต์ 4 จังหวะเครื่องยนต์ขนาด 125 cc</t>
        </is>
      </c>
      <c r="K164" s="410" t="inlineStr">
        <is>
          <t>แก๊สโซฮอล์ 91</t>
        </is>
      </c>
      <c r="L164" s="396" t="n">
        <v>2</v>
      </c>
      <c r="M164" s="589" t="n"/>
      <c r="N164" s="257">
        <f>'[2]1.4 Septic'!$F$16</f>
        <v/>
      </c>
      <c r="O164" s="257">
        <f>$G$492</f>
        <v/>
      </c>
      <c r="P164" s="258" t="n"/>
      <c r="Q164" s="1731">
        <f>H164*2*L164*N164/O164</f>
        <v/>
      </c>
    </row>
    <row r="165" ht="18" customHeight="1">
      <c r="A165" s="396">
        <f>+A164+1</f>
        <v/>
      </c>
      <c r="B165" s="396" t="n">
        <v>551077</v>
      </c>
      <c r="C165" s="369" t="inlineStr">
        <is>
          <t>อนุชิต กองนำ</t>
        </is>
      </c>
      <c r="D165" s="369" t="inlineStr">
        <is>
          <t>ชาย</t>
        </is>
      </c>
      <c r="E165" s="369" t="inlineStr">
        <is>
          <t>รายเดือน</t>
        </is>
      </c>
      <c r="F165" s="369" t="inlineStr">
        <is>
          <t>ไทย</t>
        </is>
      </c>
      <c r="G165" s="593" t="inlineStr">
        <is>
          <t>180/46 หมู่ 8 อพาร์ทเม้นต์ทองริน ต. บางละมุง อ. บางละมุง จ. ชลบุรี 20150</t>
        </is>
      </c>
      <c r="H165" s="396" t="n">
        <v>10</v>
      </c>
      <c r="I165" s="369" t="n"/>
      <c r="J165" s="369" t="inlineStr">
        <is>
          <t>รถกระบะบรรทุก</t>
        </is>
      </c>
      <c r="K165" s="410" t="inlineStr">
        <is>
          <t>ดีเซล</t>
        </is>
      </c>
      <c r="L165" s="396" t="n">
        <v>1</v>
      </c>
      <c r="M165" s="589" t="n"/>
      <c r="N165" s="257">
        <f>'[2]1.4 Septic'!$F$16</f>
        <v/>
      </c>
      <c r="O165" s="257" t="n">
        <v>6.369</v>
      </c>
      <c r="P165" s="1731">
        <f>H165*2*L165*N165/O165</f>
        <v/>
      </c>
      <c r="Q165" s="258" t="n"/>
    </row>
    <row r="166" ht="18" customHeight="1">
      <c r="A166" s="396">
        <f>+A165+1</f>
        <v/>
      </c>
      <c r="B166" s="396" t="n">
        <v>551089</v>
      </c>
      <c r="C166" s="369" t="inlineStr">
        <is>
          <t>เจษฎาพงษ์ ชาติศรี</t>
        </is>
      </c>
      <c r="D166" s="369" t="inlineStr">
        <is>
          <t>ชาย</t>
        </is>
      </c>
      <c r="E166" s="369" t="inlineStr">
        <is>
          <t>รายเดือน</t>
        </is>
      </c>
      <c r="F166" s="369" t="inlineStr">
        <is>
          <t>ไทย</t>
        </is>
      </c>
      <c r="G166" s="369" t="inlineStr">
        <is>
          <t>889/6 หมู่ที่ 9 ต.ทุ่งสุขลา อ.ศรีราชา จ.ชลบุรี 20230</t>
        </is>
      </c>
      <c r="H166" s="396" t="n">
        <v>7</v>
      </c>
      <c r="I166" s="369" t="n"/>
      <c r="J166" s="369" t="inlineStr">
        <is>
          <t>รถจักรยานยนต์ 4 จังหวะเครื่องยนต์ขนาดเล็กกว่า 125 cc</t>
        </is>
      </c>
      <c r="K166" s="410" t="inlineStr">
        <is>
          <t>แก๊สโซฮอล์ 95</t>
        </is>
      </c>
      <c r="L166" s="396" t="n">
        <v>2</v>
      </c>
      <c r="M166" s="589" t="n"/>
      <c r="N166" s="257">
        <f>'[2]1.4 Septic'!$F$16</f>
        <v/>
      </c>
      <c r="O166" s="257">
        <f>$G$492</f>
        <v/>
      </c>
      <c r="P166" s="258" t="n"/>
      <c r="Q166" s="1731">
        <f>H166*2*L166*N166/O166</f>
        <v/>
      </c>
    </row>
    <row r="167" ht="18" customHeight="1">
      <c r="A167" s="396">
        <f>+A166+1</f>
        <v/>
      </c>
      <c r="B167" s="396" t="n">
        <v>551093</v>
      </c>
      <c r="C167" s="369" t="inlineStr">
        <is>
          <t>อังกฤษ จันทร์ชื่น</t>
        </is>
      </c>
      <c r="D167" s="369" t="inlineStr">
        <is>
          <t>ชาย</t>
        </is>
      </c>
      <c r="E167" s="369" t="inlineStr">
        <is>
          <t>รายเดือน</t>
        </is>
      </c>
      <c r="F167" s="369" t="inlineStr">
        <is>
          <t>ไทย</t>
        </is>
      </c>
      <c r="G167" s="367" t="inlineStr">
        <is>
          <t>การเคหะแหลมฉบัง  ม.6 ต.บางละมุง อ.บางละมุง จ.ชลบุรี 202150</t>
        </is>
      </c>
      <c r="H167" s="396" t="n">
        <v>14</v>
      </c>
      <c r="I167" s="369" t="n"/>
      <c r="J167" s="369" t="inlineStr">
        <is>
          <t>รถยนต์ขนาดใหญ่ (2000 cc)</t>
        </is>
      </c>
      <c r="K167" s="410" t="inlineStr">
        <is>
          <t>แก๊สโซฮอล์ 95</t>
        </is>
      </c>
      <c r="L167" s="396" t="n">
        <v>2</v>
      </c>
      <c r="M167" s="589" t="n"/>
      <c r="N167" s="257">
        <f>'[2]1.4 Septic'!$F$16</f>
        <v/>
      </c>
      <c r="O167" s="257">
        <f>$G$495</f>
        <v/>
      </c>
      <c r="P167" s="258" t="n"/>
      <c r="Q167" s="1731">
        <f>H167*2*L167*N167/O167</f>
        <v/>
      </c>
    </row>
    <row r="168" ht="18" customHeight="1">
      <c r="A168" s="396">
        <f>+A167+1</f>
        <v/>
      </c>
      <c r="B168" s="396" t="n">
        <v>561122</v>
      </c>
      <c r="C168" s="369" t="inlineStr">
        <is>
          <t>อมรรัตน์ พรมทอง</t>
        </is>
      </c>
      <c r="D168" s="369" t="inlineStr">
        <is>
          <t>หญิง</t>
        </is>
      </c>
      <c r="E168" s="369" t="inlineStr">
        <is>
          <t>รายเดือน</t>
        </is>
      </c>
      <c r="F168" s="369" t="inlineStr">
        <is>
          <t>ไทย</t>
        </is>
      </c>
      <c r="G168" s="369" t="inlineStr">
        <is>
          <t>220/211 ม.6 ต.บางละมุง อ.บางละมุง จ.ชลบุรี 20150</t>
        </is>
      </c>
      <c r="H168" s="396" t="n">
        <v>8</v>
      </c>
      <c r="I168" s="369" t="n"/>
      <c r="J168" s="369" t="inlineStr">
        <is>
          <t>รถจักรยานยนต์ 2 จังหวะเครื่องยนต์ขนาด 150cc</t>
        </is>
      </c>
      <c r="K168" s="410" t="inlineStr">
        <is>
          <t>แก๊สโซฮอล์ 91</t>
        </is>
      </c>
      <c r="L168" s="396" t="n">
        <v>1</v>
      </c>
      <c r="M168" s="589" t="n"/>
      <c r="N168" s="257">
        <f>'[2]1.4 Septic'!$F$16</f>
        <v/>
      </c>
      <c r="O168" s="1754">
        <f>$G$491</f>
        <v/>
      </c>
      <c r="P168" s="258" t="n"/>
      <c r="Q168" s="1731">
        <f>H168*2*L168*N168/O168</f>
        <v/>
      </c>
    </row>
    <row r="169" ht="18" customHeight="1">
      <c r="A169" s="396">
        <f>+A168+1</f>
        <v/>
      </c>
      <c r="B169" s="396" t="n">
        <v>561126</v>
      </c>
      <c r="C169" s="369" t="inlineStr">
        <is>
          <t>ญาดานันท์ นุ่มนวล</t>
        </is>
      </c>
      <c r="D169" s="369" t="inlineStr">
        <is>
          <t>หญิง</t>
        </is>
      </c>
      <c r="E169" s="369" t="inlineStr">
        <is>
          <t>รายเดือน</t>
        </is>
      </c>
      <c r="F169" s="369" t="inlineStr">
        <is>
          <t>ไทย</t>
        </is>
      </c>
      <c r="G169" s="369" t="inlineStr">
        <is>
          <t>71/15 ม. 11 ต.ทุ่งสุขลา อ.ศรีราชา จ.ชลบุรี 20230</t>
        </is>
      </c>
      <c r="H169" s="396" t="n">
        <v>10</v>
      </c>
      <c r="I169" s="369" t="n"/>
      <c r="J169" s="369" t="inlineStr">
        <is>
          <t>รถจักรยานยนต์ 4 จังหวะเครื่องยนต์ขนาด 125 cc</t>
        </is>
      </c>
      <c r="K169" s="410" t="inlineStr">
        <is>
          <t>แก๊สโซฮอล์ 91</t>
        </is>
      </c>
      <c r="L169" s="396" t="n">
        <v>1</v>
      </c>
      <c r="M169" s="589" t="n"/>
      <c r="N169" s="257">
        <f>'[2]1.4 Septic'!$F$16</f>
        <v/>
      </c>
      <c r="O169" s="257">
        <f>$G$492</f>
        <v/>
      </c>
      <c r="P169" s="258" t="n"/>
      <c r="Q169" s="1731">
        <f>H169*2*L169*N169/O169</f>
        <v/>
      </c>
    </row>
    <row r="170" ht="18" customHeight="1">
      <c r="A170" s="396">
        <f>+A169+1</f>
        <v/>
      </c>
      <c r="B170" s="396" t="n">
        <v>561135</v>
      </c>
      <c r="C170" s="369" t="inlineStr">
        <is>
          <t>ปฏิเวธ ยอดขวัญ</t>
        </is>
      </c>
      <c r="D170" s="369" t="inlineStr">
        <is>
          <t>ชาย</t>
        </is>
      </c>
      <c r="E170" s="369" t="inlineStr">
        <is>
          <t>รายเดือน</t>
        </is>
      </c>
      <c r="F170" s="369" t="inlineStr">
        <is>
          <t>ไทย</t>
        </is>
      </c>
      <c r="G170" s="369" t="inlineStr">
        <is>
          <t>898/96 ม.9 ต.ทุ่งสุขลา อ.ศรีราชา จ.ชลบุรี 20230</t>
        </is>
      </c>
      <c r="H170" s="396" t="n">
        <v>5</v>
      </c>
      <c r="I170" s="369" t="n"/>
      <c r="J170" s="369" t="inlineStr">
        <is>
          <t>รถยนต์เฉลี่ยทุกขนาด</t>
        </is>
      </c>
      <c r="K170" s="410" t="inlineStr">
        <is>
          <t>แก๊สโซฮอล์ E20</t>
        </is>
      </c>
      <c r="L170" s="396" t="n">
        <v>2</v>
      </c>
      <c r="M170" s="589" t="n"/>
      <c r="N170" s="257">
        <f>'[2]1.4 Septic'!$F$16</f>
        <v/>
      </c>
      <c r="O170" s="257">
        <f>$G$487</f>
        <v/>
      </c>
      <c r="P170" s="258" t="n"/>
      <c r="Q170" s="1731">
        <f>H170*2*L170*N170/O170</f>
        <v/>
      </c>
    </row>
    <row r="171" ht="18" customHeight="1">
      <c r="A171" s="396">
        <f>+A170+1</f>
        <v/>
      </c>
      <c r="B171" s="396" t="n">
        <v>561137</v>
      </c>
      <c r="C171" s="369" t="inlineStr">
        <is>
          <t>เอกลักษณ์ ไชยมงคล</t>
        </is>
      </c>
      <c r="D171" s="369" t="inlineStr">
        <is>
          <t>ชาย</t>
        </is>
      </c>
      <c r="E171" s="369" t="inlineStr">
        <is>
          <t>รายเดือน</t>
        </is>
      </c>
      <c r="F171" s="369" t="inlineStr">
        <is>
          <t>ไทย</t>
        </is>
      </c>
      <c r="G171" s="369" t="inlineStr">
        <is>
          <t xml:space="preserve"> เคหะแหลมฉบัง ตึก 20 ม.6 ต.บางละมุง อ.บางละมุง จ.ชลบุรี 20150</t>
        </is>
      </c>
      <c r="H171" s="396" t="n">
        <v>6</v>
      </c>
      <c r="I171" s="369" t="n"/>
      <c r="J171" s="369" t="inlineStr">
        <is>
          <t>รถจักรยานยนต์ 4 จังหวะเครื่องยนต์ขนาด 125 cc</t>
        </is>
      </c>
      <c r="K171" s="410" t="inlineStr">
        <is>
          <t>แก๊สโซฮอล์ 95</t>
        </is>
      </c>
      <c r="L171" s="396" t="n">
        <v>1</v>
      </c>
      <c r="M171" s="589" t="n"/>
      <c r="N171" s="257">
        <f>'[2]1.4 Septic'!$F$16</f>
        <v/>
      </c>
      <c r="O171" s="257">
        <f>$G$492</f>
        <v/>
      </c>
      <c r="P171" s="258" t="n"/>
      <c r="Q171" s="1731">
        <f>H171*2*L171*N171/O171</f>
        <v/>
      </c>
    </row>
    <row r="172" ht="18" customHeight="1">
      <c r="A172" s="396">
        <f>+A171+1</f>
        <v/>
      </c>
      <c r="B172" s="396" t="n">
        <v>561153</v>
      </c>
      <c r="C172" s="369" t="inlineStr">
        <is>
          <t>เทพรังสรรค์ ศรีวัง</t>
        </is>
      </c>
      <c r="D172" s="369" t="inlineStr">
        <is>
          <t>ชาย</t>
        </is>
      </c>
      <c r="E172" s="369" t="inlineStr">
        <is>
          <t>รายเดือน</t>
        </is>
      </c>
      <c r="F172" s="369" t="inlineStr">
        <is>
          <t>ไทย</t>
        </is>
      </c>
      <c r="G172" s="367" t="inlineStr">
        <is>
          <t>การเคหะแหลมฉบัง  ม.6 ต.บางละมุง อ.บางละมุง จ.ชลบุรี</t>
        </is>
      </c>
      <c r="H172" s="396" t="n">
        <v>5</v>
      </c>
      <c r="I172" s="369" t="n"/>
      <c r="J172" s="369" t="inlineStr">
        <is>
          <t>รถจักรยานยนต์ 4 จังหวะเครื่องยนต์ขนาดเล็กกว่า 125 cc</t>
        </is>
      </c>
      <c r="K172" s="410" t="inlineStr">
        <is>
          <t>แก๊สโซฮอล์ 91</t>
        </is>
      </c>
      <c r="L172" s="396" t="n">
        <v>2</v>
      </c>
      <c r="M172" s="589" t="n"/>
      <c r="N172" s="257">
        <f>'[2]1.4 Septic'!$F$16</f>
        <v/>
      </c>
      <c r="O172" s="257">
        <f>$G$492</f>
        <v/>
      </c>
      <c r="P172" s="258" t="n"/>
      <c r="Q172" s="1731">
        <f>H172*2*L172*N172/O172</f>
        <v/>
      </c>
    </row>
    <row r="173" ht="18" customHeight="1">
      <c r="A173" s="396">
        <f>+A172+1</f>
        <v/>
      </c>
      <c r="B173" s="396" t="n">
        <v>561207</v>
      </c>
      <c r="C173" s="369" t="inlineStr">
        <is>
          <t>นรินทร์ ผลผาด</t>
        </is>
      </c>
      <c r="D173" s="369" t="inlineStr">
        <is>
          <t>ชาย</t>
        </is>
      </c>
      <c r="E173" s="369" t="inlineStr">
        <is>
          <t>รายเดือน</t>
        </is>
      </c>
      <c r="F173" s="369" t="inlineStr">
        <is>
          <t>ไทย</t>
        </is>
      </c>
      <c r="G173" s="367" t="inlineStr">
        <is>
          <t>การเคหะแหลมฉบัง  ม.6 ต.บางละมุง อ.บางละมุง จ.ชลบุรี</t>
        </is>
      </c>
      <c r="H173" s="396" t="n">
        <v>7</v>
      </c>
      <c r="I173" s="369" t="n"/>
      <c r="J173" s="369" t="inlineStr">
        <is>
          <t>รถยนต์เฉลี่ยทุกขนาด</t>
        </is>
      </c>
      <c r="K173" s="410" t="inlineStr">
        <is>
          <t>แก๊สโซฮอล์ 91</t>
        </is>
      </c>
      <c r="L173" s="396" t="n">
        <v>2</v>
      </c>
      <c r="M173" s="589" t="n"/>
      <c r="N173" s="257">
        <f>'[2]1.4 Septic'!$F$16</f>
        <v/>
      </c>
      <c r="O173" s="257">
        <f>$G$487</f>
        <v/>
      </c>
      <c r="P173" s="258" t="n"/>
      <c r="Q173" s="1731">
        <f>H173*2*L173*N173/O173</f>
        <v/>
      </c>
    </row>
    <row r="174" ht="18" customHeight="1">
      <c r="A174" s="396">
        <f>+A173+1</f>
        <v/>
      </c>
      <c r="B174" s="396" t="n">
        <v>561215</v>
      </c>
      <c r="C174" s="369" t="inlineStr">
        <is>
          <t>พงษ์พัฒน์ พรหมชาติ</t>
        </is>
      </c>
      <c r="D174" s="369" t="inlineStr">
        <is>
          <t>ชาย</t>
        </is>
      </c>
      <c r="E174" s="369" t="inlineStr">
        <is>
          <t>รายเดือน</t>
        </is>
      </c>
      <c r="F174" s="369" t="inlineStr">
        <is>
          <t>ไทย</t>
        </is>
      </c>
      <c r="G174" s="367" t="inlineStr">
        <is>
          <t xml:space="preserve"> พีพี อพาร์ตเมนท์ 289  ม.6 ต.บึง อ.ศรีราชา จ.ชลบุรี 20230</t>
        </is>
      </c>
      <c r="H174" s="396" t="n">
        <v>9</v>
      </c>
      <c r="I174" s="369" t="n"/>
      <c r="J174" s="369" t="inlineStr">
        <is>
          <t>รถจักรยานยนต์ 2 จังหวะเครื่องยนต์ขนาด 150cc</t>
        </is>
      </c>
      <c r="K174" s="410" t="inlineStr">
        <is>
          <t>แก๊สโซฮอล์ 91</t>
        </is>
      </c>
      <c r="L174" s="396" t="n">
        <v>1</v>
      </c>
      <c r="M174" s="589" t="n"/>
      <c r="N174" s="257">
        <f>'[2]1.4 Septic'!$F$16</f>
        <v/>
      </c>
      <c r="O174" s="1754">
        <f>$G$491</f>
        <v/>
      </c>
      <c r="P174" s="258" t="n"/>
      <c r="Q174" s="1731">
        <f>H174*2*L174*N174/O174</f>
        <v/>
      </c>
    </row>
    <row r="175" ht="18" customHeight="1">
      <c r="A175" s="396">
        <f>+A174+1</f>
        <v/>
      </c>
      <c r="B175" s="396" t="n">
        <v>561225</v>
      </c>
      <c r="C175" s="369" t="inlineStr">
        <is>
          <t>สาวิตรี ขัติยะ</t>
        </is>
      </c>
      <c r="D175" s="369" t="inlineStr">
        <is>
          <t>หญิง</t>
        </is>
      </c>
      <c r="E175" s="369" t="inlineStr">
        <is>
          <t>รายเดือน</t>
        </is>
      </c>
      <c r="F175" s="369" t="inlineStr">
        <is>
          <t>ไทย</t>
        </is>
      </c>
      <c r="G175" s="369" t="inlineStr">
        <is>
          <t>21 ม.4 ต.บางละมุง อ.บางละมุง จ.ชลบุรี 20150</t>
        </is>
      </c>
      <c r="H175" s="396" t="n">
        <v>10</v>
      </c>
      <c r="I175" s="369" t="n"/>
      <c r="J175" s="369" t="inlineStr">
        <is>
          <t>รถจักรยานยนต์ 4 จังหวะเครื่องยนต์ขนาด 125 cc</t>
        </is>
      </c>
      <c r="K175" s="410" t="inlineStr">
        <is>
          <t>แก๊สโซฮอล์ 91</t>
        </is>
      </c>
      <c r="L175" s="396" t="n">
        <v>1</v>
      </c>
      <c r="M175" s="589" t="n"/>
      <c r="N175" s="257">
        <f>'[2]1.4 Septic'!$F$16</f>
        <v/>
      </c>
      <c r="O175" s="257">
        <f>$G$492</f>
        <v/>
      </c>
      <c r="P175" s="258" t="n"/>
      <c r="Q175" s="1731">
        <f>H175*2*L175*N175/O175</f>
        <v/>
      </c>
    </row>
    <row r="176" ht="18" customHeight="1">
      <c r="A176" s="396">
        <f>+A175+1</f>
        <v/>
      </c>
      <c r="B176" s="396" t="n">
        <v>561247</v>
      </c>
      <c r="C176" s="369" t="inlineStr">
        <is>
          <t>เพ็ญนภา แตงน้อย</t>
        </is>
      </c>
      <c r="D176" s="369" t="inlineStr">
        <is>
          <t>หญิง</t>
        </is>
      </c>
      <c r="E176" s="369" t="inlineStr">
        <is>
          <t>รายเดือน</t>
        </is>
      </c>
      <c r="F176" s="369" t="inlineStr">
        <is>
          <t>ไทย</t>
        </is>
      </c>
      <c r="G176" s="369" t="inlineStr">
        <is>
          <t>78/23 ม.6 ต.บางละมุง อ.บางละมุง จ.ชลบุรี 20150</t>
        </is>
      </c>
      <c r="H176" s="396" t="n">
        <v>1.5</v>
      </c>
      <c r="I176" s="369" t="n"/>
      <c r="J176" s="369" t="inlineStr">
        <is>
          <t>รถจักรยานยนต์ 4 จังหวะเครื่องยนต์ขนาดเล็กกว่า 125 cc</t>
        </is>
      </c>
      <c r="K176" s="410" t="inlineStr">
        <is>
          <t>แก๊สโซฮอล์ 91</t>
        </is>
      </c>
      <c r="L176" s="396" t="n">
        <v>1</v>
      </c>
      <c r="M176" s="589" t="n"/>
      <c r="N176" s="257">
        <f>'[2]1.4 Septic'!$F$16</f>
        <v/>
      </c>
      <c r="O176" s="257">
        <f>$G$492</f>
        <v/>
      </c>
      <c r="P176" s="258" t="n"/>
      <c r="Q176" s="1731">
        <f>H176*2*L176*N176/O176</f>
        <v/>
      </c>
    </row>
    <row r="177" ht="18" customHeight="1">
      <c r="A177" s="396">
        <f>+A176+1</f>
        <v/>
      </c>
      <c r="B177" s="396" t="n">
        <v>571275</v>
      </c>
      <c r="C177" s="369" t="inlineStr">
        <is>
          <t>นริญฐิรัฏฐ์ เมยขุนทด</t>
        </is>
      </c>
      <c r="D177" s="369" t="inlineStr">
        <is>
          <t>หญิง</t>
        </is>
      </c>
      <c r="E177" s="369" t="inlineStr">
        <is>
          <t>รายเดือน</t>
        </is>
      </c>
      <c r="F177" s="369" t="inlineStr">
        <is>
          <t>ไทย</t>
        </is>
      </c>
      <c r="G177" s="369" t="inlineStr">
        <is>
          <t>18/30 ม.8 ต.บางละมุง อ.บางละมุง จ.ชลบุรี 20150</t>
        </is>
      </c>
      <c r="H177" s="396" t="n">
        <v>5</v>
      </c>
      <c r="I177" s="369" t="n"/>
      <c r="J177" s="369" t="inlineStr">
        <is>
          <t>รถจักรยานยนต์ 4 จังหวะเครื่องยนต์ขนาดเล็กกว่า 125 cc</t>
        </is>
      </c>
      <c r="K177" s="410" t="inlineStr">
        <is>
          <t>แก๊สโซฮอล์ 91</t>
        </is>
      </c>
      <c r="L177" s="396" t="n">
        <v>1</v>
      </c>
      <c r="M177" s="589" t="n"/>
      <c r="N177" s="257">
        <f>'[2]1.4 Septic'!$F$16</f>
        <v/>
      </c>
      <c r="O177" s="257">
        <f>$G$492</f>
        <v/>
      </c>
      <c r="P177" s="258" t="n"/>
      <c r="Q177" s="1731">
        <f>H177*2*L177*N177/O177</f>
        <v/>
      </c>
    </row>
    <row r="178" ht="18" customHeight="1">
      <c r="A178" s="396">
        <f>+A177+1</f>
        <v/>
      </c>
      <c r="B178" s="396" t="n">
        <v>571280</v>
      </c>
      <c r="C178" s="369" t="inlineStr">
        <is>
          <t>เกษร วงค์ไชยา</t>
        </is>
      </c>
      <c r="D178" s="369" t="inlineStr">
        <is>
          <t>หญิง</t>
        </is>
      </c>
      <c r="E178" s="369" t="inlineStr">
        <is>
          <t>รายเดือน</t>
        </is>
      </c>
      <c r="F178" s="369" t="inlineStr">
        <is>
          <t>ไทย</t>
        </is>
      </c>
      <c r="G178" s="369" t="inlineStr">
        <is>
          <t>221/122  ม.6 ต.บางละมุง อ.บางละมุง จ.ชลบุรี 20150</t>
        </is>
      </c>
      <c r="H178" s="396" t="n">
        <v>7</v>
      </c>
      <c r="I178" s="369" t="n"/>
      <c r="J178" s="369" t="inlineStr">
        <is>
          <t>รถจักรยานยนต์ 4 จังหวะเครื่องยนต์ขนาด 125 cc</t>
        </is>
      </c>
      <c r="K178" s="410" t="inlineStr">
        <is>
          <t>แก๊สโซฮอล์ 95</t>
        </is>
      </c>
      <c r="L178" s="396" t="n">
        <v>2</v>
      </c>
      <c r="M178" s="589" t="n"/>
      <c r="N178" s="257">
        <f>'[2]1.4 Septic'!$F$16</f>
        <v/>
      </c>
      <c r="O178" s="257">
        <f>$G$492</f>
        <v/>
      </c>
      <c r="P178" s="258" t="n"/>
      <c r="Q178" s="1731">
        <f>H178*2*L178*N178/O178</f>
        <v/>
      </c>
    </row>
    <row r="179" ht="18" customHeight="1">
      <c r="A179" s="396">
        <f>+A178+1</f>
        <v/>
      </c>
      <c r="B179" s="396" t="n">
        <v>571281</v>
      </c>
      <c r="C179" s="369" t="inlineStr">
        <is>
          <t>ธัญชนก มีลาด</t>
        </is>
      </c>
      <c r="D179" s="369" t="inlineStr">
        <is>
          <t>หญิง</t>
        </is>
      </c>
      <c r="E179" s="369" t="inlineStr">
        <is>
          <t>รายเดือน</t>
        </is>
      </c>
      <c r="F179" s="369" t="inlineStr">
        <is>
          <t>ไทย</t>
        </is>
      </c>
      <c r="G179" s="369" t="inlineStr">
        <is>
          <t>158/79 ม.12 ต.ทุ่งสุขลา อ.ศรีราชา จ.ชลบุรี 20230</t>
        </is>
      </c>
      <c r="H179" s="396" t="n">
        <v>6</v>
      </c>
      <c r="I179" s="369" t="n"/>
      <c r="J179" s="369" t="inlineStr">
        <is>
          <t>รถจักรยานยนต์ 4 จังหวะเครื่องยนต์ขนาด 125 cc</t>
        </is>
      </c>
      <c r="K179" s="410" t="inlineStr">
        <is>
          <t>แก๊สโซฮอล์ 91</t>
        </is>
      </c>
      <c r="L179" s="396" t="n">
        <v>1</v>
      </c>
      <c r="M179" s="589" t="n"/>
      <c r="N179" s="257">
        <f>'[2]1.4 Septic'!$F$16</f>
        <v/>
      </c>
      <c r="O179" s="257">
        <f>$G$492</f>
        <v/>
      </c>
      <c r="P179" s="258" t="n"/>
      <c r="Q179" s="1731">
        <f>H179*2*L179*N179/O179</f>
        <v/>
      </c>
    </row>
    <row r="180" ht="18" customHeight="1">
      <c r="A180" s="396">
        <f>+A179+1</f>
        <v/>
      </c>
      <c r="B180" s="396" t="n">
        <v>571282</v>
      </c>
      <c r="C180" s="369" t="inlineStr">
        <is>
          <t>วรัญญา สำอางค์</t>
        </is>
      </c>
      <c r="D180" s="369" t="inlineStr">
        <is>
          <t>หญิง</t>
        </is>
      </c>
      <c r="E180" s="369" t="inlineStr">
        <is>
          <t>รายเดือน</t>
        </is>
      </c>
      <c r="F180" s="369" t="inlineStr">
        <is>
          <t>ไทย</t>
        </is>
      </c>
      <c r="G180" s="369" t="inlineStr">
        <is>
          <t>281 ม.5 ต.บางละมุง อ.บางละมุง จ.ชลบุรี 20150</t>
        </is>
      </c>
      <c r="H180" s="396" t="n">
        <v>6</v>
      </c>
      <c r="I180" s="369" t="n"/>
      <c r="J180" s="369" t="inlineStr">
        <is>
          <t>รถจักรยานยนต์ 4 จังหวะเครื่องยนต์ขนาดเล็กกว่า 125 cc</t>
        </is>
      </c>
      <c r="K180" s="410" t="inlineStr">
        <is>
          <t>แก๊สโซฮอล์ 91</t>
        </is>
      </c>
      <c r="L180" s="396" t="n">
        <v>1</v>
      </c>
      <c r="M180" s="589" t="n"/>
      <c r="N180" s="257">
        <f>'[2]1.4 Septic'!$F$16</f>
        <v/>
      </c>
      <c r="O180" s="257">
        <f>$G$492</f>
        <v/>
      </c>
      <c r="P180" s="258" t="n"/>
      <c r="Q180" s="1731">
        <f>H180*2*L180*N180/O180</f>
        <v/>
      </c>
    </row>
    <row r="181" ht="18" customHeight="1">
      <c r="A181" s="396">
        <f>+A180+1</f>
        <v/>
      </c>
      <c r="B181" s="396" t="n">
        <v>571284</v>
      </c>
      <c r="C181" s="369" t="inlineStr">
        <is>
          <t>อมรรัตน์ ศรีพันธ์</t>
        </is>
      </c>
      <c r="D181" s="369" t="inlineStr">
        <is>
          <t>หญิง</t>
        </is>
      </c>
      <c r="E181" s="369" t="inlineStr">
        <is>
          <t>รายเดือน</t>
        </is>
      </c>
      <c r="F181" s="369" t="inlineStr">
        <is>
          <t>ไทย</t>
        </is>
      </c>
      <c r="G181" s="593" t="inlineStr">
        <is>
          <t>220/211 ม.6 ต.บางละมุง อ.บางละมุง จ.ชลบุรี 20150</t>
        </is>
      </c>
      <c r="H181" s="396" t="n">
        <v>7</v>
      </c>
      <c r="I181" s="369" t="n"/>
      <c r="J181" s="369" t="inlineStr">
        <is>
          <t>รถกระบะบรรทุก</t>
        </is>
      </c>
      <c r="K181" s="410" t="inlineStr">
        <is>
          <t>ดีเซล</t>
        </is>
      </c>
      <c r="L181" s="396" t="n">
        <v>2</v>
      </c>
      <c r="M181" s="589" t="n"/>
      <c r="N181" s="257">
        <f>'[2]1.4 Septic'!$F$16</f>
        <v/>
      </c>
      <c r="O181" s="257" t="n">
        <v>6.369</v>
      </c>
      <c r="P181" s="1731">
        <f>H181*2*L181*N181/O181</f>
        <v/>
      </c>
      <c r="Q181" s="258" t="n"/>
    </row>
    <row r="182" ht="18" customHeight="1">
      <c r="A182" s="396">
        <f>+A181+1</f>
        <v/>
      </c>
      <c r="B182" s="396" t="n">
        <v>571287</v>
      </c>
      <c r="C182" s="369" t="inlineStr">
        <is>
          <t>พลวัต ศรีวิชัย</t>
        </is>
      </c>
      <c r="D182" s="369" t="inlineStr">
        <is>
          <t>ชาย</t>
        </is>
      </c>
      <c r="E182" s="369" t="inlineStr">
        <is>
          <t>รายเดือน</t>
        </is>
      </c>
      <c r="F182" s="369" t="inlineStr">
        <is>
          <t>ไทย</t>
        </is>
      </c>
      <c r="G182" s="369" t="inlineStr">
        <is>
          <t>เคหะแหลมฉบัง ตึก 20 ม.6 ต.บางละมุง อ.บางละมุง จ.ชลบุรี 20150</t>
        </is>
      </c>
      <c r="H182" s="396" t="n">
        <v>6</v>
      </c>
      <c r="I182" s="369" t="n"/>
      <c r="J182" s="369" t="inlineStr">
        <is>
          <t>รถจักรยานยนต์ 4 จังหวะเครื่องยนต์ขนาดเล็กกว่า 125 cc</t>
        </is>
      </c>
      <c r="K182" s="410" t="inlineStr">
        <is>
          <t>แก๊สโซฮอล์ 91</t>
        </is>
      </c>
      <c r="L182" s="396" t="n">
        <v>1</v>
      </c>
      <c r="M182" s="589" t="n"/>
      <c r="N182" s="257">
        <f>'[2]1.4 Septic'!$F$16</f>
        <v/>
      </c>
      <c r="O182" s="257">
        <f>$G$492</f>
        <v/>
      </c>
      <c r="P182" s="258" t="n"/>
      <c r="Q182" s="1731">
        <f>H182*2*L182*N182/O182</f>
        <v/>
      </c>
    </row>
    <row r="183" ht="18" customHeight="1">
      <c r="A183" s="396">
        <f>+A182+1</f>
        <v/>
      </c>
      <c r="B183" s="396" t="n">
        <v>571297</v>
      </c>
      <c r="C183" s="369" t="inlineStr">
        <is>
          <t>สายบัว ลุมชะเนา</t>
        </is>
      </c>
      <c r="D183" s="369" t="inlineStr">
        <is>
          <t>หญิง</t>
        </is>
      </c>
      <c r="E183" s="369" t="inlineStr">
        <is>
          <t>รายเดือน</t>
        </is>
      </c>
      <c r="F183" s="369" t="inlineStr">
        <is>
          <t>ไทย</t>
        </is>
      </c>
      <c r="G183" s="369" t="inlineStr">
        <is>
          <t>582/160 ม.11 ต.หนองขาม อ.ศรีราชา จ.ชลบุรี 20230</t>
        </is>
      </c>
      <c r="H183" s="396" t="n">
        <v>6</v>
      </c>
      <c r="I183" s="369" t="n"/>
      <c r="J183" s="369" t="inlineStr">
        <is>
          <t>รถยนต์เฉลี่ยทุกขนาด</t>
        </is>
      </c>
      <c r="K183" s="410" t="inlineStr">
        <is>
          <t>แก๊สโซฮอล์ 95</t>
        </is>
      </c>
      <c r="L183" s="396" t="n">
        <v>1</v>
      </c>
      <c r="M183" s="589" t="n"/>
      <c r="N183" s="257">
        <f>'[2]1.4 Septic'!$F$16</f>
        <v/>
      </c>
      <c r="O183" s="257">
        <f>$G$487</f>
        <v/>
      </c>
      <c r="P183" s="258" t="n"/>
      <c r="Q183" s="1731">
        <f>H183*2*L183*N183/O183</f>
        <v/>
      </c>
    </row>
    <row r="184" ht="18" customHeight="1">
      <c r="A184" s="396">
        <f>+A183+1</f>
        <v/>
      </c>
      <c r="B184" s="396" t="n">
        <v>571299</v>
      </c>
      <c r="C184" s="369" t="inlineStr">
        <is>
          <t>นฎกร สิงห์วงค์</t>
        </is>
      </c>
      <c r="D184" s="369" t="inlineStr">
        <is>
          <t>หญิง</t>
        </is>
      </c>
      <c r="E184" s="369" t="inlineStr">
        <is>
          <t>รายเดือน</t>
        </is>
      </c>
      <c r="F184" s="369" t="inlineStr">
        <is>
          <t>ไทย</t>
        </is>
      </c>
      <c r="G184" s="593" t="inlineStr">
        <is>
          <t>888/28 ม.8 บ.ทุ่งกราด ต.บางละมุง อ.บางละมุง จ.ชลบุรี 20150</t>
        </is>
      </c>
      <c r="H184" s="396" t="n">
        <v>11</v>
      </c>
      <c r="I184" s="369" t="n"/>
      <c r="J184" s="369" t="inlineStr">
        <is>
          <t>รถจักรยานยนต์ 4 จังหวะเครื่องยนต์ขนาดเล็กกว่า 125 cc</t>
        </is>
      </c>
      <c r="K184" s="410" t="inlineStr">
        <is>
          <t>แก๊สโซฮอล์ 95</t>
        </is>
      </c>
      <c r="L184" s="396" t="n">
        <v>1</v>
      </c>
      <c r="M184" s="589" t="n"/>
      <c r="N184" s="257">
        <f>'[2]1.4 Septic'!$F$16</f>
        <v/>
      </c>
      <c r="O184" s="257">
        <f>$G$492</f>
        <v/>
      </c>
      <c r="P184" s="258" t="n"/>
      <c r="Q184" s="1731">
        <f>H184*2*L184*N184/O184</f>
        <v/>
      </c>
    </row>
    <row r="185" ht="18" customHeight="1">
      <c r="A185" s="396">
        <f>+A184+1</f>
        <v/>
      </c>
      <c r="B185" s="396" t="n">
        <v>571321</v>
      </c>
      <c r="C185" s="369" t="inlineStr">
        <is>
          <t>ภาวิณี แสงใสแก้ว</t>
        </is>
      </c>
      <c r="D185" s="369" t="inlineStr">
        <is>
          <t>หญิง</t>
        </is>
      </c>
      <c r="E185" s="369" t="inlineStr">
        <is>
          <t>รายเดือน</t>
        </is>
      </c>
      <c r="F185" s="369" t="inlineStr">
        <is>
          <t>ไทย</t>
        </is>
      </c>
      <c r="G185" s="369" t="inlineStr">
        <is>
          <t>130/218-219 ม.9 ต.ทุ่งสุขลา อ.ศรีราชา จ.ชลบุรี 20230</t>
        </is>
      </c>
      <c r="H185" s="396" t="n">
        <v>6</v>
      </c>
      <c r="I185" s="369" t="n"/>
      <c r="J185" s="369" t="inlineStr">
        <is>
          <t>รถยนต์เฉลี่ยทุกขนาด</t>
        </is>
      </c>
      <c r="K185" s="410" t="inlineStr">
        <is>
          <t>แก๊สโซฮอล์ 95</t>
        </is>
      </c>
      <c r="L185" s="396" t="n">
        <v>1</v>
      </c>
      <c r="M185" s="589" t="n"/>
      <c r="N185" s="257">
        <f>'[2]1.4 Septic'!$F$16</f>
        <v/>
      </c>
      <c r="O185" s="257">
        <f>$G$487</f>
        <v/>
      </c>
      <c r="P185" s="258" t="n"/>
      <c r="Q185" s="1731">
        <f>H185*2*L185*N185/O185</f>
        <v/>
      </c>
    </row>
    <row r="186" ht="18" customHeight="1">
      <c r="A186" s="396">
        <f>+A185+1</f>
        <v/>
      </c>
      <c r="B186" s="396" t="n">
        <v>571324</v>
      </c>
      <c r="C186" s="369" t="inlineStr">
        <is>
          <t>นริทรา ลีประโคน</t>
        </is>
      </c>
      <c r="D186" s="369" t="inlineStr">
        <is>
          <t>หญิง</t>
        </is>
      </c>
      <c r="E186" s="369" t="inlineStr">
        <is>
          <t>รายเดือน</t>
        </is>
      </c>
      <c r="F186" s="369" t="inlineStr">
        <is>
          <t>ไทย</t>
        </is>
      </c>
      <c r="G186" s="369" t="inlineStr">
        <is>
          <t>บ้านทุ่งกราด ต.บางละมุง อ.ศรีราชา จ.ชลบุรี 20230</t>
        </is>
      </c>
      <c r="H186" s="396" t="n">
        <v>10</v>
      </c>
      <c r="I186" s="369" t="n"/>
      <c r="J186" s="369" t="inlineStr">
        <is>
          <t>รถจักรยานยนต์ 4 จังหวะเครื่องยนต์ขนาด 125 cc</t>
        </is>
      </c>
      <c r="K186" s="410" t="inlineStr">
        <is>
          <t>แก๊สโซฮอล์ 95</t>
        </is>
      </c>
      <c r="L186" s="396" t="n">
        <v>1</v>
      </c>
      <c r="M186" s="589" t="n"/>
      <c r="N186" s="257">
        <f>'[2]1.4 Septic'!$F$16</f>
        <v/>
      </c>
      <c r="O186" s="257">
        <f>$G$492</f>
        <v/>
      </c>
      <c r="P186" s="258" t="n"/>
      <c r="Q186" s="1731">
        <f>H186*2*L186*N186/O186</f>
        <v/>
      </c>
    </row>
    <row r="187" ht="18" customHeight="1">
      <c r="A187" s="396">
        <f>+A186+1</f>
        <v/>
      </c>
      <c r="B187" s="396" t="n">
        <v>571336</v>
      </c>
      <c r="C187" s="369" t="inlineStr">
        <is>
          <t>อรปรียา หลักหาญ</t>
        </is>
      </c>
      <c r="D187" s="369" t="inlineStr">
        <is>
          <t>หญิง</t>
        </is>
      </c>
      <c r="E187" s="369" t="inlineStr">
        <is>
          <t>รายเดือน</t>
        </is>
      </c>
      <c r="F187" s="369" t="inlineStr">
        <is>
          <t>ไทย</t>
        </is>
      </c>
      <c r="G187" s="369" t="inlineStr">
        <is>
          <t>144/25 ม.9 ต.ทุ่งสุขลา อ.ศรีราชา จ.ชลบุรี 20230</t>
        </is>
      </c>
      <c r="H187" s="396" t="n">
        <v>3</v>
      </c>
      <c r="I187" s="369" t="n"/>
      <c r="J187" s="369" t="inlineStr">
        <is>
          <t>รถจักรยานยนต์ 4 จังหวะเครื่องยนต์ขนาดเล็กกว่า 125 cc</t>
        </is>
      </c>
      <c r="K187" s="410" t="inlineStr">
        <is>
          <t>แก๊สโซฮอล์ 91</t>
        </is>
      </c>
      <c r="L187" s="396" t="n">
        <v>2</v>
      </c>
      <c r="M187" s="589" t="n"/>
      <c r="N187" s="257">
        <f>'[2]1.4 Septic'!$F$16</f>
        <v/>
      </c>
      <c r="O187" s="257">
        <f>$G$492</f>
        <v/>
      </c>
      <c r="P187" s="258" t="n"/>
      <c r="Q187" s="1731">
        <f>H187*2*L187*N187/O187</f>
        <v/>
      </c>
    </row>
    <row r="188" ht="18" customHeight="1">
      <c r="A188" s="396">
        <f>+A187+1</f>
        <v/>
      </c>
      <c r="B188" s="396" t="n">
        <v>571349</v>
      </c>
      <c r="C188" s="369" t="inlineStr">
        <is>
          <t>ประจวบ ผดุงชีพ</t>
        </is>
      </c>
      <c r="D188" s="369" t="inlineStr">
        <is>
          <t>ชาย</t>
        </is>
      </c>
      <c r="E188" s="369" t="inlineStr">
        <is>
          <t>รายเดือน</t>
        </is>
      </c>
      <c r="F188" s="369" t="inlineStr">
        <is>
          <t>ไทย</t>
        </is>
      </c>
      <c r="G188" s="593" t="inlineStr">
        <is>
          <t xml:space="preserve"> 21/1 ม.4 ต.บางละมุง อ.บางละมุง จ.ชลบุรี 20150</t>
        </is>
      </c>
      <c r="H188" s="396" t="n">
        <v>4</v>
      </c>
      <c r="I188" s="369" t="n"/>
      <c r="J188" s="369" t="inlineStr">
        <is>
          <t>รถจักรยานยนต์ 4 จังหวะเครื่องยนต์ขนาดเล็กกว่า 125 cc</t>
        </is>
      </c>
      <c r="K188" s="410" t="inlineStr">
        <is>
          <t>เบนซิน</t>
        </is>
      </c>
      <c r="L188" s="396" t="n">
        <v>1</v>
      </c>
      <c r="M188" s="589" t="n"/>
      <c r="N188" s="257">
        <f>'[2]1.4 Septic'!$F$16</f>
        <v/>
      </c>
      <c r="O188" s="257">
        <f>$G$492</f>
        <v/>
      </c>
      <c r="P188" s="258" t="n"/>
      <c r="Q188" s="1731">
        <f>H188*2*L188*N188/O188</f>
        <v/>
      </c>
    </row>
    <row r="189" ht="18" customHeight="1">
      <c r="A189" s="396">
        <f>+A188+1</f>
        <v/>
      </c>
      <c r="B189" s="396" t="n">
        <v>571352</v>
      </c>
      <c r="C189" s="369" t="inlineStr">
        <is>
          <t>วารุรี จุลวงษ์</t>
        </is>
      </c>
      <c r="D189" s="369" t="inlineStr">
        <is>
          <t>หญิง</t>
        </is>
      </c>
      <c r="E189" s="369" t="inlineStr">
        <is>
          <t>รายเดือน</t>
        </is>
      </c>
      <c r="F189" s="369" t="inlineStr">
        <is>
          <t>ไทย</t>
        </is>
      </c>
      <c r="G189" s="369" t="inlineStr">
        <is>
          <t>214/70 ม.6 ต.บางละมุง อ.บางละมุง จ.ชลบุรี 20150</t>
        </is>
      </c>
      <c r="H189" s="396" t="n">
        <v>8.9</v>
      </c>
      <c r="I189" s="369" t="n"/>
      <c r="J189" s="369" t="inlineStr">
        <is>
          <t>รถจักรยานยนต์ 4 จังหวะเครื่องยนต์ขนาดเล็กกว่า 125 cc</t>
        </is>
      </c>
      <c r="K189" s="410" t="inlineStr">
        <is>
          <t>แก๊สโซฮอล์ 95</t>
        </is>
      </c>
      <c r="L189" s="396" t="n">
        <v>2</v>
      </c>
      <c r="M189" s="589" t="n"/>
      <c r="N189" s="257">
        <f>'[2]1.4 Septic'!$F$16</f>
        <v/>
      </c>
      <c r="O189" s="257">
        <f>$G$492</f>
        <v/>
      </c>
      <c r="P189" s="258" t="n"/>
      <c r="Q189" s="1731">
        <f>H189*2*L189*N189/O189</f>
        <v/>
      </c>
    </row>
    <row r="190" ht="18" customHeight="1">
      <c r="A190" s="396">
        <f>+A189+1</f>
        <v/>
      </c>
      <c r="B190" s="396" t="n">
        <v>571356</v>
      </c>
      <c r="C190" s="369" t="inlineStr">
        <is>
          <t>กัลยานี ศรีนาม</t>
        </is>
      </c>
      <c r="D190" s="369" t="inlineStr">
        <is>
          <t>หญิง</t>
        </is>
      </c>
      <c r="E190" s="369" t="inlineStr">
        <is>
          <t>รายเดือน</t>
        </is>
      </c>
      <c r="F190" s="369" t="inlineStr">
        <is>
          <t>ไทย</t>
        </is>
      </c>
      <c r="G190" s="588" t="inlineStr">
        <is>
          <t>1/145 ต.บางละมุง อ.ศรีราชา จ.ชลบุรี 20230</t>
        </is>
      </c>
      <c r="H190" s="396" t="n">
        <v>7</v>
      </c>
      <c r="I190" s="369" t="n"/>
      <c r="J190" s="369" t="inlineStr">
        <is>
          <t>รถยนต์เฉลี่ยทุกขนาด</t>
        </is>
      </c>
      <c r="K190" s="410" t="inlineStr">
        <is>
          <t>แก๊สโซฮอล์ 95</t>
        </is>
      </c>
      <c r="L190" s="396" t="n">
        <v>1</v>
      </c>
      <c r="M190" s="589" t="n"/>
      <c r="N190" s="257">
        <f>'[2]1.4 Septic'!$F$16</f>
        <v/>
      </c>
      <c r="O190" s="257">
        <f>$G$487</f>
        <v/>
      </c>
      <c r="P190" s="258" t="n"/>
      <c r="Q190" s="1731">
        <f>H190*2*L190*N190/O190</f>
        <v/>
      </c>
    </row>
    <row r="191" ht="18" customHeight="1">
      <c r="A191" s="396">
        <f>+A190+1</f>
        <v/>
      </c>
      <c r="B191" s="396" t="n">
        <v>571373</v>
      </c>
      <c r="C191" s="369" t="inlineStr">
        <is>
          <t>อนุพงษ์ อุทโท</t>
        </is>
      </c>
      <c r="D191" s="369" t="inlineStr">
        <is>
          <t>ชาย</t>
        </is>
      </c>
      <c r="E191" s="369" t="inlineStr">
        <is>
          <t>รายเดือน</t>
        </is>
      </c>
      <c r="F191" s="369" t="inlineStr">
        <is>
          <t>ไทย</t>
        </is>
      </c>
      <c r="G191" s="367" t="inlineStr">
        <is>
          <t>บางพระ หมู่ 10 ต.บางพระ อ.ศรีราชา จ.ชลบุรี 20110</t>
        </is>
      </c>
      <c r="H191" s="396" t="n">
        <v>10</v>
      </c>
      <c r="I191" s="369" t="n"/>
      <c r="J191" s="369" t="inlineStr">
        <is>
          <t>รถจักรยานยนต์ 4 จังหวะเครื่องยนต์ขนาด 125 cc</t>
        </is>
      </c>
      <c r="K191" s="410" t="inlineStr">
        <is>
          <t>แก๊สโซฮอล์ 95</t>
        </is>
      </c>
      <c r="L191" s="396" t="n">
        <v>2</v>
      </c>
      <c r="M191" s="589" t="n"/>
      <c r="N191" s="257">
        <f>'[2]1.4 Septic'!$F$16</f>
        <v/>
      </c>
      <c r="O191" s="257">
        <f>$G$492</f>
        <v/>
      </c>
      <c r="P191" s="258" t="n"/>
      <c r="Q191" s="1731">
        <f>H191*2*L191*N191/O191</f>
        <v/>
      </c>
    </row>
    <row r="192" ht="18" customHeight="1">
      <c r="A192" s="396">
        <f>+A191+1</f>
        <v/>
      </c>
      <c r="B192" s="396" t="n">
        <v>571384</v>
      </c>
      <c r="C192" s="369" t="inlineStr">
        <is>
          <t>อรรณพ ดอนชวนชม</t>
        </is>
      </c>
      <c r="D192" s="369" t="inlineStr">
        <is>
          <t>ชาย</t>
        </is>
      </c>
      <c r="E192" s="369" t="inlineStr">
        <is>
          <t>รายเดือน</t>
        </is>
      </c>
      <c r="F192" s="369" t="inlineStr">
        <is>
          <t>ไทย</t>
        </is>
      </c>
      <c r="G192" s="369" t="inlineStr">
        <is>
          <t>220-053 ม.6 ต.บางละมุง อ.บางละมุง จ.ชลบุรี 20150</t>
        </is>
      </c>
      <c r="H192" s="396" t="n">
        <v>6</v>
      </c>
      <c r="I192" s="369" t="n"/>
      <c r="J192" s="369" t="inlineStr">
        <is>
          <t>รถจักรยานยนต์ 4 จังหวะเครื่องยนต์ขนาด 125 cc</t>
        </is>
      </c>
      <c r="K192" s="410" t="inlineStr">
        <is>
          <t>แก๊สโซฮอล์ 95</t>
        </is>
      </c>
      <c r="L192" s="396" t="n">
        <v>1</v>
      </c>
      <c r="M192" s="589" t="n"/>
      <c r="N192" s="257">
        <f>'[2]1.4 Septic'!$F$16</f>
        <v/>
      </c>
      <c r="O192" s="257">
        <f>$G$492</f>
        <v/>
      </c>
      <c r="P192" s="258" t="n"/>
      <c r="Q192" s="1731">
        <f>H192*2*L192*N192/O192</f>
        <v/>
      </c>
    </row>
    <row r="193" ht="18" customHeight="1">
      <c r="A193" s="396">
        <f>+A192+1</f>
        <v/>
      </c>
      <c r="B193" s="396" t="n">
        <v>571406</v>
      </c>
      <c r="C193" s="369" t="inlineStr">
        <is>
          <t>สถาพร คะสุวรรณ</t>
        </is>
      </c>
      <c r="D193" s="369" t="inlineStr">
        <is>
          <t>ชาย</t>
        </is>
      </c>
      <c r="E193" s="369" t="inlineStr">
        <is>
          <t>รายเดือน</t>
        </is>
      </c>
      <c r="F193" s="369" t="inlineStr">
        <is>
          <t>ไทย</t>
        </is>
      </c>
      <c r="G193" s="369" t="inlineStr">
        <is>
          <t>72/12 ต.บางละมุง อ.บางละมุง จ.ชลบุรี 20150</t>
        </is>
      </c>
      <c r="H193" s="396" t="n">
        <v>3</v>
      </c>
      <c r="I193" s="369" t="n"/>
      <c r="J193" s="369" t="inlineStr">
        <is>
          <t>รถจักรยานยนต์ 4 จังหวะเครื่องยนต์ขนาดเล็กกว่า 125 cc</t>
        </is>
      </c>
      <c r="K193" s="410" t="inlineStr">
        <is>
          <t>แก๊สโซฮอล์ 95</t>
        </is>
      </c>
      <c r="L193" s="396" t="n">
        <v>1</v>
      </c>
      <c r="M193" s="589" t="n"/>
      <c r="N193" s="257">
        <f>'[2]1.4 Septic'!$F$16</f>
        <v/>
      </c>
      <c r="O193" s="257">
        <f>$G$492</f>
        <v/>
      </c>
      <c r="P193" s="258" t="n"/>
      <c r="Q193" s="1731">
        <f>H193*2*L193*N193/O193</f>
        <v/>
      </c>
    </row>
    <row r="194" ht="18" customHeight="1">
      <c r="A194" s="396">
        <f>+A193+1</f>
        <v/>
      </c>
      <c r="B194" s="396" t="n">
        <v>571409</v>
      </c>
      <c r="C194" s="369" t="inlineStr">
        <is>
          <t>ไพบูลย์ บัวมาตร</t>
        </is>
      </c>
      <c r="D194" s="369" t="inlineStr">
        <is>
          <t>ชาย</t>
        </is>
      </c>
      <c r="E194" s="369" t="inlineStr">
        <is>
          <t>รายเดือน</t>
        </is>
      </c>
      <c r="F194" s="369" t="inlineStr">
        <is>
          <t>ไทย</t>
        </is>
      </c>
      <c r="G194" s="367" t="inlineStr">
        <is>
          <t>หมู่ที่ 6 ถ. สุขุมวิท ต.ทุ่งสุขลา อ.ศรีราชา จ.ชลบุรี 20230</t>
        </is>
      </c>
      <c r="H194" s="396" t="n">
        <v>3.7</v>
      </c>
      <c r="I194" s="369" t="n"/>
      <c r="J194" s="369" t="inlineStr">
        <is>
          <t>รถยนต์ขนาดเล็ก (1500 cc)</t>
        </is>
      </c>
      <c r="K194" s="410" t="inlineStr">
        <is>
          <t>แก๊สโซฮอล์ 95</t>
        </is>
      </c>
      <c r="L194" s="396" t="n">
        <v>2</v>
      </c>
      <c r="M194" s="589" t="n"/>
      <c r="N194" s="257">
        <f>'[2]1.4 Septic'!$F$16</f>
        <v/>
      </c>
      <c r="O194" s="257">
        <f>$G$498</f>
        <v/>
      </c>
      <c r="P194" s="258" t="n"/>
      <c r="Q194" s="1731">
        <f>H194*2*L194*N194/O194</f>
        <v/>
      </c>
    </row>
    <row r="195" ht="18" customHeight="1">
      <c r="A195" s="396">
        <f>+A194+1</f>
        <v/>
      </c>
      <c r="B195" s="396" t="n">
        <v>571414</v>
      </c>
      <c r="C195" s="369" t="inlineStr">
        <is>
          <t>นันทิดา สังข์สีแก้ว</t>
        </is>
      </c>
      <c r="D195" s="369" t="inlineStr">
        <is>
          <t>หญิง</t>
        </is>
      </c>
      <c r="E195" s="369" t="inlineStr">
        <is>
          <t>รายเดือน</t>
        </is>
      </c>
      <c r="F195" s="369" t="inlineStr">
        <is>
          <t>ไทย</t>
        </is>
      </c>
      <c r="G195" s="369" t="inlineStr">
        <is>
          <t>93/75 ม.4 ต.บางละมุง อ.บางละมุง จ.ชลบุรี 20150</t>
        </is>
      </c>
      <c r="H195" s="396" t="n">
        <v>10</v>
      </c>
      <c r="I195" s="369" t="n"/>
      <c r="J195" s="369" t="inlineStr">
        <is>
          <t>รถยนต์ขนาดเล็ก (1500 cc)</t>
        </is>
      </c>
      <c r="K195" s="410" t="inlineStr">
        <is>
          <t>แก๊สโซฮอล์ 91</t>
        </is>
      </c>
      <c r="L195" s="396" t="n">
        <v>1</v>
      </c>
      <c r="M195" s="589" t="n"/>
      <c r="N195" s="257">
        <f>'[2]1.4 Septic'!$F$16</f>
        <v/>
      </c>
      <c r="O195" s="257">
        <f>$G$498</f>
        <v/>
      </c>
      <c r="P195" s="258" t="n"/>
      <c r="Q195" s="1731">
        <f>H195*2*L195*N195/O195</f>
        <v/>
      </c>
    </row>
    <row r="196" ht="18" customHeight="1">
      <c r="A196" s="396">
        <f>+A195+1</f>
        <v/>
      </c>
      <c r="B196" s="396" t="n">
        <v>571420</v>
      </c>
      <c r="C196" s="369" t="inlineStr">
        <is>
          <t>ศิรินันท์ หมีดง</t>
        </is>
      </c>
      <c r="D196" s="369" t="inlineStr">
        <is>
          <t>หญิง</t>
        </is>
      </c>
      <c r="E196" s="369" t="inlineStr">
        <is>
          <t>รายเดือน</t>
        </is>
      </c>
      <c r="F196" s="369" t="inlineStr">
        <is>
          <t>ไทย</t>
        </is>
      </c>
      <c r="G196" s="369" t="inlineStr">
        <is>
          <t>151/31 ม.10 ต.หนองปรือ อ.บางละมุง จ.ชลบุรี 20150</t>
        </is>
      </c>
      <c r="H196" s="396" t="n">
        <v>8.300000000000001</v>
      </c>
      <c r="I196" s="369" t="n"/>
      <c r="J196" s="369" t="inlineStr">
        <is>
          <t>รถยนต์เฉลี่ยทุกขนาด</t>
        </is>
      </c>
      <c r="K196" s="410" t="inlineStr">
        <is>
          <t>แก๊สโซฮอล์ E20</t>
        </is>
      </c>
      <c r="L196" s="396" t="n">
        <v>1</v>
      </c>
      <c r="M196" s="589" t="n"/>
      <c r="N196" s="257">
        <f>'[2]1.4 Septic'!$F$16</f>
        <v/>
      </c>
      <c r="O196" s="257">
        <f>$G$487</f>
        <v/>
      </c>
      <c r="P196" s="258" t="n"/>
      <c r="Q196" s="1731">
        <f>H196*2*L196*N196/O196</f>
        <v/>
      </c>
    </row>
    <row r="197" ht="18" customHeight="1">
      <c r="A197" s="396">
        <f>+A196+1</f>
        <v/>
      </c>
      <c r="B197" s="396" t="n">
        <v>571423</v>
      </c>
      <c r="C197" s="369" t="inlineStr">
        <is>
          <t>จันนภา ศรีผาแหย่ง</t>
        </is>
      </c>
      <c r="D197" s="369" t="inlineStr">
        <is>
          <t>หญิง</t>
        </is>
      </c>
      <c r="E197" s="369" t="inlineStr">
        <is>
          <t>รายเดือน</t>
        </is>
      </c>
      <c r="F197" s="369" t="inlineStr">
        <is>
          <t>ไทย</t>
        </is>
      </c>
      <c r="G197" s="369" t="inlineStr">
        <is>
          <t>988/18 ม.9 ต.ทุ่งสุขลา อ.ศรีราชา จ.ชลบุรี 20230</t>
        </is>
      </c>
      <c r="H197" s="396" t="n">
        <v>4</v>
      </c>
      <c r="I197" s="369" t="n"/>
      <c r="J197" s="369" t="inlineStr">
        <is>
          <t>รถจักรยานยนต์ 4 จังหวะเครื่องยนต์ขนาดเล็กกว่า 125 cc</t>
        </is>
      </c>
      <c r="K197" s="410" t="inlineStr">
        <is>
          <t>แก๊สโซฮอล์ 91</t>
        </is>
      </c>
      <c r="L197" s="396" t="n">
        <v>2</v>
      </c>
      <c r="M197" s="589" t="n"/>
      <c r="N197" s="257">
        <f>'[2]1.4 Septic'!$F$16</f>
        <v/>
      </c>
      <c r="O197" s="257">
        <f>$G$492</f>
        <v/>
      </c>
      <c r="P197" s="258" t="n"/>
      <c r="Q197" s="1731">
        <f>H197*2*L197*N197/O197</f>
        <v/>
      </c>
    </row>
    <row r="198" ht="18" customHeight="1">
      <c r="A198" s="396">
        <f>+A197+1</f>
        <v/>
      </c>
      <c r="B198" s="396" t="n">
        <v>581425</v>
      </c>
      <c r="C198" s="369" t="inlineStr">
        <is>
          <t>นันทิยา ภิญโญทรัพย์</t>
        </is>
      </c>
      <c r="D198" s="369" t="inlineStr">
        <is>
          <t>หญิง</t>
        </is>
      </c>
      <c r="E198" s="369" t="inlineStr">
        <is>
          <t>รายเดือน</t>
        </is>
      </c>
      <c r="F198" s="369" t="inlineStr">
        <is>
          <t>ไทย</t>
        </is>
      </c>
      <c r="G198" s="593" t="inlineStr">
        <is>
          <t xml:space="preserve">9/7  หมู่.7  ต.บางละมุง อ.บางละมุง จ.ชลบุรี 20150 </t>
        </is>
      </c>
      <c r="H198" s="396" t="n">
        <v>13</v>
      </c>
      <c r="I198" s="369" t="n"/>
      <c r="J198" s="369" t="inlineStr">
        <is>
          <t>รถกระบะบรรทุก</t>
        </is>
      </c>
      <c r="K198" s="410" t="inlineStr">
        <is>
          <t>ดีเซล</t>
        </is>
      </c>
      <c r="L198" s="396" t="n">
        <v>1</v>
      </c>
      <c r="M198" s="589" t="n"/>
      <c r="N198" s="257">
        <f>'[2]1.4 Septic'!$F$16</f>
        <v/>
      </c>
      <c r="O198" s="257" t="n">
        <v>6.369</v>
      </c>
      <c r="P198" s="1731">
        <f>H198*2*L198*N198/O198</f>
        <v/>
      </c>
      <c r="Q198" s="258" t="n"/>
    </row>
    <row r="199" ht="18" customHeight="1">
      <c r="A199" s="396">
        <f>+A198+1</f>
        <v/>
      </c>
      <c r="B199" s="396" t="n">
        <v>581430</v>
      </c>
      <c r="C199" s="369" t="inlineStr">
        <is>
          <t>อาสะ อยู่เป๊า</t>
        </is>
      </c>
      <c r="D199" s="369" t="inlineStr">
        <is>
          <t>หญิง</t>
        </is>
      </c>
      <c r="E199" s="369" t="inlineStr">
        <is>
          <t>รายเดือน</t>
        </is>
      </c>
      <c r="F199" s="369" t="inlineStr">
        <is>
          <t>ไทย</t>
        </is>
      </c>
      <c r="G199" s="369" t="inlineStr">
        <is>
          <t>888/28หมู่8 ต.บางละมุง อ.บางละมุง จ.ชลบุรี 20150</t>
        </is>
      </c>
      <c r="H199" s="396" t="n">
        <v>5</v>
      </c>
      <c r="I199" s="369" t="n"/>
      <c r="J199" s="369" t="inlineStr">
        <is>
          <t>รถจักรยานยนต์ 4 จังหวะเครื่องยนต์ขนาด 125 cc</t>
        </is>
      </c>
      <c r="K199" s="410" t="inlineStr">
        <is>
          <t>แก๊สโซฮอล์ 95</t>
        </is>
      </c>
      <c r="L199" s="396" t="n">
        <v>1</v>
      </c>
      <c r="M199" s="589" t="n"/>
      <c r="N199" s="257">
        <f>'[2]1.4 Septic'!$F$16</f>
        <v/>
      </c>
      <c r="O199" s="257">
        <f>$G$492</f>
        <v/>
      </c>
      <c r="P199" s="258" t="n"/>
      <c r="Q199" s="1731">
        <f>H199*2*L199*N199/O199</f>
        <v/>
      </c>
    </row>
    <row r="200" ht="18" customHeight="1">
      <c r="A200" s="396">
        <f>+A199+1</f>
        <v/>
      </c>
      <c r="B200" s="396" t="n">
        <v>581432</v>
      </c>
      <c r="C200" s="369" t="inlineStr">
        <is>
          <t>วิทวัส ศรีสมบัติ</t>
        </is>
      </c>
      <c r="D200" s="369" t="inlineStr">
        <is>
          <t>ชาย</t>
        </is>
      </c>
      <c r="E200" s="369" t="inlineStr">
        <is>
          <t>รายเดือน</t>
        </is>
      </c>
      <c r="F200" s="369" t="inlineStr">
        <is>
          <t>ไทย</t>
        </is>
      </c>
      <c r="G200" s="367" t="inlineStr">
        <is>
          <t>การเคหะแหลมฉบัง  ม.6 ต.บางละมุง อ.บางละมุง จ.ชลบุรี 20150</t>
        </is>
      </c>
      <c r="H200" s="396" t="n">
        <v>5</v>
      </c>
      <c r="I200" s="369" t="n"/>
      <c r="J200" s="369" t="inlineStr">
        <is>
          <t>รถยนต์ขนาดเล็ก (1500 cc)</t>
        </is>
      </c>
      <c r="K200" s="410" t="inlineStr">
        <is>
          <t>แก๊สโซฮอล์ 91</t>
        </is>
      </c>
      <c r="L200" s="396" t="n">
        <v>1</v>
      </c>
      <c r="M200" s="589" t="n"/>
      <c r="N200" s="257">
        <f>'[2]1.4 Septic'!$F$16</f>
        <v/>
      </c>
      <c r="O200" s="257">
        <f>$G$498</f>
        <v/>
      </c>
      <c r="P200" s="258" t="n"/>
      <c r="Q200" s="1731">
        <f>H200*2*L200*N200/O200</f>
        <v/>
      </c>
    </row>
    <row r="201" ht="18" customHeight="1">
      <c r="A201" s="396">
        <f>+A200+1</f>
        <v/>
      </c>
      <c r="B201" s="396" t="n">
        <v>581438</v>
      </c>
      <c r="C201" s="369" t="inlineStr">
        <is>
          <t>วงค์เดือน สนั่นนารี</t>
        </is>
      </c>
      <c r="D201" s="369" t="inlineStr">
        <is>
          <t>หญิง</t>
        </is>
      </c>
      <c r="E201" s="369" t="inlineStr">
        <is>
          <t>รายเดือน</t>
        </is>
      </c>
      <c r="F201" s="369" t="inlineStr">
        <is>
          <t>ไทย</t>
        </is>
      </c>
      <c r="G201" s="369" t="inlineStr">
        <is>
          <t>148 ม.8 ต.ทุ่งสุขลา อ.ศรีราชา จ.ชลบุรี 20230</t>
        </is>
      </c>
      <c r="H201" s="396" t="n">
        <v>5</v>
      </c>
      <c r="I201" s="369" t="n"/>
      <c r="J201" s="369" t="inlineStr">
        <is>
          <t>รถจักรยานยนต์ 4 จังหวะเครื่องยนต์ขนาด 125 cc</t>
        </is>
      </c>
      <c r="K201" s="410" t="inlineStr">
        <is>
          <t>แก๊สโซฮอล์ 91</t>
        </is>
      </c>
      <c r="L201" s="396" t="n">
        <v>1</v>
      </c>
      <c r="M201" s="589" t="n"/>
      <c r="N201" s="257">
        <f>'[2]1.4 Septic'!$F$16</f>
        <v/>
      </c>
      <c r="O201" s="257">
        <f>$G$492</f>
        <v/>
      </c>
      <c r="P201" s="258" t="n"/>
      <c r="Q201" s="1731">
        <f>H201*2*L201*N201/O201</f>
        <v/>
      </c>
    </row>
    <row r="202" ht="18" customHeight="1">
      <c r="A202" s="396">
        <f>+A201+1</f>
        <v/>
      </c>
      <c r="B202" s="396" t="n">
        <v>581441</v>
      </c>
      <c r="C202" s="369" t="inlineStr">
        <is>
          <t>สุนทร สังกองแก้ว</t>
        </is>
      </c>
      <c r="D202" s="369" t="inlineStr">
        <is>
          <t>ชาย</t>
        </is>
      </c>
      <c r="E202" s="369" t="inlineStr">
        <is>
          <t>รายเดือน</t>
        </is>
      </c>
      <c r="F202" s="369" t="inlineStr">
        <is>
          <t>ไทย</t>
        </is>
      </c>
      <c r="G202" s="369" t="inlineStr">
        <is>
          <t>34/1 ต.ทุ่งสุขลา อ.ศรีราชา จ.ชลบุรี 20230</t>
        </is>
      </c>
      <c r="H202" s="396" t="n">
        <v>4</v>
      </c>
      <c r="I202" s="369" t="n"/>
      <c r="J202" s="369" t="inlineStr">
        <is>
          <t>รถจักรยานยนต์ 2 จังหวะเครื่องยนต์ขนาด 150cc</t>
        </is>
      </c>
      <c r="K202" s="410" t="inlineStr">
        <is>
          <t>แก๊สโซฮอล์ 95</t>
        </is>
      </c>
      <c r="L202" s="396" t="n">
        <v>1</v>
      </c>
      <c r="M202" s="589" t="n"/>
      <c r="N202" s="257">
        <f>'[2]1.4 Septic'!$F$16</f>
        <v/>
      </c>
      <c r="O202" s="1754">
        <f>$G$491</f>
        <v/>
      </c>
      <c r="P202" s="258" t="n"/>
      <c r="Q202" s="1731">
        <f>H202*2*L202*N202/O202</f>
        <v/>
      </c>
    </row>
    <row r="203" ht="18" customHeight="1">
      <c r="A203" s="396">
        <f>+A202+1</f>
        <v/>
      </c>
      <c r="B203" s="396" t="n">
        <v>581452</v>
      </c>
      <c r="C203" s="369" t="inlineStr">
        <is>
          <t>สุพรรณ ศรีสุข</t>
        </is>
      </c>
      <c r="D203" s="369" t="inlineStr">
        <is>
          <t>ชาย</t>
        </is>
      </c>
      <c r="E203" s="369" t="inlineStr">
        <is>
          <t>รายเดือน</t>
        </is>
      </c>
      <c r="F203" s="369" t="inlineStr">
        <is>
          <t>ไทย</t>
        </is>
      </c>
      <c r="G203" s="369" t="inlineStr">
        <is>
          <t>96/54 ม.2 ต.ตะเคียงเตี้ย อ.บางละมุง จ.ชลบุรี 20150</t>
        </is>
      </c>
      <c r="H203" s="396" t="n">
        <v>7</v>
      </c>
      <c r="I203" s="369" t="n"/>
      <c r="J203" s="369" t="inlineStr">
        <is>
          <t>รถจักรยานยนต์ 4 จังหวะเครื่องยนต์ขนาดเล็กกว่า 125 cc</t>
        </is>
      </c>
      <c r="K203" s="410" t="inlineStr">
        <is>
          <t>แก๊สโซฮอล์ 95</t>
        </is>
      </c>
      <c r="L203" s="396" t="n">
        <v>1</v>
      </c>
      <c r="M203" s="589" t="n"/>
      <c r="N203" s="257">
        <f>'[2]1.4 Septic'!$F$16</f>
        <v/>
      </c>
      <c r="O203" s="257">
        <f>$G$492</f>
        <v/>
      </c>
      <c r="P203" s="258" t="n"/>
      <c r="Q203" s="1731">
        <f>H203*2*L203*N203/O203</f>
        <v/>
      </c>
    </row>
    <row r="204" ht="18" customHeight="1">
      <c r="A204" s="396">
        <f>+A203+1</f>
        <v/>
      </c>
      <c r="B204" s="396" t="n">
        <v>581453</v>
      </c>
      <c r="C204" s="369" t="inlineStr">
        <is>
          <t>มัณทนา จูมกุมาร</t>
        </is>
      </c>
      <c r="D204" s="369" t="inlineStr">
        <is>
          <t>หญิง</t>
        </is>
      </c>
      <c r="E204" s="369" t="inlineStr">
        <is>
          <t>รายเดือน</t>
        </is>
      </c>
      <c r="F204" s="369" t="inlineStr">
        <is>
          <t>ไทย</t>
        </is>
      </c>
      <c r="G204" s="369" t="inlineStr">
        <is>
          <t>หอพักอรุณเฮ้าส์ 147/16 หมู่ 9 ต.ทุ่งสุขลา อ.ศรีราชา จ.ชลบุรี 20230</t>
        </is>
      </c>
      <c r="H204" s="396" t="n">
        <v>10</v>
      </c>
      <c r="I204" s="369" t="n"/>
      <c r="J204" s="369" t="inlineStr">
        <is>
          <t>รถกระบะบรรทุก</t>
        </is>
      </c>
      <c r="K204" s="410" t="inlineStr">
        <is>
          <t>ดีเซล</t>
        </is>
      </c>
      <c r="L204" s="396" t="n">
        <v>1</v>
      </c>
      <c r="M204" s="589" t="n"/>
      <c r="N204" s="257">
        <f>'[2]1.4 Septic'!$F$16</f>
        <v/>
      </c>
      <c r="O204" s="257" t="n">
        <v>6.369</v>
      </c>
      <c r="P204" s="1731">
        <f>H204*2*L204*N204/O204</f>
        <v/>
      </c>
      <c r="Q204" s="258" t="n"/>
    </row>
    <row r="205" ht="18" customHeight="1">
      <c r="A205" s="396">
        <f>+A204+1</f>
        <v/>
      </c>
      <c r="B205" s="396" t="n">
        <v>581455</v>
      </c>
      <c r="C205" s="369" t="inlineStr">
        <is>
          <t>นิสา รัชตะนะกุล</t>
        </is>
      </c>
      <c r="D205" s="369" t="inlineStr">
        <is>
          <t>หญิง</t>
        </is>
      </c>
      <c r="E205" s="369" t="inlineStr">
        <is>
          <t>รายเดือน</t>
        </is>
      </c>
      <c r="F205" s="369" t="inlineStr">
        <is>
          <t>ไทย</t>
        </is>
      </c>
      <c r="G205" s="369" t="inlineStr">
        <is>
          <t>45/14 ม.8 ต.บึง อ.ศรีราชา จ.ชลบุรี 20230</t>
        </is>
      </c>
      <c r="H205" s="396" t="n">
        <v>38</v>
      </c>
      <c r="I205" s="369" t="n"/>
      <c r="J205" s="369" t="inlineStr">
        <is>
          <t>รถยนต์ขนาดเล็ก (1500 cc)</t>
        </is>
      </c>
      <c r="K205" s="410" t="inlineStr">
        <is>
          <t>แก๊สโซฮอล์ E20</t>
        </is>
      </c>
      <c r="L205" s="396" t="n">
        <v>1</v>
      </c>
      <c r="M205" s="589" t="n"/>
      <c r="N205" s="257">
        <f>'[2]1.4 Septic'!$F$16</f>
        <v/>
      </c>
      <c r="O205" s="257">
        <f>$G$498</f>
        <v/>
      </c>
      <c r="P205" s="258" t="n"/>
      <c r="Q205" s="1731">
        <f>H205*2*L205*N205/O205</f>
        <v/>
      </c>
    </row>
    <row r="206" ht="18" customHeight="1">
      <c r="A206" s="396">
        <f>+A205+1</f>
        <v/>
      </c>
      <c r="B206" s="396" t="n">
        <v>581456</v>
      </c>
      <c r="C206" s="369" t="inlineStr">
        <is>
          <t>วิภาวรรณ เดชชิด</t>
        </is>
      </c>
      <c r="D206" s="369" t="inlineStr">
        <is>
          <t>หญิง</t>
        </is>
      </c>
      <c r="E206" s="369" t="inlineStr">
        <is>
          <t>รายเดือน</t>
        </is>
      </c>
      <c r="F206" s="369" t="inlineStr">
        <is>
          <t>ไทย</t>
        </is>
      </c>
      <c r="G206" s="369" t="inlineStr">
        <is>
          <t>225/209 ม.8 ต.บางละมุง อ.บางละมุง จ.ชลบุรี 20150</t>
        </is>
      </c>
      <c r="H206" s="396" t="n">
        <v>12</v>
      </c>
      <c r="I206" s="369" t="n"/>
      <c r="J206" s="369" t="inlineStr">
        <is>
          <t>รถจักรยานยนต์ 2 จังหวะเครื่องยนต์ขนาด 150cc</t>
        </is>
      </c>
      <c r="K206" s="410" t="inlineStr">
        <is>
          <t>แก๊สโซฮอล์ 91</t>
        </is>
      </c>
      <c r="L206" s="396" t="n">
        <v>1</v>
      </c>
      <c r="M206" s="589" t="n"/>
      <c r="N206" s="257">
        <f>'[2]1.4 Septic'!$F$16</f>
        <v/>
      </c>
      <c r="O206" s="1754">
        <f>$G$491</f>
        <v/>
      </c>
      <c r="P206" s="258" t="n"/>
      <c r="Q206" s="1731">
        <f>H206*2*L206*N206/O206</f>
        <v/>
      </c>
    </row>
    <row r="207" ht="18" customHeight="1">
      <c r="A207" s="396">
        <f>+A206+1</f>
        <v/>
      </c>
      <c r="B207" s="396" t="n">
        <v>581457</v>
      </c>
      <c r="C207" s="369" t="inlineStr">
        <is>
          <t>ไพศาล วงศ์เย็น</t>
        </is>
      </c>
      <c r="D207" s="369" t="inlineStr">
        <is>
          <t>ชาย</t>
        </is>
      </c>
      <c r="E207" s="369" t="inlineStr">
        <is>
          <t>รายเดือน</t>
        </is>
      </c>
      <c r="F207" s="369" t="inlineStr">
        <is>
          <t>ไทย</t>
        </is>
      </c>
      <c r="G207" s="369" t="inlineStr">
        <is>
          <t>159/91 ต.สุรศักดิ์ อ.ศรีราชา จ.ชลบุรี 20230</t>
        </is>
      </c>
      <c r="H207" s="396" t="n">
        <v>15</v>
      </c>
      <c r="I207" s="369" t="n"/>
      <c r="J207" s="369" t="inlineStr">
        <is>
          <t>รถกระบะบรรทุก</t>
        </is>
      </c>
      <c r="K207" s="410" t="inlineStr">
        <is>
          <t>ดีเซล</t>
        </is>
      </c>
      <c r="L207" s="396" t="n">
        <v>1</v>
      </c>
      <c r="M207" s="589" t="n"/>
      <c r="N207" s="257">
        <f>'[2]1.4 Septic'!$F$16</f>
        <v/>
      </c>
      <c r="O207" s="257" t="n">
        <v>6.369</v>
      </c>
      <c r="P207" s="1731">
        <f>H207*2*L207*N207/O207</f>
        <v/>
      </c>
      <c r="Q207" s="258" t="n"/>
    </row>
    <row r="208" ht="18" customHeight="1">
      <c r="A208" s="396">
        <f>+A207+1</f>
        <v/>
      </c>
      <c r="B208" s="396" t="n">
        <v>581464</v>
      </c>
      <c r="C208" s="369" t="inlineStr">
        <is>
          <t>รักชนก มีหนู</t>
        </is>
      </c>
      <c r="D208" s="369" t="inlineStr">
        <is>
          <t>หญิง</t>
        </is>
      </c>
      <c r="E208" s="369" t="inlineStr">
        <is>
          <t>รายเดือน</t>
        </is>
      </c>
      <c r="F208" s="369" t="inlineStr">
        <is>
          <t>ไทย</t>
        </is>
      </c>
      <c r="G208" s="369" t="inlineStr">
        <is>
          <t>62/165 ม.10 ต.ทุ่งสุขลา อ.ศรีราชา จ.ชลบุรี 20230</t>
        </is>
      </c>
      <c r="H208" s="396" t="n">
        <v>5</v>
      </c>
      <c r="I208" s="369" t="n"/>
      <c r="J208" s="369" t="inlineStr">
        <is>
          <t>รถจักรยานยนต์ 4 จังหวะเครื่องยนต์ขนาดเล็กกว่า 125 cc</t>
        </is>
      </c>
      <c r="K208" s="410" t="inlineStr">
        <is>
          <t>แก๊สโซฮอล์ 91</t>
        </is>
      </c>
      <c r="L208" s="396" t="n">
        <v>1</v>
      </c>
      <c r="M208" s="589" t="n"/>
      <c r="N208" s="257">
        <f>'[2]1.4 Septic'!$F$16</f>
        <v/>
      </c>
      <c r="O208" s="257">
        <f>$G$492</f>
        <v/>
      </c>
      <c r="P208" s="258" t="n"/>
      <c r="Q208" s="1731">
        <f>H208*2*L208*N208/O208</f>
        <v/>
      </c>
    </row>
    <row r="209" ht="18" customHeight="1">
      <c r="A209" s="396">
        <f>+A208+1</f>
        <v/>
      </c>
      <c r="B209" s="396" t="n">
        <v>581467</v>
      </c>
      <c r="C209" s="369" t="inlineStr">
        <is>
          <t>เขตตะวัน กาญจนารักษ์</t>
        </is>
      </c>
      <c r="D209" s="369" t="inlineStr">
        <is>
          <t>ชาย</t>
        </is>
      </c>
      <c r="E209" s="369" t="inlineStr">
        <is>
          <t>รายเดือน</t>
        </is>
      </c>
      <c r="F209" s="369" t="inlineStr">
        <is>
          <t>ไทย</t>
        </is>
      </c>
      <c r="G209" s="369" t="inlineStr">
        <is>
          <t>แก่นบุญอพาร์ทเม้นท์ 34/1 ถ บางแสน3, ต.แสนสุข อ.เมือง จ.ชลบุรี 20130</t>
        </is>
      </c>
      <c r="H209" s="396" t="n">
        <v>30</v>
      </c>
      <c r="I209" s="369" t="n"/>
      <c r="J209" s="369" t="inlineStr">
        <is>
          <t>รถจักรยานยนต์ 2 จังหวะเครื่องยนต์ขนาด 150cc</t>
        </is>
      </c>
      <c r="K209" s="410" t="inlineStr">
        <is>
          <t>แก๊สโซฮอล์ 95</t>
        </is>
      </c>
      <c r="L209" s="396" t="n">
        <v>1</v>
      </c>
      <c r="M209" s="589" t="n"/>
      <c r="N209" s="257">
        <f>'[2]1.4 Septic'!$F$16</f>
        <v/>
      </c>
      <c r="O209" s="1754">
        <f>$G$491</f>
        <v/>
      </c>
      <c r="P209" s="258" t="n"/>
      <c r="Q209" s="1731">
        <f>H209*2*L209*N209/O209</f>
        <v/>
      </c>
    </row>
    <row r="210" ht="18" customHeight="1">
      <c r="A210" s="396">
        <f>+A209+1</f>
        <v/>
      </c>
      <c r="B210" s="396" t="n">
        <v>581468</v>
      </c>
      <c r="C210" s="369" t="inlineStr">
        <is>
          <t>สมหมาย สุทธรักษ์</t>
        </is>
      </c>
      <c r="D210" s="369" t="inlineStr">
        <is>
          <t>ชาย</t>
        </is>
      </c>
      <c r="E210" s="369" t="inlineStr">
        <is>
          <t>รายเดือน</t>
        </is>
      </c>
      <c r="F210" s="369" t="inlineStr">
        <is>
          <t>ไทย</t>
        </is>
      </c>
      <c r="G210" s="369" t="inlineStr">
        <is>
          <t>71/44 ม.9 ต.ทุ่งสุขลา อ.ศรีราชา จ.ชลบุรี 20230</t>
        </is>
      </c>
      <c r="H210" s="396" t="n">
        <v>15</v>
      </c>
      <c r="I210" s="369" t="n"/>
      <c r="J210" s="369" t="inlineStr">
        <is>
          <t>รถจักรยานยนต์ 4 จังหวะเครื่องยนต์ขนาด 125 cc</t>
        </is>
      </c>
      <c r="K210" s="410" t="inlineStr">
        <is>
          <t>แก๊สโซฮอล์ 91</t>
        </is>
      </c>
      <c r="L210" s="396" t="n">
        <v>1</v>
      </c>
      <c r="M210" s="589" t="n"/>
      <c r="N210" s="257">
        <f>'[2]1.4 Septic'!$F$16</f>
        <v/>
      </c>
      <c r="O210" s="257">
        <f>$G$492</f>
        <v/>
      </c>
      <c r="P210" s="258" t="n"/>
      <c r="Q210" s="1731">
        <f>H210*2*L210*N210/O210</f>
        <v/>
      </c>
    </row>
    <row r="211" ht="18" customHeight="1">
      <c r="A211" s="396">
        <f>+A210+1</f>
        <v/>
      </c>
      <c r="B211" s="396" t="n">
        <v>581524</v>
      </c>
      <c r="C211" s="369" t="inlineStr">
        <is>
          <t>จุฑารัตน์ วงษ์ขันธ์</t>
        </is>
      </c>
      <c r="D211" s="369" t="inlineStr">
        <is>
          <t>หญิง</t>
        </is>
      </c>
      <c r="E211" s="369" t="inlineStr">
        <is>
          <t>รายเดือน</t>
        </is>
      </c>
      <c r="F211" s="369" t="inlineStr">
        <is>
          <t>ไทย</t>
        </is>
      </c>
      <c r="G211" s="369" t="inlineStr">
        <is>
          <t>191/57 ืม.5 ต.หนองขาม อ.ศรีราชา จ.ชลบุรี 20230</t>
        </is>
      </c>
      <c r="H211" s="396" t="n">
        <v>20</v>
      </c>
      <c r="I211" s="369" t="n"/>
      <c r="J211" s="369" t="inlineStr">
        <is>
          <t>รถจักรยานยนต์ 4 จังหวะเครื่องยนต์ขนาด 125 cc</t>
        </is>
      </c>
      <c r="K211" s="410" t="inlineStr">
        <is>
          <t>แก๊สโซฮอล์ 91</t>
        </is>
      </c>
      <c r="L211" s="396" t="n">
        <v>1</v>
      </c>
      <c r="M211" s="589" t="n"/>
      <c r="N211" s="257">
        <f>'[2]1.4 Septic'!$F$16</f>
        <v/>
      </c>
      <c r="O211" s="257">
        <f>$G$492</f>
        <v/>
      </c>
      <c r="P211" s="258" t="n"/>
      <c r="Q211" s="1731">
        <f>H211*2*L211*N211/O211</f>
        <v/>
      </c>
    </row>
    <row r="212" ht="18" customHeight="1">
      <c r="A212" s="396">
        <f>+A211+1</f>
        <v/>
      </c>
      <c r="B212" s="396" t="n">
        <v>581530</v>
      </c>
      <c r="C212" s="369" t="inlineStr">
        <is>
          <t>ธนา แซ่เตียว</t>
        </is>
      </c>
      <c r="D212" s="369" t="inlineStr">
        <is>
          <t>ชาย</t>
        </is>
      </c>
      <c r="E212" s="369" t="inlineStr">
        <is>
          <t>รายเดือน</t>
        </is>
      </c>
      <c r="F212" s="369" t="inlineStr">
        <is>
          <t>ไทย</t>
        </is>
      </c>
      <c r="G212" s="369" t="inlineStr">
        <is>
          <t>7/38 ม.6 ต.หนองปลาไหล อ.บางละมุง จ.ชลบุรี 20150</t>
        </is>
      </c>
      <c r="H212" s="396" t="n">
        <v>12</v>
      </c>
      <c r="I212" s="369" t="n"/>
      <c r="J212" s="369" t="inlineStr">
        <is>
          <t>รถยนต์เฉลี่ยทุกขนาด</t>
        </is>
      </c>
      <c r="K212" s="410" t="inlineStr">
        <is>
          <t>แก๊สโซฮอล์ 91</t>
        </is>
      </c>
      <c r="L212" s="396" t="n">
        <v>2</v>
      </c>
      <c r="M212" s="589" t="n"/>
      <c r="N212" s="257">
        <f>'[2]1.4 Septic'!$F$16</f>
        <v/>
      </c>
      <c r="O212" s="257">
        <f>$G$487</f>
        <v/>
      </c>
      <c r="P212" s="258" t="n"/>
      <c r="Q212" s="1731">
        <f>H212*2*L212*N212/O212</f>
        <v/>
      </c>
    </row>
    <row r="213" ht="18" customHeight="1">
      <c r="A213" s="396">
        <f>+A212+1</f>
        <v/>
      </c>
      <c r="B213" s="396" t="n">
        <v>581532</v>
      </c>
      <c r="C213" s="369" t="inlineStr">
        <is>
          <t>เบญจวรรณ สุตะโท</t>
        </is>
      </c>
      <c r="D213" s="369" t="inlineStr">
        <is>
          <t>หญิง</t>
        </is>
      </c>
      <c r="E213" s="369" t="inlineStr">
        <is>
          <t>รายเดือน</t>
        </is>
      </c>
      <c r="F213" s="369" t="inlineStr">
        <is>
          <t>ไทย</t>
        </is>
      </c>
      <c r="G213" s="367" t="inlineStr">
        <is>
          <t>เครือสหพัฒน์  ต.หนองขาม อ.ศรีราชา จ.ชลบุรี 20110</t>
        </is>
      </c>
      <c r="H213" s="396" t="n">
        <v>7</v>
      </c>
      <c r="I213" s="369" t="n"/>
      <c r="J213" s="369" t="inlineStr">
        <is>
          <t>รถยนต์เฉลี่ยทุกขนาด</t>
        </is>
      </c>
      <c r="K213" s="410" t="inlineStr">
        <is>
          <t>แก๊สโซฮอล์ 95</t>
        </is>
      </c>
      <c r="L213" s="396" t="n">
        <v>1</v>
      </c>
      <c r="M213" s="589" t="n"/>
      <c r="N213" s="257">
        <f>'[2]1.4 Septic'!$F$16</f>
        <v/>
      </c>
      <c r="O213" s="257">
        <f>$G$487</f>
        <v/>
      </c>
      <c r="P213" s="258" t="n"/>
      <c r="Q213" s="1731">
        <f>H213*2*L213*N213/O213</f>
        <v/>
      </c>
    </row>
    <row r="214" ht="18" customHeight="1">
      <c r="A214" s="396">
        <f>+A213+1</f>
        <v/>
      </c>
      <c r="B214" s="396" t="n">
        <v>591544</v>
      </c>
      <c r="C214" s="369" t="inlineStr">
        <is>
          <t>ชลิดา ผู้มีสัตย์</t>
        </is>
      </c>
      <c r="D214" s="369" t="inlineStr">
        <is>
          <t>หญิง</t>
        </is>
      </c>
      <c r="E214" s="369" t="inlineStr">
        <is>
          <t>รายเดือน</t>
        </is>
      </c>
      <c r="F214" s="369" t="inlineStr">
        <is>
          <t>ไทย</t>
        </is>
      </c>
      <c r="G214" s="367" t="inlineStr">
        <is>
          <t>การเคหะแหลมฉบัง  ม.6 ต.บางละมุง อ.บางละมุง จ.ชลบุรี</t>
        </is>
      </c>
      <c r="H214" s="396" t="n">
        <v>5</v>
      </c>
      <c r="I214" s="369" t="n"/>
      <c r="J214" s="369" t="inlineStr">
        <is>
          <t>รถยนต์ขนาดเล็ก (1500 cc)</t>
        </is>
      </c>
      <c r="K214" s="410" t="inlineStr">
        <is>
          <t>แก๊สโซฮอล์ E20</t>
        </is>
      </c>
      <c r="L214" s="396" t="n">
        <v>2</v>
      </c>
      <c r="M214" s="589" t="n"/>
      <c r="N214" s="257">
        <f>'[2]1.4 Septic'!$F$16</f>
        <v/>
      </c>
      <c r="O214" s="257">
        <f>$G$498</f>
        <v/>
      </c>
      <c r="P214" s="258" t="n"/>
      <c r="Q214" s="1731">
        <f>H214*2*L214*N214/O214</f>
        <v/>
      </c>
    </row>
    <row r="215" ht="18" customHeight="1">
      <c r="A215" s="396">
        <f>+A214+1</f>
        <v/>
      </c>
      <c r="B215" s="396" t="n">
        <v>591547</v>
      </c>
      <c r="C215" s="369" t="inlineStr">
        <is>
          <t>ธิดารัตน์ เรืองสว่าง</t>
        </is>
      </c>
      <c r="D215" s="369" t="inlineStr">
        <is>
          <t>หญิง</t>
        </is>
      </c>
      <c r="E215" s="369" t="inlineStr">
        <is>
          <t>รายเดือน</t>
        </is>
      </c>
      <c r="F215" s="369" t="inlineStr">
        <is>
          <t>ไทย</t>
        </is>
      </c>
      <c r="G215" s="369" t="inlineStr">
        <is>
          <t>220/046 ต.บางละมุง อ.บางละมุง จ.ชลบุรี 20150</t>
        </is>
      </c>
      <c r="H215" s="396" t="n">
        <v>5</v>
      </c>
      <c r="I215" s="369" t="n"/>
      <c r="J215" s="369" t="inlineStr">
        <is>
          <t>รถจักรยานยนต์ 4 จังหวะเครื่องยนต์ขนาดเล็กกว่า 125 cc</t>
        </is>
      </c>
      <c r="K215" s="410" t="inlineStr">
        <is>
          <t>แก๊สโซฮอล์ 91</t>
        </is>
      </c>
      <c r="L215" s="396" t="n">
        <v>2</v>
      </c>
      <c r="M215" s="589" t="n"/>
      <c r="N215" s="257">
        <f>'[2]1.4 Septic'!$F$16</f>
        <v/>
      </c>
      <c r="O215" s="257">
        <f>$G$492</f>
        <v/>
      </c>
      <c r="P215" s="258" t="n"/>
      <c r="Q215" s="1731">
        <f>H215*2*L215*N215/O215</f>
        <v/>
      </c>
    </row>
    <row r="216" ht="18" customHeight="1">
      <c r="A216" s="396">
        <f>+A215+1</f>
        <v/>
      </c>
      <c r="B216" s="396" t="n">
        <v>591551</v>
      </c>
      <c r="C216" s="369" t="inlineStr">
        <is>
          <t>จุไรรัตน์ ธรรมสว่าง</t>
        </is>
      </c>
      <c r="D216" s="369" t="inlineStr">
        <is>
          <t>หญิง</t>
        </is>
      </c>
      <c r="E216" s="369" t="inlineStr">
        <is>
          <t>รายเดือน</t>
        </is>
      </c>
      <c r="F216" s="369" t="inlineStr">
        <is>
          <t>ไทย</t>
        </is>
      </c>
      <c r="G216" s="369" t="inlineStr">
        <is>
          <t>198/93 หมู่ที่ 4 ต.บางละมุง อ.บางละมุง จ.ชลบุรี 20150</t>
        </is>
      </c>
      <c r="H216" s="396" t="n">
        <v>15</v>
      </c>
      <c r="I216" s="369" t="n"/>
      <c r="J216" s="369" t="inlineStr">
        <is>
          <t>รถจักรยานยนต์ 4 จังหวะเครื่องยนต์ขนาดเล็กกว่า 125 cc</t>
        </is>
      </c>
      <c r="K216" s="410" t="inlineStr">
        <is>
          <t>แก๊สโซฮอล์ 91</t>
        </is>
      </c>
      <c r="L216" s="396" t="n">
        <v>1</v>
      </c>
      <c r="M216" s="589" t="n"/>
      <c r="N216" s="257">
        <f>'[2]1.4 Septic'!$F$16</f>
        <v/>
      </c>
      <c r="O216" s="257">
        <f>$G$492</f>
        <v/>
      </c>
      <c r="P216" s="258" t="n"/>
      <c r="Q216" s="1731">
        <f>H216*2*L216*N216/O216</f>
        <v/>
      </c>
    </row>
    <row r="217" ht="18" customHeight="1">
      <c r="A217" s="396">
        <f>+A216+1</f>
        <v/>
      </c>
      <c r="B217" s="396" t="n">
        <v>591553</v>
      </c>
      <c r="C217" s="369" t="inlineStr">
        <is>
          <t>มะนัส ทองปลิว</t>
        </is>
      </c>
      <c r="D217" s="369" t="inlineStr">
        <is>
          <t>ชาย</t>
        </is>
      </c>
      <c r="E217" s="369" t="inlineStr">
        <is>
          <t>รายเดือน</t>
        </is>
      </c>
      <c r="F217" s="369" t="inlineStr">
        <is>
          <t>ไทย</t>
        </is>
      </c>
      <c r="G217" s="369" t="inlineStr">
        <is>
          <t>44/73 ม.1 ต.หนองขาม อ.ศรีราชา จ.ชลบุรี 20110</t>
        </is>
      </c>
      <c r="H217" s="396" t="n">
        <v>4</v>
      </c>
      <c r="I217" s="369" t="n"/>
      <c r="J217" s="369" t="inlineStr">
        <is>
          <t>รถจักรยานยนต์ 4 จังหวะเครื่องยนต์ขนาดเล็กกว่า 125 cc</t>
        </is>
      </c>
      <c r="K217" s="410" t="inlineStr">
        <is>
          <t>แก๊สโซฮอล์ 91</t>
        </is>
      </c>
      <c r="L217" s="396" t="n">
        <v>1</v>
      </c>
      <c r="M217" s="589" t="n"/>
      <c r="N217" s="257">
        <f>'[2]1.4 Septic'!$F$16</f>
        <v/>
      </c>
      <c r="O217" s="257">
        <f>$G$492</f>
        <v/>
      </c>
      <c r="P217" s="258" t="n"/>
      <c r="Q217" s="1731">
        <f>H217*2*L217*N217/O217</f>
        <v/>
      </c>
    </row>
    <row r="218" ht="18" customHeight="1">
      <c r="A218" s="396">
        <f>+A217+1</f>
        <v/>
      </c>
      <c r="B218" s="396" t="n">
        <v>591554</v>
      </c>
      <c r="C218" s="369" t="inlineStr">
        <is>
          <t>ประไพ สีเงิน</t>
        </is>
      </c>
      <c r="D218" s="369" t="inlineStr">
        <is>
          <t>หญิง</t>
        </is>
      </c>
      <c r="E218" s="369" t="inlineStr">
        <is>
          <t>รายเดือน</t>
        </is>
      </c>
      <c r="F218" s="369" t="inlineStr">
        <is>
          <t>ไทย</t>
        </is>
      </c>
      <c r="G218" s="369" t="inlineStr">
        <is>
          <t>291/56 ม.10 ต.ทุ่งสุขลา อ.ศรีราชา จ.ชลบุรี 20230</t>
        </is>
      </c>
      <c r="H218" s="396" t="n">
        <v>10</v>
      </c>
      <c r="I218" s="369" t="n"/>
      <c r="J218" s="369" t="inlineStr">
        <is>
          <t>รถจักรยานยนต์ 4 จังหวะเครื่องยนต์ขนาด 125 cc</t>
        </is>
      </c>
      <c r="K218" s="410" t="inlineStr">
        <is>
          <t>แก๊สโซฮอล์ 95</t>
        </is>
      </c>
      <c r="L218" s="396" t="n">
        <v>1</v>
      </c>
      <c r="M218" s="589" t="n"/>
      <c r="N218" s="257">
        <f>'[2]1.4 Septic'!$F$16</f>
        <v/>
      </c>
      <c r="O218" s="257">
        <f>$G$492</f>
        <v/>
      </c>
      <c r="P218" s="258" t="n"/>
      <c r="Q218" s="1731">
        <f>H218*2*L218*N218/O218</f>
        <v/>
      </c>
    </row>
    <row r="219" ht="18" customHeight="1">
      <c r="A219" s="396">
        <f>+A218+1</f>
        <v/>
      </c>
      <c r="B219" s="396" t="n">
        <v>591555</v>
      </c>
      <c r="C219" s="369" t="inlineStr">
        <is>
          <t>ดวงชีวรรณ ศรีพรหม</t>
        </is>
      </c>
      <c r="D219" s="369" t="inlineStr">
        <is>
          <t>หญิง</t>
        </is>
      </c>
      <c r="E219" s="369" t="inlineStr">
        <is>
          <t>รายเดือน</t>
        </is>
      </c>
      <c r="F219" s="369" t="inlineStr">
        <is>
          <t>ไทย</t>
        </is>
      </c>
      <c r="G219" s="369" t="inlineStr">
        <is>
          <t>121/8 ม.9 ต.ทุ่งสุขลา อ.ศรีราชา จ.ชลบุรี 20230</t>
        </is>
      </c>
      <c r="H219" s="396" t="n">
        <v>4</v>
      </c>
      <c r="I219" s="369" t="n"/>
      <c r="J219" s="369" t="inlineStr">
        <is>
          <t>รถจักรยานยนต์ 4 จังหวะเครื่องยนต์ขนาด 125 cc</t>
        </is>
      </c>
      <c r="K219" s="410" t="inlineStr">
        <is>
          <t>แก๊สโซฮอล์ 91</t>
        </is>
      </c>
      <c r="L219" s="396" t="n">
        <v>1</v>
      </c>
      <c r="M219" s="589" t="n"/>
      <c r="N219" s="257">
        <f>'[2]1.4 Septic'!$F$16</f>
        <v/>
      </c>
      <c r="O219" s="257">
        <f>$G$492</f>
        <v/>
      </c>
      <c r="P219" s="258" t="n"/>
      <c r="Q219" s="1731">
        <f>H219*2*L219*N219/O219</f>
        <v/>
      </c>
    </row>
    <row r="220" ht="18" customHeight="1">
      <c r="A220" s="396">
        <f>+A219+1</f>
        <v/>
      </c>
      <c r="B220" s="396" t="n">
        <v>591560</v>
      </c>
      <c r="C220" s="369" t="inlineStr">
        <is>
          <t>วิภา เอี่ยมฉาย</t>
        </is>
      </c>
      <c r="D220" s="369" t="inlineStr">
        <is>
          <t>หญิง</t>
        </is>
      </c>
      <c r="E220" s="369" t="inlineStr">
        <is>
          <t>รายเดือน</t>
        </is>
      </c>
      <c r="F220" s="369" t="inlineStr">
        <is>
          <t>ไทย</t>
        </is>
      </c>
      <c r="G220" s="369" t="inlineStr">
        <is>
          <t>129/44 หมู่ 2 ต.บึง อ.ศรีราชา จ. ชลบุรี 20230</t>
        </is>
      </c>
      <c r="H220" s="396" t="n">
        <v>15</v>
      </c>
      <c r="I220" s="369" t="n"/>
      <c r="J220" s="369" t="inlineStr">
        <is>
          <t>รถจักรยานยนต์ 4 จังหวะเครื่องยนต์ขนาด 125 cc</t>
        </is>
      </c>
      <c r="K220" s="410" t="inlineStr">
        <is>
          <t>แก๊สโซฮอล์ 91</t>
        </is>
      </c>
      <c r="L220" s="396" t="n">
        <v>1</v>
      </c>
      <c r="M220" s="589" t="n"/>
      <c r="N220" s="257">
        <f>'[2]1.4 Septic'!$F$16</f>
        <v/>
      </c>
      <c r="O220" s="257">
        <f>$G$492</f>
        <v/>
      </c>
      <c r="P220" s="258" t="n"/>
      <c r="Q220" s="1731">
        <f>H220*2*L220*N220/O220</f>
        <v/>
      </c>
    </row>
    <row r="221" ht="18" customHeight="1">
      <c r="A221" s="396">
        <f>+A220+1</f>
        <v/>
      </c>
      <c r="B221" s="396" t="n">
        <v>591563</v>
      </c>
      <c r="C221" s="369" t="inlineStr">
        <is>
          <t>ทัศวรรณ หันน้ำเที่ยง</t>
        </is>
      </c>
      <c r="D221" s="369" t="inlineStr">
        <is>
          <t>หญิง</t>
        </is>
      </c>
      <c r="E221" s="369" t="inlineStr">
        <is>
          <t>รายเดือน</t>
        </is>
      </c>
      <c r="F221" s="369" t="inlineStr">
        <is>
          <t>ไทย</t>
        </is>
      </c>
      <c r="G221" s="369" t="inlineStr">
        <is>
          <t>78/105/124 ม.6 ต.บางละมุง อ.บางละมุง จ.ชลบุรี 20150</t>
        </is>
      </c>
      <c r="H221" s="396" t="n">
        <v>3</v>
      </c>
      <c r="I221" s="369" t="n"/>
      <c r="J221" s="369" t="inlineStr">
        <is>
          <t>รถจักรยานยนต์ 4 จังหวะเครื่องยนต์ขนาดเล็กกว่า 125 cc</t>
        </is>
      </c>
      <c r="K221" s="410" t="inlineStr">
        <is>
          <t>แก๊สโซฮอล์ 95</t>
        </is>
      </c>
      <c r="L221" s="396" t="n">
        <v>1</v>
      </c>
      <c r="M221" s="589" t="n"/>
      <c r="N221" s="257">
        <f>'[2]1.4 Septic'!$F$16</f>
        <v/>
      </c>
      <c r="O221" s="257">
        <f>$G$492</f>
        <v/>
      </c>
      <c r="P221" s="258" t="n"/>
      <c r="Q221" s="1731">
        <f>H221*2*L221*N221/O221</f>
        <v/>
      </c>
    </row>
    <row r="222" ht="18" customHeight="1">
      <c r="A222" s="396">
        <f>+A221+1</f>
        <v/>
      </c>
      <c r="B222" s="396" t="n">
        <v>591575</v>
      </c>
      <c r="C222" s="369" t="inlineStr">
        <is>
          <t>ปฐมศักดิ์ ศรีสมวงษ์</t>
        </is>
      </c>
      <c r="D222" s="369" t="inlineStr">
        <is>
          <t>ชาย</t>
        </is>
      </c>
      <c r="E222" s="369" t="inlineStr">
        <is>
          <t>รายเดือน</t>
        </is>
      </c>
      <c r="F222" s="369" t="inlineStr">
        <is>
          <t>ไทย</t>
        </is>
      </c>
      <c r="G222" s="369" t="inlineStr">
        <is>
          <t>66/102 ม.2 ต.ตะเคียนเตี้ย อ.บางละมุง จ.ชลบุรี 20150</t>
        </is>
      </c>
      <c r="H222" s="396" t="n">
        <v>15</v>
      </c>
      <c r="I222" s="369" t="n"/>
      <c r="J222" s="369" t="inlineStr">
        <is>
          <t>รถจักรยานยนต์ 4 จังหวะเครื่องยนต์ขนาด 125 cc</t>
        </is>
      </c>
      <c r="K222" s="410" t="inlineStr">
        <is>
          <t>แก๊สโซฮอล์ 91</t>
        </is>
      </c>
      <c r="L222" s="396" t="n">
        <v>2</v>
      </c>
      <c r="M222" s="589" t="n"/>
      <c r="N222" s="257">
        <f>'[2]1.4 Septic'!$F$16</f>
        <v/>
      </c>
      <c r="O222" s="257">
        <f>$G$492</f>
        <v/>
      </c>
      <c r="P222" s="258" t="n"/>
      <c r="Q222" s="1731">
        <f>H222*2*L222*N222/O222</f>
        <v/>
      </c>
    </row>
    <row r="223" ht="18" customHeight="1">
      <c r="A223" s="396">
        <f>+A222+1</f>
        <v/>
      </c>
      <c r="B223" s="396" t="n">
        <v>591583</v>
      </c>
      <c r="C223" s="369" t="inlineStr">
        <is>
          <t>พรเทพ อุดมพร</t>
        </is>
      </c>
      <c r="D223" s="369" t="inlineStr">
        <is>
          <t>ชาย</t>
        </is>
      </c>
      <c r="E223" s="369" t="inlineStr">
        <is>
          <t>รายเดือน</t>
        </is>
      </c>
      <c r="F223" s="369" t="inlineStr">
        <is>
          <t>ไทย</t>
        </is>
      </c>
      <c r="G223" s="369" t="inlineStr">
        <is>
          <t>39/1 ม.1 ต.ปราสาททอง อ.เขวาสินรินทร์ จ.สุรินทร์ 20150</t>
        </is>
      </c>
      <c r="H223" s="396" t="n">
        <v>9</v>
      </c>
      <c r="I223" s="369" t="n"/>
      <c r="J223" s="369" t="inlineStr">
        <is>
          <t>รถจักรยานยนต์ 4 จังหวะเฉลี่ยทุกขนาด</t>
        </is>
      </c>
      <c r="K223" s="410" t="inlineStr">
        <is>
          <t>แก๊สโซฮอล์ 91</t>
        </is>
      </c>
      <c r="L223" s="396" t="n">
        <v>1</v>
      </c>
      <c r="M223" s="589" t="n"/>
      <c r="N223" s="257">
        <f>'[2]1.4 Septic'!$F$16</f>
        <v/>
      </c>
      <c r="O223" s="257">
        <f>$G$492</f>
        <v/>
      </c>
      <c r="P223" s="258" t="n"/>
      <c r="Q223" s="1731">
        <f>H223*2*L223*N223/O223</f>
        <v/>
      </c>
    </row>
    <row r="224" ht="18" customHeight="1">
      <c r="A224" s="396">
        <f>+A223+1</f>
        <v/>
      </c>
      <c r="B224" s="396" t="n">
        <v>591586</v>
      </c>
      <c r="C224" s="369" t="inlineStr">
        <is>
          <t>จิราภรณ์ มันทะลา</t>
        </is>
      </c>
      <c r="D224" s="369" t="inlineStr">
        <is>
          <t>หญิง</t>
        </is>
      </c>
      <c r="E224" s="369" t="inlineStr">
        <is>
          <t>รายเดือน</t>
        </is>
      </c>
      <c r="F224" s="369" t="inlineStr">
        <is>
          <t>ไทย</t>
        </is>
      </c>
      <c r="G224" s="369" t="inlineStr">
        <is>
          <t>44/73 ม.1 ต.หนองขาม อ.ศรีราชา จ.ชลบุรี 20230</t>
        </is>
      </c>
      <c r="H224" s="396" t="n">
        <v>15</v>
      </c>
      <c r="I224" s="369" t="n"/>
      <c r="J224" s="369" t="inlineStr">
        <is>
          <t>รถจักรยานยนต์ 4 จังหวะเครื่องยนต์ขนาดเล็กกว่า 125 cc</t>
        </is>
      </c>
      <c r="K224" s="410" t="inlineStr">
        <is>
          <t>แก๊สโซฮอล์ 91</t>
        </is>
      </c>
      <c r="L224" s="396" t="n">
        <v>1</v>
      </c>
      <c r="M224" s="589" t="n"/>
      <c r="N224" s="257">
        <f>'[2]1.4 Septic'!$F$16</f>
        <v/>
      </c>
      <c r="O224" s="257">
        <f>$G$492</f>
        <v/>
      </c>
      <c r="P224" s="258" t="n"/>
      <c r="Q224" s="1731">
        <f>H224*2*L224*N224/O224</f>
        <v/>
      </c>
    </row>
    <row r="225" ht="18" customHeight="1">
      <c r="A225" s="396">
        <f>+A224+1</f>
        <v/>
      </c>
      <c r="B225" s="396" t="n">
        <v>591593</v>
      </c>
      <c r="C225" s="369" t="inlineStr">
        <is>
          <t>ปานหทัย ไชยวรรณ</t>
        </is>
      </c>
      <c r="D225" s="369" t="inlineStr">
        <is>
          <t>หญิง</t>
        </is>
      </c>
      <c r="E225" s="369" t="inlineStr">
        <is>
          <t>รายเดือน</t>
        </is>
      </c>
      <c r="F225" s="369" t="inlineStr">
        <is>
          <t>ไทย</t>
        </is>
      </c>
      <c r="G225" s="369" t="inlineStr">
        <is>
          <t>223/143-144 อาคารพีทีเพลส ม.6 ต.ทุ่งสุขลา อ.ศรีราชา จ.ชลบุรี 20230</t>
        </is>
      </c>
      <c r="H225" s="396" t="n">
        <v>3</v>
      </c>
      <c r="I225" s="369" t="n"/>
      <c r="J225" s="369" t="inlineStr">
        <is>
          <t>รถยนต์เฉลี่ยทุกขนาด</t>
        </is>
      </c>
      <c r="K225" s="410" t="inlineStr">
        <is>
          <t>แก๊สโซฮอล์ E20</t>
        </is>
      </c>
      <c r="L225" s="396" t="n">
        <v>1</v>
      </c>
      <c r="M225" s="589" t="n"/>
      <c r="N225" s="257">
        <f>'[2]1.4 Septic'!$F$16</f>
        <v/>
      </c>
      <c r="O225" s="257">
        <f>$G$487</f>
        <v/>
      </c>
      <c r="P225" s="258" t="n"/>
      <c r="Q225" s="1731">
        <f>H225*2*L225*N225/O225</f>
        <v/>
      </c>
    </row>
    <row r="226" ht="18" customHeight="1">
      <c r="A226" s="396">
        <f>+A225+1</f>
        <v/>
      </c>
      <c r="B226" s="396" t="n">
        <v>591596</v>
      </c>
      <c r="C226" s="369" t="inlineStr">
        <is>
          <t>จาตุรงณ์ สังข์จันทร์</t>
        </is>
      </c>
      <c r="D226" s="369" t="inlineStr">
        <is>
          <t>ชาย</t>
        </is>
      </c>
      <c r="E226" s="369" t="inlineStr">
        <is>
          <t>รายเดือน</t>
        </is>
      </c>
      <c r="F226" s="369" t="inlineStr">
        <is>
          <t>ไทย</t>
        </is>
      </c>
      <c r="G226" s="369" t="inlineStr">
        <is>
          <t>292/14 หมู่ที่ 10 ต.ทุ่งสุขลา อ.ศรีราชา จ.ชลบุรี 20230</t>
        </is>
      </c>
      <c r="H226" s="396" t="n">
        <v>7</v>
      </c>
      <c r="I226" s="369" t="n"/>
      <c r="J226" s="369" t="inlineStr">
        <is>
          <t>รถจักรยานยนต์ 2 จังหวะเครื่องยนต์ขนาด 150cc</t>
        </is>
      </c>
      <c r="K226" s="410" t="inlineStr">
        <is>
          <t>แก๊สโซฮอล์ 91</t>
        </is>
      </c>
      <c r="L226" s="396" t="n">
        <v>1</v>
      </c>
      <c r="M226" s="589" t="n"/>
      <c r="N226" s="257">
        <f>'[2]1.4 Septic'!$F$16</f>
        <v/>
      </c>
      <c r="O226" s="1754">
        <f>$G$491</f>
        <v/>
      </c>
      <c r="P226" s="258" t="n"/>
      <c r="Q226" s="1731">
        <f>H226*2*L226*N226/O226</f>
        <v/>
      </c>
    </row>
    <row r="227" ht="18" customHeight="1">
      <c r="A227" s="396">
        <f>+A226+1</f>
        <v/>
      </c>
      <c r="B227" s="396" t="n">
        <v>591622</v>
      </c>
      <c r="C227" s="369" t="inlineStr">
        <is>
          <t>ราชิต ผาริวงค์</t>
        </is>
      </c>
      <c r="D227" s="369" t="inlineStr">
        <is>
          <t>ชาย</t>
        </is>
      </c>
      <c r="E227" s="369" t="inlineStr">
        <is>
          <t>รายเดือน</t>
        </is>
      </c>
      <c r="F227" s="369" t="inlineStr">
        <is>
          <t>ไทย</t>
        </is>
      </c>
      <c r="G227" s="369" t="inlineStr">
        <is>
          <t>50/124 ม.10 ต.ทุ่งสุขลา อ.ศรีราชา จ.ชลบุรี 20230</t>
        </is>
      </c>
      <c r="H227" s="396" t="n">
        <v>5</v>
      </c>
      <c r="I227" s="369" t="n"/>
      <c r="J227" s="369" t="inlineStr">
        <is>
          <t>รถจักรยานยนต์ 2 จังหวะเครื่องยนต์ขนาด 150cc</t>
        </is>
      </c>
      <c r="K227" s="410" t="inlineStr">
        <is>
          <t>แก๊สโซฮอล์ 95</t>
        </is>
      </c>
      <c r="L227" s="396" t="n">
        <v>2</v>
      </c>
      <c r="M227" s="589" t="n"/>
      <c r="N227" s="257">
        <f>'[2]1.4 Septic'!$F$16</f>
        <v/>
      </c>
      <c r="O227" s="1754">
        <f>$G$491</f>
        <v/>
      </c>
      <c r="P227" s="258" t="n"/>
      <c r="Q227" s="1731">
        <f>H227*2*L227*N227/O227</f>
        <v/>
      </c>
    </row>
    <row r="228" ht="18" customHeight="1">
      <c r="A228" s="396">
        <f>+A227+1</f>
        <v/>
      </c>
      <c r="B228" s="396" t="n">
        <v>591650</v>
      </c>
      <c r="C228" s="369" t="inlineStr">
        <is>
          <t>ภาณุพงศ์ เฉลียวเลิศ</t>
        </is>
      </c>
      <c r="D228" s="369" t="inlineStr">
        <is>
          <t>ชาย</t>
        </is>
      </c>
      <c r="E228" s="369" t="inlineStr">
        <is>
          <t>รายเดือน</t>
        </is>
      </c>
      <c r="F228" s="369" t="inlineStr">
        <is>
          <t>ไทย</t>
        </is>
      </c>
      <c r="G228" s="593" t="inlineStr">
        <is>
          <t>41/83 ม.2 ขุมทรัพย์อพาร์ทเม้นท์ ต.บางละมุง อ.บางละมุง จ.ชลบุรี 20150</t>
        </is>
      </c>
      <c r="H228" s="396" t="n">
        <v>7</v>
      </c>
      <c r="I228" s="369" t="n"/>
      <c r="J228" s="369" t="inlineStr">
        <is>
          <t>รถกระบะบรรทุก</t>
        </is>
      </c>
      <c r="K228" s="410" t="inlineStr">
        <is>
          <t>ดีเซล</t>
        </is>
      </c>
      <c r="L228" s="396" t="n">
        <v>1</v>
      </c>
      <c r="M228" s="589" t="n"/>
      <c r="N228" s="257">
        <f>'[2]1.4 Septic'!$F$16</f>
        <v/>
      </c>
      <c r="O228" s="257" t="n">
        <v>6.369</v>
      </c>
      <c r="P228" s="1731">
        <f>H228*2*L228*N228/O228</f>
        <v/>
      </c>
      <c r="Q228" s="258" t="n"/>
    </row>
    <row r="229" ht="18" customHeight="1">
      <c r="A229" s="396">
        <f>+A228+1</f>
        <v/>
      </c>
      <c r="B229" s="396" t="n">
        <v>591654</v>
      </c>
      <c r="C229" s="369" t="inlineStr">
        <is>
          <t>จำโบ้ แคนติ</t>
        </is>
      </c>
      <c r="D229" s="369" t="inlineStr">
        <is>
          <t>ชาย</t>
        </is>
      </c>
      <c r="E229" s="369" t="inlineStr">
        <is>
          <t>รายเดือน</t>
        </is>
      </c>
      <c r="F229" s="369" t="inlineStr">
        <is>
          <t>ไทย</t>
        </is>
      </c>
      <c r="G229" s="369" t="inlineStr">
        <is>
          <t>526/6-7 ม.11 ต.หนองขาม อ.ศรีราชา จ.ชลบุรี 20230</t>
        </is>
      </c>
      <c r="H229" s="396" t="n">
        <v>7</v>
      </c>
      <c r="I229" s="369" t="n"/>
      <c r="J229" s="369" t="inlineStr">
        <is>
          <t>รถยนต์เฉลี่ยทุกขนาด</t>
        </is>
      </c>
      <c r="K229" s="410" t="inlineStr">
        <is>
          <t>แก๊สโซฮอล์ 95</t>
        </is>
      </c>
      <c r="L229" s="396" t="n">
        <v>1</v>
      </c>
      <c r="M229" s="589" t="n"/>
      <c r="N229" s="257">
        <f>'[2]1.4 Septic'!$F$16</f>
        <v/>
      </c>
      <c r="O229" s="257">
        <f>$G$487</f>
        <v/>
      </c>
      <c r="P229" s="258" t="n"/>
      <c r="Q229" s="1731">
        <f>H229*2*L229*N229/O229</f>
        <v/>
      </c>
    </row>
    <row r="230" ht="18" customHeight="1">
      <c r="A230" s="396">
        <f>+A229+1</f>
        <v/>
      </c>
      <c r="B230" s="396" t="n">
        <v>591655</v>
      </c>
      <c r="C230" s="369" t="inlineStr">
        <is>
          <t>สังข์เวียน วงละคร</t>
        </is>
      </c>
      <c r="D230" s="369" t="inlineStr">
        <is>
          <t>ชาย</t>
        </is>
      </c>
      <c r="E230" s="369" t="inlineStr">
        <is>
          <t>รายเดือน</t>
        </is>
      </c>
      <c r="F230" s="369" t="inlineStr">
        <is>
          <t>ไทย</t>
        </is>
      </c>
      <c r="G230" s="369" t="inlineStr">
        <is>
          <t>262/193 ม.11 ต.หนองขาม อ.ศรีราชา จ.ชลบุรี 20230</t>
        </is>
      </c>
      <c r="H230" s="396" t="n">
        <v>3.5</v>
      </c>
      <c r="I230" s="369" t="n"/>
      <c r="J230" s="369" t="inlineStr">
        <is>
          <t>รถกระบะบรรทุก</t>
        </is>
      </c>
      <c r="K230" s="410" t="inlineStr">
        <is>
          <t>ดีเซล</t>
        </is>
      </c>
      <c r="L230" s="396" t="n">
        <v>2</v>
      </c>
      <c r="M230" s="589" t="n"/>
      <c r="N230" s="257">
        <f>'[2]1.4 Septic'!$F$16</f>
        <v/>
      </c>
      <c r="O230" s="257" t="n">
        <v>6.369</v>
      </c>
      <c r="P230" s="1731">
        <f>H230*2*L230*N230/O230</f>
        <v/>
      </c>
      <c r="Q230" s="258" t="n"/>
    </row>
    <row r="231" ht="18" customHeight="1">
      <c r="A231" s="396">
        <f>+A230+1</f>
        <v/>
      </c>
      <c r="B231" s="396" t="n">
        <v>601665</v>
      </c>
      <c r="C231" s="369" t="inlineStr">
        <is>
          <t>จักรี บัวกอ</t>
        </is>
      </c>
      <c r="D231" s="369" t="inlineStr">
        <is>
          <t>ชาย</t>
        </is>
      </c>
      <c r="E231" s="369" t="inlineStr">
        <is>
          <t>รายเดือน</t>
        </is>
      </c>
      <c r="F231" s="369" t="inlineStr">
        <is>
          <t>ไทย</t>
        </is>
      </c>
      <c r="G231" s="593" t="inlineStr">
        <is>
          <t>180/143 ม.8 บ.ทองริน ต บางละมุง อ.บางละมุง จ.ชลบุรี 20150</t>
        </is>
      </c>
      <c r="H231" s="396" t="n">
        <v>7</v>
      </c>
      <c r="I231" s="369" t="n"/>
      <c r="J231" s="369" t="inlineStr">
        <is>
          <t>รถจักรยานยนต์ 4 จังหวะเครื่องยนต์ขนาดเล็กกว่า 125 cc</t>
        </is>
      </c>
      <c r="K231" s="410" t="inlineStr">
        <is>
          <t>แก๊สโซฮอล์ 91</t>
        </is>
      </c>
      <c r="L231" s="396" t="n">
        <v>2</v>
      </c>
      <c r="M231" s="589" t="n"/>
      <c r="N231" s="257">
        <f>'[2]1.4 Septic'!$F$16</f>
        <v/>
      </c>
      <c r="O231" s="257">
        <f>$G$492</f>
        <v/>
      </c>
      <c r="P231" s="258" t="n"/>
      <c r="Q231" s="1731">
        <f>H231*2*L231*N231/O231</f>
        <v/>
      </c>
    </row>
    <row r="232" ht="18" customHeight="1">
      <c r="A232" s="396">
        <f>+A231+1</f>
        <v/>
      </c>
      <c r="B232" s="396" t="n">
        <v>601669</v>
      </c>
      <c r="C232" s="369" t="inlineStr">
        <is>
          <t>อาภาพร อินโนนเชือก</t>
        </is>
      </c>
      <c r="D232" s="369" t="inlineStr">
        <is>
          <t>หญิง</t>
        </is>
      </c>
      <c r="E232" s="369" t="inlineStr">
        <is>
          <t>รายเดือน</t>
        </is>
      </c>
      <c r="F232" s="369" t="inlineStr">
        <is>
          <t>ไทย</t>
        </is>
      </c>
      <c r="G232" s="369" t="inlineStr">
        <is>
          <t>18/45 ม.6 ต.บางละมุง อ.บางละมุง จ.ชลบุรี 20150</t>
        </is>
      </c>
      <c r="H232" s="396" t="n">
        <v>3</v>
      </c>
      <c r="I232" s="369" t="n"/>
      <c r="J232" s="369" t="inlineStr">
        <is>
          <t>รถจักรยานยนต์ 4 จังหวะเครื่องยนต์ขนาดเล็กกว่า 125 cc</t>
        </is>
      </c>
      <c r="K232" s="410" t="inlineStr">
        <is>
          <t>แก๊สโซฮอล์ 91</t>
        </is>
      </c>
      <c r="L232" s="396" t="n">
        <v>1</v>
      </c>
      <c r="M232" s="589" t="n"/>
      <c r="N232" s="257">
        <f>'[2]1.4 Septic'!$F$16</f>
        <v/>
      </c>
      <c r="O232" s="257">
        <f>$G$492</f>
        <v/>
      </c>
      <c r="P232" s="258" t="n"/>
      <c r="Q232" s="1731">
        <f>H232*2*L232*N232/O232</f>
        <v/>
      </c>
    </row>
    <row r="233" ht="18" customHeight="1">
      <c r="A233" s="396">
        <f>+A232+1</f>
        <v/>
      </c>
      <c r="B233" s="396" t="n">
        <v>601674</v>
      </c>
      <c r="C233" s="369" t="inlineStr">
        <is>
          <t>วยารัตน์ โชติธนชัยพัฒน์</t>
        </is>
      </c>
      <c r="D233" s="369" t="inlineStr">
        <is>
          <t>หญิง</t>
        </is>
      </c>
      <c r="E233" s="369" t="inlineStr">
        <is>
          <t>รายเดือน</t>
        </is>
      </c>
      <c r="F233" s="369" t="inlineStr">
        <is>
          <t>ไทย</t>
        </is>
      </c>
      <c r="G233" s="367" t="inlineStr">
        <is>
          <t>การเคหะแหลมฉบัง  ม.6 ต.บางละมุง อ.บางละมุง จ.ชลบุรี</t>
        </is>
      </c>
      <c r="H233" s="396" t="n">
        <v>10</v>
      </c>
      <c r="I233" s="369" t="n"/>
      <c r="J233" s="369" t="inlineStr">
        <is>
          <t>รถจักรยานยนต์ 4 จังหวะเครื่องยนต์ขนาด 125 cc</t>
        </is>
      </c>
      <c r="K233" s="410" t="inlineStr">
        <is>
          <t>แก๊สโซฮอล์ 91</t>
        </is>
      </c>
      <c r="L233" s="396" t="n">
        <v>1</v>
      </c>
      <c r="M233" s="589" t="n"/>
      <c r="N233" s="257">
        <f>'[2]1.4 Septic'!$F$16</f>
        <v/>
      </c>
      <c r="O233" s="257">
        <f>$G$492</f>
        <v/>
      </c>
      <c r="P233" s="258" t="n"/>
      <c r="Q233" s="1731">
        <f>H233*2*L233*N233/O233</f>
        <v/>
      </c>
    </row>
    <row r="234" ht="18" customHeight="1">
      <c r="A234" s="396">
        <f>+A233+1</f>
        <v/>
      </c>
      <c r="B234" s="396" t="n">
        <v>601676</v>
      </c>
      <c r="C234" s="369" t="inlineStr">
        <is>
          <t>สุทิพย์ ไชยบุตร</t>
        </is>
      </c>
      <c r="D234" s="369" t="inlineStr">
        <is>
          <t>หญิง</t>
        </is>
      </c>
      <c r="E234" s="369" t="inlineStr">
        <is>
          <t>รายเดือน</t>
        </is>
      </c>
      <c r="F234" s="369" t="inlineStr">
        <is>
          <t>ไทย</t>
        </is>
      </c>
      <c r="G234" s="369" t="inlineStr">
        <is>
          <t>202/6 ต.เคหะ อ.บางละมุง จ.ชลบุรี 20150</t>
        </is>
      </c>
      <c r="H234" s="396" t="n">
        <v>6</v>
      </c>
      <c r="I234" s="369" t="n"/>
      <c r="J234" s="369" t="inlineStr">
        <is>
          <t>รถจักรยานยนต์ 4 จังหวะเครื่องยนต์ขนาดเล็กกว่า 125 cc</t>
        </is>
      </c>
      <c r="K234" s="410" t="inlineStr">
        <is>
          <t>แก๊สโซฮอล์ 91</t>
        </is>
      </c>
      <c r="L234" s="396" t="n">
        <v>1</v>
      </c>
      <c r="M234" s="589" t="n"/>
      <c r="N234" s="257">
        <f>'[2]1.4 Septic'!$F$16</f>
        <v/>
      </c>
      <c r="O234" s="257">
        <f>$G$492</f>
        <v/>
      </c>
      <c r="P234" s="258" t="n"/>
      <c r="Q234" s="1731">
        <f>H234*2*L234*N234/O234</f>
        <v/>
      </c>
    </row>
    <row r="235" ht="18" customHeight="1">
      <c r="A235" s="396">
        <f>+A234+1</f>
        <v/>
      </c>
      <c r="B235" s="396" t="n">
        <v>601680</v>
      </c>
      <c r="C235" s="369" t="inlineStr">
        <is>
          <t>ชลพิชา ฉ่ำโสฬส</t>
        </is>
      </c>
      <c r="D235" s="369" t="inlineStr">
        <is>
          <t>หญิง</t>
        </is>
      </c>
      <c r="E235" s="369" t="inlineStr">
        <is>
          <t>รายเดือน</t>
        </is>
      </c>
      <c r="F235" s="369" t="inlineStr">
        <is>
          <t>ไทย</t>
        </is>
      </c>
      <c r="G235" s="369" t="inlineStr">
        <is>
          <t>182 ม.8 ต.ทุ่งสุขลา อ.ศรีราชา จ.ชลบุรี 20230</t>
        </is>
      </c>
      <c r="H235" s="396" t="n">
        <v>4</v>
      </c>
      <c r="I235" s="369" t="n"/>
      <c r="J235" s="369" t="inlineStr">
        <is>
          <t>รถจักรยานยนต์ 2 จังหวะเครื่องยนต์ขนาด 150cc</t>
        </is>
      </c>
      <c r="K235" s="410" t="inlineStr">
        <is>
          <t>แก๊สโซฮอล์ 95</t>
        </is>
      </c>
      <c r="L235" s="396" t="n">
        <v>1</v>
      </c>
      <c r="M235" s="589" t="n"/>
      <c r="N235" s="257">
        <f>'[2]1.4 Septic'!$F$16</f>
        <v/>
      </c>
      <c r="O235" s="1754">
        <f>$G$491</f>
        <v/>
      </c>
      <c r="P235" s="258" t="n"/>
      <c r="Q235" s="1731">
        <f>H235*2*L235*N235/O235</f>
        <v/>
      </c>
    </row>
    <row r="236" ht="18" customHeight="1">
      <c r="A236" s="396">
        <f>+A235+1</f>
        <v/>
      </c>
      <c r="B236" s="396" t="n">
        <v>601681</v>
      </c>
      <c r="C236" s="369" t="inlineStr">
        <is>
          <t>อรรถพร ชาภักดี</t>
        </is>
      </c>
      <c r="D236" s="369" t="inlineStr">
        <is>
          <t>หญิง</t>
        </is>
      </c>
      <c r="E236" s="369" t="inlineStr">
        <is>
          <t>รายเดือน</t>
        </is>
      </c>
      <c r="F236" s="369" t="inlineStr">
        <is>
          <t>ไทย</t>
        </is>
      </c>
      <c r="G236" s="369" t="inlineStr">
        <is>
          <t>226/35 ม.10 ต.บางพระ อ.ศรีราชา จ.ชลบุรี 20230</t>
        </is>
      </c>
      <c r="H236" s="396" t="n">
        <v>20</v>
      </c>
      <c r="I236" s="369" t="n"/>
      <c r="J236" s="369" t="inlineStr">
        <is>
          <t>รถจักรยานยนต์ 4 จังหวะเครื่องยนต์ขนาด 125 cc</t>
        </is>
      </c>
      <c r="K236" s="410" t="inlineStr">
        <is>
          <t>แก๊สโซฮอล์ 91</t>
        </is>
      </c>
      <c r="L236" s="396" t="n">
        <v>1</v>
      </c>
      <c r="M236" s="589" t="n"/>
      <c r="N236" s="257">
        <f>'[2]1.4 Septic'!$F$16</f>
        <v/>
      </c>
      <c r="O236" s="257">
        <f>$G$492</f>
        <v/>
      </c>
      <c r="P236" s="258" t="n"/>
      <c r="Q236" s="1731">
        <f>H236*2*L236*N236/O236</f>
        <v/>
      </c>
    </row>
    <row r="237" ht="18" customHeight="1">
      <c r="A237" s="396">
        <f>+A236+1</f>
        <v/>
      </c>
      <c r="B237" s="396" t="n">
        <v>601690</v>
      </c>
      <c r="C237" s="369" t="inlineStr">
        <is>
          <t>สาวิตรี จำรัส</t>
        </is>
      </c>
      <c r="D237" s="369" t="inlineStr">
        <is>
          <t>หญิง</t>
        </is>
      </c>
      <c r="E237" s="369" t="inlineStr">
        <is>
          <t>รายเดือน</t>
        </is>
      </c>
      <c r="F237" s="369" t="inlineStr">
        <is>
          <t>ไทย</t>
        </is>
      </c>
      <c r="G237" s="367" t="inlineStr">
        <is>
          <t>บ้านนา  ต.ทุ่งสุขลา อ.ศรีราชา จ.ชลบุรี 20230</t>
        </is>
      </c>
      <c r="H237" s="396" t="n">
        <v>6</v>
      </c>
      <c r="I237" s="369" t="n"/>
      <c r="J237" s="369" t="inlineStr">
        <is>
          <t>รถจักรยานยนต์ 2 จังหวะเครื่องยนต์ขนาด 150cc</t>
        </is>
      </c>
      <c r="K237" s="410" t="inlineStr">
        <is>
          <t>แก๊สโซฮอล์ 95</t>
        </is>
      </c>
      <c r="L237" s="396" t="n">
        <v>1</v>
      </c>
      <c r="M237" s="589" t="n"/>
      <c r="N237" s="257">
        <f>'[2]1.4 Septic'!$F$16</f>
        <v/>
      </c>
      <c r="O237" s="1754">
        <f>$G$491</f>
        <v/>
      </c>
      <c r="P237" s="258" t="n"/>
      <c r="Q237" s="1731">
        <f>H237*2*L237*N237/O237</f>
        <v/>
      </c>
    </row>
    <row r="238" ht="18" customHeight="1">
      <c r="A238" s="396">
        <f>+A237+1</f>
        <v/>
      </c>
      <c r="B238" s="396" t="n">
        <v>601691</v>
      </c>
      <c r="C238" s="369" t="inlineStr">
        <is>
          <t>อชิรญา พุทธตรัส</t>
        </is>
      </c>
      <c r="D238" s="369" t="inlineStr">
        <is>
          <t>หญิง</t>
        </is>
      </c>
      <c r="E238" s="369" t="inlineStr">
        <is>
          <t>รายเดือน</t>
        </is>
      </c>
      <c r="F238" s="369" t="inlineStr">
        <is>
          <t>ไทย</t>
        </is>
      </c>
      <c r="G238" s="369" t="inlineStr">
        <is>
          <t>102/10 ม.2 ต.ทุ่งสุขลา อ.ศรีราชา จ.ชลบุรี 20230</t>
        </is>
      </c>
      <c r="H238" s="396" t="n">
        <v>15</v>
      </c>
      <c r="I238" s="369" t="n"/>
      <c r="J238" s="369" t="inlineStr">
        <is>
          <t>รถยนต์ขนาดเล็ก (1500 cc)</t>
        </is>
      </c>
      <c r="K238" s="410" t="inlineStr">
        <is>
          <t>แก๊สโซฮอล์ 95</t>
        </is>
      </c>
      <c r="L238" s="396" t="n">
        <v>1</v>
      </c>
      <c r="M238" s="589" t="n"/>
      <c r="N238" s="257">
        <f>'[2]1.4 Septic'!$F$16</f>
        <v/>
      </c>
      <c r="O238" s="257">
        <f>$G$498</f>
        <v/>
      </c>
      <c r="P238" s="258" t="n"/>
      <c r="Q238" s="1731">
        <f>H238*2*L238*N238/O238</f>
        <v/>
      </c>
    </row>
    <row r="239" ht="18" customHeight="1">
      <c r="A239" s="396">
        <f>+A238+1</f>
        <v/>
      </c>
      <c r="B239" s="396" t="n">
        <v>601720</v>
      </c>
      <c r="C239" s="369" t="inlineStr">
        <is>
          <t>ศิวนัฐ์ ทองคำพงษ์</t>
        </is>
      </c>
      <c r="D239" s="369" t="inlineStr">
        <is>
          <t>ชาย</t>
        </is>
      </c>
      <c r="E239" s="369" t="inlineStr">
        <is>
          <t>รายเดือน</t>
        </is>
      </c>
      <c r="F239" s="369" t="inlineStr">
        <is>
          <t>ไทย</t>
        </is>
      </c>
      <c r="G239" s="367" t="inlineStr">
        <is>
          <t>การเคหะแหลมฉบัง  ม.6 ต.บางละมุง อ.บางละมุง จ.ชลบุรี</t>
        </is>
      </c>
      <c r="H239" s="396" t="n">
        <v>4</v>
      </c>
      <c r="I239" s="369" t="n"/>
      <c r="J239" s="369" t="inlineStr">
        <is>
          <t>รถจักรยานยนต์ 2 จังหวะเครื่องยนต์ขนาด 150cc</t>
        </is>
      </c>
      <c r="K239" s="410" t="inlineStr">
        <is>
          <t>แก๊สโซฮอล์ 95</t>
        </is>
      </c>
      <c r="L239" s="396" t="n">
        <v>1</v>
      </c>
      <c r="M239" s="589" t="n"/>
      <c r="N239" s="257">
        <f>'[2]1.4 Septic'!$F$16</f>
        <v/>
      </c>
      <c r="O239" s="1754">
        <f>$G$491</f>
        <v/>
      </c>
      <c r="P239" s="258" t="n"/>
      <c r="Q239" s="1731">
        <f>H239*2*L239*N239/O239</f>
        <v/>
      </c>
    </row>
    <row r="240" ht="18" customHeight="1">
      <c r="A240" s="396">
        <f>+A239+1</f>
        <v/>
      </c>
      <c r="B240" s="396" t="n">
        <v>601722</v>
      </c>
      <c r="C240" s="369" t="inlineStr">
        <is>
          <t>พัทธนันท์ จักสาน</t>
        </is>
      </c>
      <c r="D240" s="369" t="inlineStr">
        <is>
          <t>หญิง</t>
        </is>
      </c>
      <c r="E240" s="369" t="inlineStr">
        <is>
          <t>รายเดือน</t>
        </is>
      </c>
      <c r="F240" s="369" t="inlineStr">
        <is>
          <t>ไทย</t>
        </is>
      </c>
      <c r="G240" s="369" t="inlineStr">
        <is>
          <t>300/13 ม.10 ต.ทุ่งสุขลา อ.ศรีราชา จ.ชลบุรี 20230</t>
        </is>
      </c>
      <c r="H240" s="396" t="n">
        <v>4.5</v>
      </c>
      <c r="I240" s="369" t="n"/>
      <c r="J240" s="369" t="inlineStr">
        <is>
          <t>รถยนต์เฉลี่ยทุกขนาด</t>
        </is>
      </c>
      <c r="K240" s="410" t="inlineStr">
        <is>
          <t>แก๊สโซฮอล์ E20</t>
        </is>
      </c>
      <c r="L240" s="396" t="n">
        <v>1</v>
      </c>
      <c r="M240" s="589" t="n"/>
      <c r="N240" s="257">
        <f>'[2]1.4 Septic'!$F$16</f>
        <v/>
      </c>
      <c r="O240" s="257">
        <f>$G$487</f>
        <v/>
      </c>
      <c r="P240" s="258" t="n"/>
      <c r="Q240" s="1731">
        <f>H240*2*L240*N240/O240</f>
        <v/>
      </c>
    </row>
    <row r="241" ht="18" customHeight="1">
      <c r="A241" s="396">
        <f>+A240+1</f>
        <v/>
      </c>
      <c r="B241" s="396" t="n">
        <v>601724</v>
      </c>
      <c r="C241" s="369" t="inlineStr">
        <is>
          <t>กนกรัตน์ นาโสก</t>
        </is>
      </c>
      <c r="D241" s="369" t="inlineStr">
        <is>
          <t>หญิง</t>
        </is>
      </c>
      <c r="E241" s="369" t="inlineStr">
        <is>
          <t>รายเดือน</t>
        </is>
      </c>
      <c r="F241" s="369" t="inlineStr">
        <is>
          <t>ไทย</t>
        </is>
      </c>
      <c r="G241" s="367" t="inlineStr">
        <is>
          <t>สี่มุมเมืองแหลมฉบัง ต.ทุ่งสุขลา อ.ศรีราชา จ.ชลบุรี 20230</t>
        </is>
      </c>
      <c r="H241" s="396" t="n">
        <v>3</v>
      </c>
      <c r="I241" s="369" t="n"/>
      <c r="J241" s="369" t="inlineStr">
        <is>
          <t>รถจักรยานยนต์ 4 จังหวะเครื่องยนต์ขนาดเล็กกว่า 125 cc</t>
        </is>
      </c>
      <c r="K241" s="410" t="inlineStr">
        <is>
          <t>แก๊สโซฮอล์ 91</t>
        </is>
      </c>
      <c r="L241" s="396" t="n">
        <v>1</v>
      </c>
      <c r="M241" s="589" t="n"/>
      <c r="N241" s="257">
        <f>'[2]1.4 Septic'!$F$16</f>
        <v/>
      </c>
      <c r="O241" s="257">
        <f>$G$492</f>
        <v/>
      </c>
      <c r="P241" s="258" t="n"/>
      <c r="Q241" s="1731">
        <f>H241*2*L241*N241/O241</f>
        <v/>
      </c>
    </row>
    <row r="242" ht="18" customHeight="1">
      <c r="A242" s="396">
        <f>+A241+1</f>
        <v/>
      </c>
      <c r="B242" s="396" t="n">
        <v>601725</v>
      </c>
      <c r="C242" s="369" t="inlineStr">
        <is>
          <t>วันชัย ลิ่มถาวรวัฒนา</t>
        </is>
      </c>
      <c r="D242" s="369" t="inlineStr">
        <is>
          <t>ชาย</t>
        </is>
      </c>
      <c r="E242" s="369" t="inlineStr">
        <is>
          <t>รายเดือน</t>
        </is>
      </c>
      <c r="F242" s="369" t="inlineStr">
        <is>
          <t>ไทย</t>
        </is>
      </c>
      <c r="G242" s="369" t="inlineStr">
        <is>
          <t>16/387 หมู่ที่ 5 ต.ห้วยกระปิ อ.เมืองชลบุรี จ.ชลบุรี 20000</t>
        </is>
      </c>
      <c r="H242" s="396" t="n">
        <v>33.3</v>
      </c>
      <c r="I242" s="369" t="n"/>
      <c r="J242" s="369" t="inlineStr">
        <is>
          <t>รถยนต์ขนาดกลาง (1800 cc)</t>
        </is>
      </c>
      <c r="K242" s="410" t="inlineStr">
        <is>
          <t>แก๊สโซฮอล์ 91</t>
        </is>
      </c>
      <c r="L242" s="396" t="n">
        <v>1</v>
      </c>
      <c r="M242" s="589" t="n"/>
      <c r="N242" s="257">
        <f>'[2]1.4 Septic'!$F$16</f>
        <v/>
      </c>
      <c r="O242" s="257">
        <f>$G$496</f>
        <v/>
      </c>
      <c r="P242" s="258" t="n"/>
      <c r="Q242" s="1731">
        <f>H242*2*L242*N242/O242</f>
        <v/>
      </c>
    </row>
    <row r="243" ht="18" customHeight="1">
      <c r="A243" s="396">
        <f>+A242+1</f>
        <v/>
      </c>
      <c r="B243" s="396" t="n">
        <v>601737</v>
      </c>
      <c r="C243" s="369" t="inlineStr">
        <is>
          <t>กฤษณะ บรรทับ</t>
        </is>
      </c>
      <c r="D243" s="369" t="inlineStr">
        <is>
          <t>ชาย</t>
        </is>
      </c>
      <c r="E243" s="369" t="inlineStr">
        <is>
          <t>รายเดือน</t>
        </is>
      </c>
      <c r="F243" s="369" t="inlineStr">
        <is>
          <t>ไทย</t>
        </is>
      </c>
      <c r="G243" s="369" t="inlineStr">
        <is>
          <t>66/3 ม.10 ต.บึง อ.ศรีราชา จ.ชลบุรี 20230</t>
        </is>
      </c>
      <c r="H243" s="396" t="n">
        <v>8</v>
      </c>
      <c r="I243" s="369" t="n"/>
      <c r="J243" s="369" t="inlineStr">
        <is>
          <t>รถจักรยานยนต์ 4 จังหวะเครื่องยนต์ขนาดเล็กกว่า 125 cc</t>
        </is>
      </c>
      <c r="K243" s="410" t="inlineStr">
        <is>
          <t>เบนซิน</t>
        </is>
      </c>
      <c r="L243" s="396" t="n">
        <v>2</v>
      </c>
      <c r="M243" s="589" t="n"/>
      <c r="N243" s="257">
        <f>'[2]1.4 Septic'!$F$16</f>
        <v/>
      </c>
      <c r="O243" s="257">
        <f>$G$492</f>
        <v/>
      </c>
      <c r="P243" s="258" t="n"/>
      <c r="Q243" s="1731">
        <f>H243*2*L243*N243/O243</f>
        <v/>
      </c>
    </row>
    <row r="244" ht="18" customHeight="1">
      <c r="A244" s="396">
        <f>+A243+1</f>
        <v/>
      </c>
      <c r="B244" s="396" t="n">
        <v>601740</v>
      </c>
      <c r="C244" s="369" t="inlineStr">
        <is>
          <t>อิสระพงค์ บัวงาม</t>
        </is>
      </c>
      <c r="D244" s="369" t="inlineStr">
        <is>
          <t>ชาย</t>
        </is>
      </c>
      <c r="E244" s="369" t="inlineStr">
        <is>
          <t>รายเดือน</t>
        </is>
      </c>
      <c r="F244" s="369" t="inlineStr">
        <is>
          <t>ไทย</t>
        </is>
      </c>
      <c r="G244" s="369" t="inlineStr">
        <is>
          <t>157/56 ม.12 ต.ทุ่งสุขลา อ.ศรีราชา จ.ชลบุรี 20230</t>
        </is>
      </c>
      <c r="H244" s="396" t="n">
        <v>5</v>
      </c>
      <c r="I244" s="369" t="n"/>
      <c r="J244" s="369" t="inlineStr">
        <is>
          <t>รถจักรยานยนต์ 4 จังหวะเครื่องยนต์ขนาดเล็กกว่า 125 cc</t>
        </is>
      </c>
      <c r="K244" s="410" t="inlineStr">
        <is>
          <t>แก๊สโซฮอล์ 95</t>
        </is>
      </c>
      <c r="L244" s="396" t="n">
        <v>2</v>
      </c>
      <c r="M244" s="589" t="n"/>
      <c r="N244" s="257">
        <f>'[2]1.4 Septic'!$F$16</f>
        <v/>
      </c>
      <c r="O244" s="257">
        <f>$G$492</f>
        <v/>
      </c>
      <c r="P244" s="258" t="n"/>
      <c r="Q244" s="1731">
        <f>H244*2*L244*N244/O244</f>
        <v/>
      </c>
    </row>
    <row r="245" ht="18" customHeight="1">
      <c r="A245" s="396">
        <f>+A244+1</f>
        <v/>
      </c>
      <c r="B245" s="396" t="n">
        <v>601741</v>
      </c>
      <c r="C245" s="369" t="inlineStr">
        <is>
          <t>สุพรรณา ยืนนาน</t>
        </is>
      </c>
      <c r="D245" s="369" t="inlineStr">
        <is>
          <t>ชาย</t>
        </is>
      </c>
      <c r="E245" s="369" t="inlineStr">
        <is>
          <t>รายเดือน</t>
        </is>
      </c>
      <c r="F245" s="369" t="inlineStr">
        <is>
          <t>ไทย</t>
        </is>
      </c>
      <c r="G245" s="369" t="inlineStr">
        <is>
          <t>12/19 ม.1 ต.ทุ่งสุขลา อ.ศรีราชา จ.ชลบุรี 20230</t>
        </is>
      </c>
      <c r="H245" s="396" t="n">
        <v>5</v>
      </c>
      <c r="I245" s="369" t="n"/>
      <c r="J245" s="369" t="inlineStr">
        <is>
          <t>รถจักรยานยนต์ 4 จังหวะเครื่องยนต์ขนาด 125 cc</t>
        </is>
      </c>
      <c r="K245" s="410" t="inlineStr">
        <is>
          <t>แก๊สโซฮอล์ 91</t>
        </is>
      </c>
      <c r="L245" s="396" t="n">
        <v>2</v>
      </c>
      <c r="M245" s="589" t="n"/>
      <c r="N245" s="257">
        <f>'[2]1.4 Septic'!$F$16</f>
        <v/>
      </c>
      <c r="O245" s="257">
        <f>$G$492</f>
        <v/>
      </c>
      <c r="P245" s="258" t="n"/>
      <c r="Q245" s="1731">
        <f>H245*2*L245*N245/O245</f>
        <v/>
      </c>
    </row>
    <row r="246" ht="18" customHeight="1">
      <c r="A246" s="396">
        <f>+A245+1</f>
        <v/>
      </c>
      <c r="B246" s="396" t="n">
        <v>601750</v>
      </c>
      <c r="C246" s="369" t="inlineStr">
        <is>
          <t>ฟ้าทิพย์ แหกาวี</t>
        </is>
      </c>
      <c r="D246" s="369" t="inlineStr">
        <is>
          <t>หญิง</t>
        </is>
      </c>
      <c r="E246" s="369" t="inlineStr">
        <is>
          <t>รายเดือน</t>
        </is>
      </c>
      <c r="F246" s="369" t="inlineStr">
        <is>
          <t>ไทย</t>
        </is>
      </c>
      <c r="G246" s="367" t="inlineStr">
        <is>
          <t>บ้านนา  ต.ทุ่งสุขลา อ.ศรีราชา จ.ชลบุรี 20230</t>
        </is>
      </c>
      <c r="H246" s="396" t="n">
        <v>3</v>
      </c>
      <c r="I246" s="369" t="n"/>
      <c r="J246" s="369" t="inlineStr">
        <is>
          <t>รถจักรยานยนต์ 4 จังหวะเครื่องยนต์ขนาด 125 cc</t>
        </is>
      </c>
      <c r="K246" s="410" t="inlineStr">
        <is>
          <t>แก๊สโซฮอล์ 91</t>
        </is>
      </c>
      <c r="L246" s="396" t="n">
        <v>1</v>
      </c>
      <c r="M246" s="589" t="n"/>
      <c r="N246" s="257">
        <f>'[2]1.4 Septic'!$F$16</f>
        <v/>
      </c>
      <c r="O246" s="257">
        <f>$G$492</f>
        <v/>
      </c>
      <c r="P246" s="258" t="n"/>
      <c r="Q246" s="1731">
        <f>H246*2*L246*N246/O246</f>
        <v/>
      </c>
    </row>
    <row r="247" ht="18" customHeight="1">
      <c r="A247" s="396">
        <f>+A246+1</f>
        <v/>
      </c>
      <c r="B247" s="396" t="n">
        <v>601764</v>
      </c>
      <c r="C247" s="369" t="inlineStr">
        <is>
          <t>มนตรี แปลงไร่</t>
        </is>
      </c>
      <c r="D247" s="369" t="inlineStr">
        <is>
          <t>ชาย</t>
        </is>
      </c>
      <c r="E247" s="369" t="inlineStr">
        <is>
          <t>รายเดือน</t>
        </is>
      </c>
      <c r="F247" s="369" t="inlineStr">
        <is>
          <t>ไทย</t>
        </is>
      </c>
      <c r="G247" s="369" t="inlineStr">
        <is>
          <t>35/7 ม.5 ต.ทุ่งสุขลา อ.ศรีราชา จ.ชลบุรี 20230</t>
        </is>
      </c>
      <c r="H247" s="396" t="n">
        <v>6</v>
      </c>
      <c r="I247" s="369" t="n"/>
      <c r="J247" s="369" t="inlineStr">
        <is>
          <t>รถจักรยานยนต์ 4 จังหวะเฉลี่ยทุกขนาด</t>
        </is>
      </c>
      <c r="K247" s="410" t="inlineStr">
        <is>
          <t>เบนซิน</t>
        </is>
      </c>
      <c r="L247" s="396" t="n">
        <v>1</v>
      </c>
      <c r="M247" s="589" t="n"/>
      <c r="N247" s="257">
        <f>'[2]1.4 Septic'!$F$16</f>
        <v/>
      </c>
      <c r="O247" s="257">
        <f>$G$492</f>
        <v/>
      </c>
      <c r="P247" s="258" t="n"/>
      <c r="Q247" s="1731">
        <f>H247*2*L247*N247/O247</f>
        <v/>
      </c>
    </row>
    <row r="248" ht="18" customHeight="1">
      <c r="A248" s="396">
        <f>+A247+1</f>
        <v/>
      </c>
      <c r="B248" s="396" t="n">
        <v>601768</v>
      </c>
      <c r="C248" s="369" t="inlineStr">
        <is>
          <t>สราวุฒิ โคตรสมบัติ</t>
        </is>
      </c>
      <c r="D248" s="369" t="inlineStr">
        <is>
          <t>ชาย</t>
        </is>
      </c>
      <c r="E248" s="369" t="inlineStr">
        <is>
          <t>รายเดือน</t>
        </is>
      </c>
      <c r="F248" s="369" t="inlineStr">
        <is>
          <t>ไทย</t>
        </is>
      </c>
      <c r="G248" s="369" t="inlineStr">
        <is>
          <t>13/2 ม.6 ต.บางละมุง อ.บางละมุง จ.ชลบุรี 20150</t>
        </is>
      </c>
      <c r="H248" s="396" t="n">
        <v>5</v>
      </c>
      <c r="I248" s="369" t="n"/>
      <c r="J248" s="369" t="inlineStr">
        <is>
          <t>รถจักรยานยนต์ 4 จังหวะเครื่องยนต์ขนาดเล็กกว่า 125 cc</t>
        </is>
      </c>
      <c r="K248" s="410" t="inlineStr">
        <is>
          <t>แก๊สโซฮอล์ 91</t>
        </is>
      </c>
      <c r="L248" s="396" t="n">
        <v>1</v>
      </c>
      <c r="M248" s="589" t="n"/>
      <c r="N248" s="257">
        <f>'[2]1.4 Septic'!$F$16</f>
        <v/>
      </c>
      <c r="O248" s="257">
        <f>$G$492</f>
        <v/>
      </c>
      <c r="P248" s="258" t="n"/>
      <c r="Q248" s="1731">
        <f>H248*2*L248*N248/O248</f>
        <v/>
      </c>
    </row>
    <row r="249" ht="18" customHeight="1">
      <c r="A249" s="396">
        <f>+A248+1</f>
        <v/>
      </c>
      <c r="B249" s="396" t="n">
        <v>601769</v>
      </c>
      <c r="C249" s="369" t="inlineStr">
        <is>
          <t>ชัชชกาลณ์ ชัยชนะ</t>
        </is>
      </c>
      <c r="D249" s="369" t="inlineStr">
        <is>
          <t>ชาย</t>
        </is>
      </c>
      <c r="E249" s="369" t="inlineStr">
        <is>
          <t>รายเดือน</t>
        </is>
      </c>
      <c r="F249" s="369" t="inlineStr">
        <is>
          <t>ไทย</t>
        </is>
      </c>
      <c r="G249" s="369" t="inlineStr">
        <is>
          <t>181/67 ม.4 ต.บางละมุง อ.บางละมุง จ.ชลบุรี 20150</t>
        </is>
      </c>
      <c r="H249" s="396" t="n">
        <v>5</v>
      </c>
      <c r="I249" s="369" t="n"/>
      <c r="J249" s="369" t="inlineStr">
        <is>
          <t>รถจักรยานยนต์ 4 จังหวะเครื่องยนต์ขนาด 125 cc</t>
        </is>
      </c>
      <c r="K249" s="410" t="inlineStr">
        <is>
          <t>แก๊สโซฮอล์ 95</t>
        </is>
      </c>
      <c r="L249" s="396" t="n">
        <v>2</v>
      </c>
      <c r="M249" s="589" t="n"/>
      <c r="N249" s="257">
        <f>'[2]1.4 Septic'!$F$16</f>
        <v/>
      </c>
      <c r="O249" s="257">
        <f>$G$492</f>
        <v/>
      </c>
      <c r="P249" s="258" t="n"/>
      <c r="Q249" s="1731">
        <f>H249*2*L249*N249/O249</f>
        <v/>
      </c>
    </row>
    <row r="250" ht="18" customHeight="1">
      <c r="A250" s="396">
        <f>+A249+1</f>
        <v/>
      </c>
      <c r="B250" s="396" t="n">
        <v>601770</v>
      </c>
      <c r="C250" s="369" t="inlineStr">
        <is>
          <t>วรวุฒิ หมื่นพหน</t>
        </is>
      </c>
      <c r="D250" s="369" t="inlineStr">
        <is>
          <t>ชาย</t>
        </is>
      </c>
      <c r="E250" s="369" t="inlineStr">
        <is>
          <t>รายเดือน</t>
        </is>
      </c>
      <c r="F250" s="369" t="inlineStr">
        <is>
          <t>ไทย</t>
        </is>
      </c>
      <c r="G250" s="369" t="inlineStr">
        <is>
          <t>220/212 ต.บางละมุง อ.บางละมุง จ.ชลบุรี 20150</t>
        </is>
      </c>
      <c r="H250" s="396" t="n">
        <v>6</v>
      </c>
      <c r="I250" s="369" t="n"/>
      <c r="J250" s="369" t="inlineStr">
        <is>
          <t>รถกระบะบรรทุก</t>
        </is>
      </c>
      <c r="K250" s="410" t="inlineStr">
        <is>
          <t>ดีเซล</t>
        </is>
      </c>
      <c r="L250" s="396" t="n">
        <v>1</v>
      </c>
      <c r="M250" s="589" t="n"/>
      <c r="N250" s="257">
        <f>'[2]1.4 Septic'!$F$16</f>
        <v/>
      </c>
      <c r="O250" s="257" t="n">
        <v>6.369</v>
      </c>
      <c r="P250" s="1731">
        <f>H250*2*L250*N250/O250</f>
        <v/>
      </c>
      <c r="Q250" s="258" t="n"/>
    </row>
    <row r="251" ht="18" customHeight="1">
      <c r="A251" s="396">
        <f>+A250+1</f>
        <v/>
      </c>
      <c r="B251" s="396" t="n">
        <v>601778</v>
      </c>
      <c r="C251" s="369" t="inlineStr">
        <is>
          <t>มนัสชนก สุวรรณศรี</t>
        </is>
      </c>
      <c r="D251" s="369" t="inlineStr">
        <is>
          <t>หญิง</t>
        </is>
      </c>
      <c r="E251" s="369" t="inlineStr">
        <is>
          <t>รายเดือน</t>
        </is>
      </c>
      <c r="F251" s="369" t="inlineStr">
        <is>
          <t>ไทย</t>
        </is>
      </c>
      <c r="G251" s="367" t="inlineStr">
        <is>
          <t>หมู่ที่ 6 ถ. สุขุมวิท ต.ทุ่งสุขลา อ.ศรีราชา จ.ชลบุรี 20230</t>
        </is>
      </c>
      <c r="H251" s="396" t="n">
        <v>4</v>
      </c>
      <c r="I251" s="369" t="n"/>
      <c r="J251" s="369" t="inlineStr">
        <is>
          <t>รถจักรยานยนต์ 4 จังหวะเครื่องยนต์ขนาด 125 cc</t>
        </is>
      </c>
      <c r="K251" s="410" t="inlineStr">
        <is>
          <t>แก๊สโซฮอล์ 95</t>
        </is>
      </c>
      <c r="L251" s="396" t="n">
        <v>1</v>
      </c>
      <c r="M251" s="589" t="n"/>
      <c r="N251" s="257">
        <f>'[2]1.4 Septic'!$F$16</f>
        <v/>
      </c>
      <c r="O251" s="257">
        <f>$G$492</f>
        <v/>
      </c>
      <c r="P251" s="258" t="n"/>
      <c r="Q251" s="1731">
        <f>H251*2*L251*N251/O251</f>
        <v/>
      </c>
    </row>
    <row r="252" ht="18" customHeight="1">
      <c r="A252" s="396">
        <f>+A251+1</f>
        <v/>
      </c>
      <c r="B252" s="396" t="n">
        <v>608573</v>
      </c>
      <c r="C252" s="369" t="inlineStr">
        <is>
          <t>ชฎาพร ไถวสินธุ์</t>
        </is>
      </c>
      <c r="D252" s="369" t="inlineStr">
        <is>
          <t>หญิง</t>
        </is>
      </c>
      <c r="E252" s="369" t="inlineStr">
        <is>
          <t>รายเดือน</t>
        </is>
      </c>
      <c r="F252" s="369" t="inlineStr">
        <is>
          <t>ไทย</t>
        </is>
      </c>
      <c r="G252" s="369" t="inlineStr">
        <is>
          <t>220/049 ม.6 ต.บางละมุง อ.บางละมุง จ.ชลบุรี 20150</t>
        </is>
      </c>
      <c r="H252" s="396" t="n">
        <v>20</v>
      </c>
      <c r="I252" s="369" t="n"/>
      <c r="J252" s="369" t="inlineStr">
        <is>
          <t>รถกระบะบรรทุก</t>
        </is>
      </c>
      <c r="K252" s="410" t="inlineStr">
        <is>
          <t>ดีเซล</t>
        </is>
      </c>
      <c r="L252" s="396" t="n">
        <v>1</v>
      </c>
      <c r="M252" s="589" t="n"/>
      <c r="N252" s="257">
        <f>'[2]1.4 Septic'!$F$16</f>
        <v/>
      </c>
      <c r="O252" s="257" t="n">
        <v>6.369</v>
      </c>
      <c r="P252" s="1731">
        <f>H252*2*L252*N252/O252</f>
        <v/>
      </c>
      <c r="Q252" s="258" t="n"/>
    </row>
    <row r="253" ht="18" customHeight="1">
      <c r="A253" s="396">
        <f>+A252+1</f>
        <v/>
      </c>
      <c r="B253" s="396" t="n">
        <v>611788</v>
      </c>
      <c r="C253" s="369" t="inlineStr">
        <is>
          <t>นุชจรี จันทสิทธิ์</t>
        </is>
      </c>
      <c r="D253" s="369" t="inlineStr">
        <is>
          <t>หญิง</t>
        </is>
      </c>
      <c r="E253" s="369" t="inlineStr">
        <is>
          <t>รายเดือน</t>
        </is>
      </c>
      <c r="F253" s="369" t="inlineStr">
        <is>
          <t>ไทย</t>
        </is>
      </c>
      <c r="G253" s="369" t="inlineStr">
        <is>
          <t>175 หมู่ที่ 8 ต.หนองลาด อ.เมืองสกลนคร จ.สกลนคร 47220</t>
        </is>
      </c>
      <c r="H253" s="396" t="n">
        <v>10</v>
      </c>
      <c r="I253" s="369" t="n"/>
      <c r="J253" s="369" t="inlineStr">
        <is>
          <t>รถจักรยานยนต์ 2 จังหวะเครื่องยนต์ขนาด 150cc</t>
        </is>
      </c>
      <c r="K253" s="410" t="inlineStr">
        <is>
          <t>แก๊สโซฮอล์ 91</t>
        </is>
      </c>
      <c r="L253" s="396" t="n">
        <v>1</v>
      </c>
      <c r="M253" s="589" t="n"/>
      <c r="N253" s="257">
        <f>'[2]1.4 Septic'!$F$16</f>
        <v/>
      </c>
      <c r="O253" s="1754">
        <f>$G$491</f>
        <v/>
      </c>
      <c r="P253" s="258" t="n"/>
      <c r="Q253" s="1731">
        <f>H253*2*L253*N253/O253</f>
        <v/>
      </c>
    </row>
    <row r="254" ht="18" customHeight="1">
      <c r="A254" s="396">
        <f>+A253+1</f>
        <v/>
      </c>
      <c r="B254" s="396" t="n">
        <v>611791</v>
      </c>
      <c r="C254" s="369" t="inlineStr">
        <is>
          <t>เพ็ญนภา อินนา</t>
        </is>
      </c>
      <c r="D254" s="369" t="inlineStr">
        <is>
          <t>หญิง</t>
        </is>
      </c>
      <c r="E254" s="369" t="inlineStr">
        <is>
          <t>รายเดือน</t>
        </is>
      </c>
      <c r="F254" s="369" t="inlineStr">
        <is>
          <t>ไทย</t>
        </is>
      </c>
      <c r="G254" s="369" t="inlineStr">
        <is>
          <t>66/11 ม.8 ต.บางละมุง อ.บางละมุง จ.ชลบุรี 20150</t>
        </is>
      </c>
      <c r="H254" s="396" t="n">
        <v>4</v>
      </c>
      <c r="I254" s="369" t="n"/>
      <c r="J254" s="369" t="inlineStr">
        <is>
          <t>รถกระบะบรรทุก</t>
        </is>
      </c>
      <c r="K254" s="410" t="inlineStr">
        <is>
          <t>ดีเซล</t>
        </is>
      </c>
      <c r="L254" s="396" t="n">
        <v>2</v>
      </c>
      <c r="M254" s="589" t="n"/>
      <c r="N254" s="257">
        <f>'[2]1.4 Septic'!$F$16</f>
        <v/>
      </c>
      <c r="O254" s="257" t="n">
        <v>6.369</v>
      </c>
      <c r="P254" s="1731">
        <f>H254*2*L254*N254/O254</f>
        <v/>
      </c>
      <c r="Q254" s="258" t="n"/>
    </row>
    <row r="255" ht="18" customHeight="1">
      <c r="A255" s="396">
        <f>+A254+1</f>
        <v/>
      </c>
      <c r="B255" s="396" t="n">
        <v>611794</v>
      </c>
      <c r="C255" s="369" t="inlineStr">
        <is>
          <t>ทิวาพร กลางหนองแสง</t>
        </is>
      </c>
      <c r="D255" s="369" t="inlineStr">
        <is>
          <t>หญิง</t>
        </is>
      </c>
      <c r="E255" s="369" t="inlineStr">
        <is>
          <t>รายเดือน</t>
        </is>
      </c>
      <c r="F255" s="369" t="inlineStr">
        <is>
          <t>ไทย</t>
        </is>
      </c>
      <c r="G255" s="367" t="inlineStr">
        <is>
          <t xml:space="preserve">ทุ่งกราด ม.6 ต.บางละมุง อ.บางละมุง จ.ชลบุรี 20150 </t>
        </is>
      </c>
      <c r="H255" s="396" t="n">
        <v>6</v>
      </c>
      <c r="I255" s="369" t="n"/>
      <c r="J255" s="369" t="inlineStr">
        <is>
          <t>รถจักรยานยนต์ 2 จังหวะเครื่องยนต์ขนาด 150cc</t>
        </is>
      </c>
      <c r="K255" s="410" t="inlineStr">
        <is>
          <t>แก๊สโซฮอล์ 91</t>
        </is>
      </c>
      <c r="L255" s="396" t="n">
        <v>1</v>
      </c>
      <c r="M255" s="589" t="n"/>
      <c r="N255" s="257">
        <f>'[2]1.4 Septic'!$F$16</f>
        <v/>
      </c>
      <c r="O255" s="1754">
        <f>$G$491</f>
        <v/>
      </c>
      <c r="P255" s="258" t="n"/>
      <c r="Q255" s="1731">
        <f>H255*2*L255*N255/O255</f>
        <v/>
      </c>
    </row>
    <row r="256" ht="18" customHeight="1">
      <c r="A256" s="396">
        <f>+A255+1</f>
        <v/>
      </c>
      <c r="B256" s="396" t="n">
        <v>611795</v>
      </c>
      <c r="C256" s="369" t="inlineStr">
        <is>
          <t>นิภาวรรณ มาตราช</t>
        </is>
      </c>
      <c r="D256" s="369" t="inlineStr">
        <is>
          <t>หญิง</t>
        </is>
      </c>
      <c r="E256" s="369" t="inlineStr">
        <is>
          <t>รายเดือน</t>
        </is>
      </c>
      <c r="F256" s="369" t="inlineStr">
        <is>
          <t>ไทย</t>
        </is>
      </c>
      <c r="G256" s="369" t="inlineStr">
        <is>
          <t>101/263 ม.10 ต.บึง อ.ศรีราชา จ.ชลบุรี 20230</t>
        </is>
      </c>
      <c r="H256" s="396" t="n">
        <v>6</v>
      </c>
      <c r="I256" s="369" t="n"/>
      <c r="J256" s="369" t="inlineStr">
        <is>
          <t>รถจักรยานยนต์ 4 จังหวะเครื่องยนต์ขนาดเล็กกว่า 125 cc</t>
        </is>
      </c>
      <c r="K256" s="410" t="inlineStr">
        <is>
          <t>แก๊สโซฮอล์ 91</t>
        </is>
      </c>
      <c r="L256" s="396" t="n">
        <v>1</v>
      </c>
      <c r="M256" s="589" t="n"/>
      <c r="N256" s="257">
        <f>'[2]1.4 Septic'!$F$16</f>
        <v/>
      </c>
      <c r="O256" s="257">
        <f>$G$492</f>
        <v/>
      </c>
      <c r="P256" s="258" t="n"/>
      <c r="Q256" s="1731">
        <f>H256*2*L256*N256/O256</f>
        <v/>
      </c>
    </row>
    <row r="257" ht="18" customHeight="1">
      <c r="A257" s="396">
        <f>+A256+1</f>
        <v/>
      </c>
      <c r="B257" s="396" t="n">
        <v>611796</v>
      </c>
      <c r="C257" s="369" t="inlineStr">
        <is>
          <t>นภาลัย ใจกล้า</t>
        </is>
      </c>
      <c r="D257" s="369" t="inlineStr">
        <is>
          <t>หญิง</t>
        </is>
      </c>
      <c r="E257" s="369" t="inlineStr">
        <is>
          <t>รายเดือน</t>
        </is>
      </c>
      <c r="F257" s="369" t="inlineStr">
        <is>
          <t>ไทย</t>
        </is>
      </c>
      <c r="G257" s="369" t="inlineStr">
        <is>
          <t>570/93 ม.11 ต.หนองขาม อ.ศรีราชา จ.ชลบุรี 20230</t>
        </is>
      </c>
      <c r="H257" s="396" t="n">
        <v>8</v>
      </c>
      <c r="I257" s="369" t="n"/>
      <c r="J257" s="369" t="inlineStr">
        <is>
          <t>รถจักรยานยนต์ 4 จังหวะเครื่องยนต์ขนาด 125 cc</t>
        </is>
      </c>
      <c r="K257" s="410" t="inlineStr">
        <is>
          <t>แก๊สโซฮอล์ 91</t>
        </is>
      </c>
      <c r="L257" s="396" t="n">
        <v>1</v>
      </c>
      <c r="M257" s="589" t="n"/>
      <c r="N257" s="257">
        <f>'[2]1.4 Septic'!$F$16</f>
        <v/>
      </c>
      <c r="O257" s="257">
        <f>$G$492</f>
        <v/>
      </c>
      <c r="P257" s="258" t="n"/>
      <c r="Q257" s="1731">
        <f>H257*2*L257*N257/O257</f>
        <v/>
      </c>
    </row>
    <row r="258" ht="18" customHeight="1">
      <c r="A258" s="396">
        <f>+A257+1</f>
        <v/>
      </c>
      <c r="B258" s="396" t="n">
        <v>611800</v>
      </c>
      <c r="C258" s="369" t="inlineStr">
        <is>
          <t>นาถยา วงษ์อำมาต</t>
        </is>
      </c>
      <c r="D258" s="369" t="inlineStr">
        <is>
          <t>หญิง</t>
        </is>
      </c>
      <c r="E258" s="369" t="inlineStr">
        <is>
          <t>รายเดือน</t>
        </is>
      </c>
      <c r="F258" s="369" t="inlineStr">
        <is>
          <t>ไทย</t>
        </is>
      </c>
      <c r="G258" s="369" t="inlineStr">
        <is>
          <t>7 หมสู่ 6 ต.บางละมุง อ.บางละมุง จ.ชลบุรี 20150</t>
        </is>
      </c>
      <c r="H258" s="396" t="n">
        <v>3</v>
      </c>
      <c r="I258" s="369" t="n"/>
      <c r="J258" s="369" t="inlineStr">
        <is>
          <t>รถจักรยานยนต์ 4 จังหวะเครื่องยนต์ขนาด 125 cc</t>
        </is>
      </c>
      <c r="K258" s="410" t="inlineStr">
        <is>
          <t>แก๊สโซฮอล์ 91</t>
        </is>
      </c>
      <c r="L258" s="396" t="n">
        <v>1</v>
      </c>
      <c r="M258" s="589" t="n"/>
      <c r="N258" s="257">
        <f>'[2]1.4 Septic'!$F$16</f>
        <v/>
      </c>
      <c r="O258" s="257">
        <f>$G$492</f>
        <v/>
      </c>
      <c r="P258" s="258" t="n"/>
      <c r="Q258" s="1731">
        <f>H258*2*L258*N258/O258</f>
        <v/>
      </c>
    </row>
    <row r="259" ht="18" customHeight="1">
      <c r="A259" s="396">
        <f>+A258+1</f>
        <v/>
      </c>
      <c r="B259" s="396" t="n">
        <v>611802</v>
      </c>
      <c r="C259" s="369" t="inlineStr">
        <is>
          <t>สุธินี ขันตะ</t>
        </is>
      </c>
      <c r="D259" s="369" t="inlineStr">
        <is>
          <t>หญิง</t>
        </is>
      </c>
      <c r="E259" s="369" t="inlineStr">
        <is>
          <t>รายเดือน</t>
        </is>
      </c>
      <c r="F259" s="369" t="inlineStr">
        <is>
          <t>ไทย</t>
        </is>
      </c>
      <c r="G259" s="369" t="inlineStr">
        <is>
          <t>220/133 ม.6 ต.บางละมุง อ.บางละมุง จ.ชลบุรี 20150</t>
        </is>
      </c>
      <c r="H259" s="396" t="n">
        <v>6</v>
      </c>
      <c r="I259" s="369" t="n"/>
      <c r="J259" s="369" t="inlineStr">
        <is>
          <t>รถจักรยานยนต์ 4 จังหวะเครื่องยนต์ขนาด 125 cc</t>
        </is>
      </c>
      <c r="K259" s="410" t="inlineStr">
        <is>
          <t>แก๊สโซฮอล์ 95</t>
        </is>
      </c>
      <c r="L259" s="396" t="n">
        <v>2</v>
      </c>
      <c r="M259" s="589" t="n"/>
      <c r="N259" s="257">
        <f>'[2]1.4 Septic'!$F$16</f>
        <v/>
      </c>
      <c r="O259" s="257">
        <f>$G$492</f>
        <v/>
      </c>
      <c r="P259" s="258" t="n"/>
      <c r="Q259" s="1731">
        <f>H259*2*L259*N259/O259</f>
        <v/>
      </c>
    </row>
    <row r="260" ht="18" customHeight="1">
      <c r="A260" s="396">
        <f>+A259+1</f>
        <v/>
      </c>
      <c r="B260" s="396" t="n">
        <v>611803</v>
      </c>
      <c r="C260" s="369" t="inlineStr">
        <is>
          <t>ศิริวรรณ ขุนณรงค์</t>
        </is>
      </c>
      <c r="D260" s="369" t="inlineStr">
        <is>
          <t>หญิง</t>
        </is>
      </c>
      <c r="E260" s="369" t="inlineStr">
        <is>
          <t>รายเดือน</t>
        </is>
      </c>
      <c r="F260" s="369" t="inlineStr">
        <is>
          <t>ไทย</t>
        </is>
      </c>
      <c r="G260" s="367" t="inlineStr">
        <is>
          <t>เครือสหพัฒน์  ต.หนองขาม อ.ศรีราชา จ.ชลบุรี 20110</t>
        </is>
      </c>
      <c r="H260" s="396" t="n">
        <v>2</v>
      </c>
      <c r="I260" s="369" t="n"/>
      <c r="J260" s="369" t="inlineStr">
        <is>
          <t>รถจักรยานยนต์ 4 จังหวะเครื่องยนต์ขนาด 125 cc</t>
        </is>
      </c>
      <c r="K260" s="410" t="inlineStr">
        <is>
          <t>แก๊สโซฮอล์ 95</t>
        </is>
      </c>
      <c r="L260" s="396" t="n">
        <v>1</v>
      </c>
      <c r="M260" s="589" t="n"/>
      <c r="N260" s="257">
        <f>'[2]1.4 Septic'!$F$16</f>
        <v/>
      </c>
      <c r="O260" s="257">
        <f>$G$492</f>
        <v/>
      </c>
      <c r="P260" s="258" t="n"/>
      <c r="Q260" s="1731">
        <f>H260*2*L260*N260/O260</f>
        <v/>
      </c>
    </row>
    <row r="261" ht="18" customHeight="1">
      <c r="A261" s="396">
        <f>+A260+1</f>
        <v/>
      </c>
      <c r="B261" s="396" t="n">
        <v>611804</v>
      </c>
      <c r="C261" s="369" t="inlineStr">
        <is>
          <t>สากล พรมมา</t>
        </is>
      </c>
      <c r="D261" s="369" t="inlineStr">
        <is>
          <t>ชาย</t>
        </is>
      </c>
      <c r="E261" s="369" t="inlineStr">
        <is>
          <t>รายเดือน</t>
        </is>
      </c>
      <c r="F261" s="369" t="inlineStr">
        <is>
          <t>ไทย</t>
        </is>
      </c>
      <c r="G261" s="369" t="inlineStr">
        <is>
          <t>41 ม.2 ต.บางละมุง อ.บางละมุง จ.ชลบุรี 20150</t>
        </is>
      </c>
      <c r="H261" s="396" t="n">
        <v>10</v>
      </c>
      <c r="I261" s="369" t="n"/>
      <c r="J261" s="369" t="inlineStr">
        <is>
          <t>รถกระบะบรรทุก</t>
        </is>
      </c>
      <c r="K261" s="410" t="inlineStr">
        <is>
          <t>ดีเซล</t>
        </is>
      </c>
      <c r="L261" s="396" t="n">
        <v>1</v>
      </c>
      <c r="M261" s="589" t="n"/>
      <c r="N261" s="257">
        <f>'[2]1.4 Septic'!$F$16</f>
        <v/>
      </c>
      <c r="O261" s="257" t="n">
        <v>6.369</v>
      </c>
      <c r="P261" s="1731">
        <f>H261*2*L261*N261/O261</f>
        <v/>
      </c>
      <c r="Q261" s="258" t="n"/>
    </row>
    <row r="262" ht="18" customHeight="1">
      <c r="A262" s="396">
        <f>+A261+1</f>
        <v/>
      </c>
      <c r="B262" s="396" t="n">
        <v>611807</v>
      </c>
      <c r="C262" s="369" t="inlineStr">
        <is>
          <t>มรีจันทร์ กล้าหาญ</t>
        </is>
      </c>
      <c r="D262" s="369" t="inlineStr">
        <is>
          <t>หญิง</t>
        </is>
      </c>
      <c r="E262" s="369" t="inlineStr">
        <is>
          <t>รายเดือน</t>
        </is>
      </c>
      <c r="F262" s="369" t="inlineStr">
        <is>
          <t>ไทย</t>
        </is>
      </c>
      <c r="G262" s="369" t="inlineStr">
        <is>
          <t>221/076 ต.บางละมุง อ.บางละมุง จ.ชลบุรี 20150</t>
        </is>
      </c>
      <c r="H262" s="396" t="n">
        <v>8</v>
      </c>
      <c r="I262" s="369" t="n"/>
      <c r="J262" s="369" t="inlineStr">
        <is>
          <t>รถจักรยานยนต์ 4 จังหวะเครื่องยนต์ขนาด 125 cc</t>
        </is>
      </c>
      <c r="K262" s="410" t="inlineStr">
        <is>
          <t>แก๊สโซฮอล์ 95</t>
        </is>
      </c>
      <c r="L262" s="396" t="n">
        <v>1</v>
      </c>
      <c r="M262" s="589" t="n"/>
      <c r="N262" s="257">
        <f>'[2]1.4 Septic'!$F$16</f>
        <v/>
      </c>
      <c r="O262" s="257">
        <f>$G$492</f>
        <v/>
      </c>
      <c r="P262" s="258" t="n"/>
      <c r="Q262" s="1731">
        <f>H262*2*L262*N262/O262</f>
        <v/>
      </c>
    </row>
    <row r="263" ht="18" customHeight="1">
      <c r="A263" s="396">
        <f>+A262+1</f>
        <v/>
      </c>
      <c r="B263" s="396" t="n">
        <v>611810</v>
      </c>
      <c r="C263" s="369" t="inlineStr">
        <is>
          <t>ไพวัลย์ ออมทรัพย์</t>
        </is>
      </c>
      <c r="D263" s="369" t="inlineStr">
        <is>
          <t>หญิง</t>
        </is>
      </c>
      <c r="E263" s="369" t="inlineStr">
        <is>
          <t>รายเดือน</t>
        </is>
      </c>
      <c r="F263" s="369" t="inlineStr">
        <is>
          <t>ไทย</t>
        </is>
      </c>
      <c r="G263" s="367" t="inlineStr">
        <is>
          <t>บ้านนา  ต.ทุ่งสุขลา อ.ศรีราชา จ.ชลบุรี 20230</t>
        </is>
      </c>
      <c r="H263" s="396" t="n">
        <v>2</v>
      </c>
      <c r="I263" s="369" t="n"/>
      <c r="J263" s="369" t="inlineStr">
        <is>
          <t>รถจักรยานยนต์ 4 จังหวะเครื่องยนต์ขนาด 125 cc</t>
        </is>
      </c>
      <c r="K263" s="410" t="inlineStr">
        <is>
          <t>แก๊สโซฮอล์ 95</t>
        </is>
      </c>
      <c r="L263" s="396" t="n">
        <v>1</v>
      </c>
      <c r="M263" s="589" t="n"/>
      <c r="N263" s="257">
        <f>'[2]1.4 Septic'!$F$16</f>
        <v/>
      </c>
      <c r="O263" s="257">
        <f>$G$492</f>
        <v/>
      </c>
      <c r="P263" s="258" t="n"/>
      <c r="Q263" s="1731">
        <f>H263*2*L263*N263/O263</f>
        <v/>
      </c>
    </row>
    <row r="264" ht="18" customHeight="1">
      <c r="A264" s="396">
        <f>+A263+1</f>
        <v/>
      </c>
      <c r="B264" s="396" t="n">
        <v>611816</v>
      </c>
      <c r="C264" s="369" t="inlineStr">
        <is>
          <t>พรพรรณ ยิ่งนอก</t>
        </is>
      </c>
      <c r="D264" s="369" t="inlineStr">
        <is>
          <t>หญิง</t>
        </is>
      </c>
      <c r="E264" s="369" t="inlineStr">
        <is>
          <t>รายเดือน</t>
        </is>
      </c>
      <c r="F264" s="369" t="inlineStr">
        <is>
          <t>ไทย</t>
        </is>
      </c>
      <c r="G264" s="369" t="inlineStr">
        <is>
          <t>24/10 ม.5 ต.ทุ่งสุขลา อ.ศรีราชา จ.ชลบุรี 20230</t>
        </is>
      </c>
      <c r="H264" s="396" t="n">
        <v>3</v>
      </c>
      <c r="I264" s="369" t="n"/>
      <c r="J264" s="369" t="inlineStr">
        <is>
          <t>รถจักรยานยนต์ 4 จังหวะเครื่องยนต์ขนาด 125 cc</t>
        </is>
      </c>
      <c r="K264" s="410" t="inlineStr">
        <is>
          <t>แก๊สโซฮอล์ 95</t>
        </is>
      </c>
      <c r="L264" s="396" t="n">
        <v>1</v>
      </c>
      <c r="M264" s="589" t="n"/>
      <c r="N264" s="257">
        <f>'[2]1.4 Septic'!$F$16</f>
        <v/>
      </c>
      <c r="O264" s="257">
        <f>$G$492</f>
        <v/>
      </c>
      <c r="P264" s="258" t="n"/>
      <c r="Q264" s="1731">
        <f>H264*2*L264*N264/O264</f>
        <v/>
      </c>
    </row>
    <row r="265" ht="18" customHeight="1">
      <c r="A265" s="396">
        <f>+A264+1</f>
        <v/>
      </c>
      <c r="B265" s="396" t="n">
        <v>611820</v>
      </c>
      <c r="C265" s="369" t="inlineStr">
        <is>
          <t>คำสัญญา คำสีวงษา</t>
        </is>
      </c>
      <c r="D265" s="369" t="inlineStr">
        <is>
          <t>ชาย</t>
        </is>
      </c>
      <c r="E265" s="369" t="inlineStr">
        <is>
          <t>รายเดือน</t>
        </is>
      </c>
      <c r="F265" s="369" t="inlineStr">
        <is>
          <t>ไทย</t>
        </is>
      </c>
      <c r="G265" s="367" t="inlineStr">
        <is>
          <t>การเคหะแหลมฉบัง  ม.6 ต.บางละมุง อ.บางละมุง จ.ชลบุรี</t>
        </is>
      </c>
      <c r="H265" s="396" t="n">
        <v>10</v>
      </c>
      <c r="I265" s="369" t="n"/>
      <c r="J265" s="369" t="inlineStr">
        <is>
          <t>รถจักรยานยนต์ 4 จังหวะเครื่องยนต์ขนาด 125 cc</t>
        </is>
      </c>
      <c r="K265" s="410" t="inlineStr">
        <is>
          <t>แก๊สโซฮอล์ 91</t>
        </is>
      </c>
      <c r="L265" s="396" t="n">
        <v>2</v>
      </c>
      <c r="M265" s="589" t="n"/>
      <c r="N265" s="257">
        <f>'[2]1.4 Septic'!$F$16</f>
        <v/>
      </c>
      <c r="O265" s="257">
        <f>$G$492</f>
        <v/>
      </c>
      <c r="P265" s="258" t="n"/>
      <c r="Q265" s="1731">
        <f>H265*2*L265*N265/O265</f>
        <v/>
      </c>
    </row>
    <row r="266" ht="18" customHeight="1">
      <c r="A266" s="396">
        <f>+A265+1</f>
        <v/>
      </c>
      <c r="B266" s="396" t="n">
        <v>611826</v>
      </c>
      <c r="C266" s="369" t="inlineStr">
        <is>
          <t>น้ำหอม แคนติ</t>
        </is>
      </c>
      <c r="D266" s="369" t="inlineStr">
        <is>
          <t>ชาย</t>
        </is>
      </c>
      <c r="E266" s="369" t="inlineStr">
        <is>
          <t>รายเดือน</t>
        </is>
      </c>
      <c r="F266" s="369" t="inlineStr">
        <is>
          <t>ไทย</t>
        </is>
      </c>
      <c r="G266" s="369" t="inlineStr">
        <is>
          <t>56/5 ม.4 ต.บางละมุง อ.บางละมุง จ.ชลบุรี 20150</t>
        </is>
      </c>
      <c r="H266" s="396" t="n">
        <v>10</v>
      </c>
      <c r="I266" s="369" t="n"/>
      <c r="J266" s="369" t="inlineStr">
        <is>
          <t>รถกระบะบรรทุก</t>
        </is>
      </c>
      <c r="K266" s="410" t="inlineStr">
        <is>
          <t>ดีเซล</t>
        </is>
      </c>
      <c r="L266" s="396" t="n">
        <v>1</v>
      </c>
      <c r="M266" s="589" t="n"/>
      <c r="N266" s="257">
        <f>'[2]1.4 Septic'!$F$16</f>
        <v/>
      </c>
      <c r="O266" s="257" t="n">
        <v>6.369</v>
      </c>
      <c r="P266" s="1731">
        <f>H266*2*L266*N266/O266</f>
        <v/>
      </c>
      <c r="Q266" s="258" t="n"/>
    </row>
    <row r="267" ht="18" customHeight="1">
      <c r="A267" s="396">
        <f>+A266+1</f>
        <v/>
      </c>
      <c r="B267" s="396" t="n">
        <v>611832</v>
      </c>
      <c r="C267" s="369" t="inlineStr">
        <is>
          <t>เกียรตินิวัฒน์ วงษาบุตร</t>
        </is>
      </c>
      <c r="D267" s="369" t="inlineStr">
        <is>
          <t>ชาย</t>
        </is>
      </c>
      <c r="E267" s="369" t="inlineStr">
        <is>
          <t>รายเดือน</t>
        </is>
      </c>
      <c r="F267" s="369" t="inlineStr">
        <is>
          <t>ไทย</t>
        </is>
      </c>
      <c r="G267" s="369" t="inlineStr">
        <is>
          <t>148/8 ต.ทุ่งสุขลา อ.ศรีราชา จ.ชลบุรี 20230</t>
        </is>
      </c>
      <c r="H267" s="396" t="n">
        <v>5</v>
      </c>
      <c r="I267" s="369" t="n"/>
      <c r="J267" s="369" t="inlineStr">
        <is>
          <t>รถจักรยานยนต์ 4 จังหวะเครื่องยนต์ขนาด 125 cc</t>
        </is>
      </c>
      <c r="K267" s="410" t="inlineStr">
        <is>
          <t>แก๊สโซฮอล์ 91</t>
        </is>
      </c>
      <c r="L267" s="396" t="n">
        <v>1</v>
      </c>
      <c r="M267" s="589" t="n"/>
      <c r="N267" s="257">
        <f>'[2]1.4 Septic'!$F$16</f>
        <v/>
      </c>
      <c r="O267" s="257">
        <f>$G$492</f>
        <v/>
      </c>
      <c r="P267" s="258" t="n"/>
      <c r="Q267" s="1731">
        <f>H267*2*L267*N267/O267</f>
        <v/>
      </c>
    </row>
    <row r="268" ht="18" customHeight="1">
      <c r="A268" s="396">
        <f>+A267+1</f>
        <v/>
      </c>
      <c r="B268" s="396" t="n">
        <v>611838</v>
      </c>
      <c r="C268" s="369" t="inlineStr">
        <is>
          <t>พัชรีพร เพ็ชรนารี</t>
        </is>
      </c>
      <c r="D268" s="369" t="inlineStr">
        <is>
          <t>หญิง</t>
        </is>
      </c>
      <c r="E268" s="369" t="inlineStr">
        <is>
          <t>รายเดือน</t>
        </is>
      </c>
      <c r="F268" s="369" t="inlineStr">
        <is>
          <t>ไทย</t>
        </is>
      </c>
      <c r="G268" s="369" t="inlineStr">
        <is>
          <t>9/2 ม.5 ต.ทุ่งสุขลา อ.ศรีราชา จ.ชลบุรี 20230</t>
        </is>
      </c>
      <c r="H268" s="396" t="n">
        <v>3</v>
      </c>
      <c r="I268" s="369" t="n"/>
      <c r="J268" s="369" t="inlineStr">
        <is>
          <t>รถจักรยานยนต์ 4 จังหวะเครื่องยนต์ขนาด 125 cc</t>
        </is>
      </c>
      <c r="K268" s="410" t="inlineStr">
        <is>
          <t>แก๊สโซฮอล์ 95</t>
        </is>
      </c>
      <c r="L268" s="396" t="n">
        <v>1</v>
      </c>
      <c r="M268" s="589" t="n"/>
      <c r="N268" s="257">
        <f>'[2]1.4 Septic'!$F$16</f>
        <v/>
      </c>
      <c r="O268" s="257">
        <f>$G$492</f>
        <v/>
      </c>
      <c r="P268" s="258" t="n"/>
      <c r="Q268" s="1731">
        <f>H268*2*L268*N268/O268</f>
        <v/>
      </c>
    </row>
    <row r="269" ht="18" customHeight="1">
      <c r="A269" s="396">
        <f>+A268+1</f>
        <v/>
      </c>
      <c r="B269" s="396" t="n">
        <v>611854</v>
      </c>
      <c r="C269" s="369" t="inlineStr">
        <is>
          <t>นันทวัฒน์ ทุมมา</t>
        </is>
      </c>
      <c r="D269" s="369" t="inlineStr">
        <is>
          <t>ชาย</t>
        </is>
      </c>
      <c r="E269" s="369" t="inlineStr">
        <is>
          <t>รายเดือน</t>
        </is>
      </c>
      <c r="F269" s="369" t="inlineStr">
        <is>
          <t>ไทย</t>
        </is>
      </c>
      <c r="G269" s="367" t="inlineStr">
        <is>
          <t>การเคหะแหลมฉบัง  ม.6 ต.บางละมุง อ.บางละมุง จ.ชลบุรี</t>
        </is>
      </c>
      <c r="H269" s="396" t="n">
        <v>8</v>
      </c>
      <c r="I269" s="369" t="n"/>
      <c r="J269" s="369" t="inlineStr">
        <is>
          <t>รถกระบะบรรทุก</t>
        </is>
      </c>
      <c r="K269" s="410" t="inlineStr">
        <is>
          <t>ดีเซล</t>
        </is>
      </c>
      <c r="L269" s="396" t="n">
        <v>2</v>
      </c>
      <c r="M269" s="589" t="n"/>
      <c r="N269" s="257">
        <f>'[2]1.4 Septic'!$F$16</f>
        <v/>
      </c>
      <c r="O269" s="257" t="n">
        <v>6.369</v>
      </c>
      <c r="P269" s="1731">
        <f>H269*2*L269*N269/O269</f>
        <v/>
      </c>
      <c r="Q269" s="258" t="n"/>
    </row>
    <row r="270" ht="18" customHeight="1">
      <c r="A270" s="396">
        <f>+A269+1</f>
        <v/>
      </c>
      <c r="B270" s="396" t="n">
        <v>611866</v>
      </c>
      <c r="C270" s="369" t="inlineStr">
        <is>
          <t>กัลญา อินทร์โชติ</t>
        </is>
      </c>
      <c r="D270" s="369" t="inlineStr">
        <is>
          <t>หญิง</t>
        </is>
      </c>
      <c r="E270" s="369" t="inlineStr">
        <is>
          <t>รายเดือน</t>
        </is>
      </c>
      <c r="F270" s="369" t="inlineStr">
        <is>
          <t>ไทย</t>
        </is>
      </c>
      <c r="G270" s="369" t="inlineStr">
        <is>
          <t>182/1 ต.ทุ่งสุขลา อ.ศรีราชา จ.ชลบุรี 20230</t>
        </is>
      </c>
      <c r="H270" s="396" t="n">
        <v>10</v>
      </c>
      <c r="I270" s="369" t="n"/>
      <c r="J270" s="369" t="inlineStr">
        <is>
          <t>รถจักรยานยนต์ 2 จังหวะเครื่องยนต์ขนาด 150cc</t>
        </is>
      </c>
      <c r="K270" s="410" t="inlineStr">
        <is>
          <t>แก๊สโซฮอล์ 91</t>
        </is>
      </c>
      <c r="L270" s="396" t="n">
        <v>1</v>
      </c>
      <c r="M270" s="589" t="n"/>
      <c r="N270" s="257">
        <f>'[2]1.4 Septic'!$F$16</f>
        <v/>
      </c>
      <c r="O270" s="1754">
        <f>$G$491</f>
        <v/>
      </c>
      <c r="P270" s="258" t="n"/>
      <c r="Q270" s="1731">
        <f>H270*2*L270*N270/O270</f>
        <v/>
      </c>
    </row>
    <row r="271" ht="18" customHeight="1">
      <c r="A271" s="396">
        <f>+A270+1</f>
        <v/>
      </c>
      <c r="B271" s="396" t="n">
        <v>618820</v>
      </c>
      <c r="C271" s="369" t="inlineStr">
        <is>
          <t>กันยา วรรณการ</t>
        </is>
      </c>
      <c r="D271" s="369" t="inlineStr">
        <is>
          <t>หญิง</t>
        </is>
      </c>
      <c r="E271" s="369" t="inlineStr">
        <is>
          <t>รายเดือน</t>
        </is>
      </c>
      <c r="F271" s="369" t="inlineStr">
        <is>
          <t>ไทย</t>
        </is>
      </c>
      <c r="G271" s="369" t="inlineStr">
        <is>
          <t>139 ม.11 ต.ทุ่งสุขลา อ.ศรีราชา จ.ชลบุรี 20230</t>
        </is>
      </c>
      <c r="H271" s="396" t="n">
        <v>10</v>
      </c>
      <c r="I271" s="369" t="n"/>
      <c r="J271" s="369" t="inlineStr">
        <is>
          <t>รถยนต์เฉลี่ยทุกขนาด</t>
        </is>
      </c>
      <c r="K271" s="410" t="inlineStr">
        <is>
          <t>แก๊สโซฮอล์ 91</t>
        </is>
      </c>
      <c r="L271" s="396" t="n">
        <v>1</v>
      </c>
      <c r="M271" s="589" t="n"/>
      <c r="N271" s="257">
        <f>'[2]1.4 Septic'!$F$16</f>
        <v/>
      </c>
      <c r="O271" s="257">
        <f>$G$487</f>
        <v/>
      </c>
      <c r="P271" s="258" t="n"/>
      <c r="Q271" s="1731">
        <f>H271*2*L271*N271/O271</f>
        <v/>
      </c>
    </row>
    <row r="272" ht="18" customHeight="1">
      <c r="A272" s="396">
        <f>+A271+1</f>
        <v/>
      </c>
      <c r="B272" s="396" t="n">
        <v>621874</v>
      </c>
      <c r="C272" s="369" t="inlineStr">
        <is>
          <t>นิตติยา ปานกล่อม</t>
        </is>
      </c>
      <c r="D272" s="369" t="inlineStr">
        <is>
          <t>หญิง</t>
        </is>
      </c>
      <c r="E272" s="369" t="inlineStr">
        <is>
          <t>รายเดือน</t>
        </is>
      </c>
      <c r="F272" s="369" t="inlineStr">
        <is>
          <t>ไทย</t>
        </is>
      </c>
      <c r="G272" s="369" t="inlineStr">
        <is>
          <t>15/36 ม.3 ต.สุรศักดิ์ อ.ศรีราชา จ.ชลบุรี 20110</t>
        </is>
      </c>
      <c r="H272" s="396" t="n">
        <v>10</v>
      </c>
      <c r="I272" s="369" t="n"/>
      <c r="J272" s="369" t="inlineStr">
        <is>
          <t>รถยนต์ขนาดเล็ก (1500 cc)</t>
        </is>
      </c>
      <c r="K272" s="410" t="inlineStr">
        <is>
          <t>แก๊สโซฮอล์ E20</t>
        </is>
      </c>
      <c r="L272" s="396" t="n">
        <v>1</v>
      </c>
      <c r="M272" s="589" t="n"/>
      <c r="N272" s="257">
        <f>'[2]1.4 Septic'!$F$16</f>
        <v/>
      </c>
      <c r="O272" s="257">
        <f>$G$498</f>
        <v/>
      </c>
      <c r="P272" s="258" t="n"/>
      <c r="Q272" s="1731">
        <f>H272*2*L272*N272/O272</f>
        <v/>
      </c>
    </row>
    <row r="273" ht="18" customHeight="1">
      <c r="A273" s="396">
        <f>+A272+1</f>
        <v/>
      </c>
      <c r="B273" s="396" t="n">
        <v>621875</v>
      </c>
      <c r="C273" s="369" t="inlineStr">
        <is>
          <t>ศรีสุดา บัวนุภาพ</t>
        </is>
      </c>
      <c r="D273" s="369" t="inlineStr">
        <is>
          <t>หญิง</t>
        </is>
      </c>
      <c r="E273" s="369" t="inlineStr">
        <is>
          <t>รายเดือน</t>
        </is>
      </c>
      <c r="F273" s="369" t="inlineStr">
        <is>
          <t>ไทย</t>
        </is>
      </c>
      <c r="G273" s="369" t="inlineStr">
        <is>
          <t>10/3 ม. 9 ต.ทุ่งสุขลา อ.ศรีราชา จ.ชลบุรี 20230</t>
        </is>
      </c>
      <c r="H273" s="396" t="n">
        <v>7</v>
      </c>
      <c r="I273" s="369" t="n"/>
      <c r="J273" s="369" t="inlineStr">
        <is>
          <t>รถจักรยานยนต์ 4 จังหวะเครื่องยนต์ขนาด 125 cc</t>
        </is>
      </c>
      <c r="K273" s="410" t="inlineStr">
        <is>
          <t>แก๊สโซฮอล์ 91</t>
        </is>
      </c>
      <c r="L273" s="396" t="n">
        <v>1</v>
      </c>
      <c r="M273" s="589" t="n"/>
      <c r="N273" s="257">
        <f>'[2]1.4 Septic'!$F$16</f>
        <v/>
      </c>
      <c r="O273" s="257">
        <f>$G$492</f>
        <v/>
      </c>
      <c r="P273" s="258" t="n"/>
      <c r="Q273" s="1731">
        <f>H273*2*L273*N273/O273</f>
        <v/>
      </c>
    </row>
    <row r="274" ht="18" customHeight="1">
      <c r="A274" s="396">
        <f>+A273+1</f>
        <v/>
      </c>
      <c r="B274" s="396" t="n">
        <v>621876</v>
      </c>
      <c r="C274" s="369" t="inlineStr">
        <is>
          <t>สายสมร จันสมุทร</t>
        </is>
      </c>
      <c r="D274" s="369" t="inlineStr">
        <is>
          <t>หญิง</t>
        </is>
      </c>
      <c r="E274" s="369" t="inlineStr">
        <is>
          <t>รายเดือน</t>
        </is>
      </c>
      <c r="F274" s="369" t="inlineStr">
        <is>
          <t>ไทย</t>
        </is>
      </c>
      <c r="G274" s="369" t="inlineStr">
        <is>
          <t>101/286 ม.10 ต.บึง อ.ศรีราชา จ.ชลบุรี 20230</t>
        </is>
      </c>
      <c r="H274" s="396" t="n">
        <v>12</v>
      </c>
      <c r="I274" s="369" t="n"/>
      <c r="J274" s="369" t="inlineStr">
        <is>
          <t>รถจักรยานยนต์ 2 จังหวะเครื่องยนต์ขนาด 150cc</t>
        </is>
      </c>
      <c r="K274" s="410" t="inlineStr">
        <is>
          <t>แก๊สโซฮอล์ 95</t>
        </is>
      </c>
      <c r="L274" s="396" t="n">
        <v>1</v>
      </c>
      <c r="M274" s="589" t="n"/>
      <c r="N274" s="257">
        <f>'[2]1.4 Septic'!$F$16</f>
        <v/>
      </c>
      <c r="O274" s="1754">
        <f>$G$491</f>
        <v/>
      </c>
      <c r="P274" s="258" t="n"/>
      <c r="Q274" s="1731">
        <f>H274*2*L274*N274/O274</f>
        <v/>
      </c>
    </row>
    <row r="275" ht="18" customHeight="1">
      <c r="A275" s="396">
        <f>+A274+1</f>
        <v/>
      </c>
      <c r="B275" s="396" t="n">
        <v>621883</v>
      </c>
      <c r="C275" s="369" t="inlineStr">
        <is>
          <t>วันดี ภู่เงินงาม</t>
        </is>
      </c>
      <c r="D275" s="369" t="inlineStr">
        <is>
          <t>หญิง</t>
        </is>
      </c>
      <c r="E275" s="369" t="inlineStr">
        <is>
          <t>รายเดือน</t>
        </is>
      </c>
      <c r="F275" s="369" t="inlineStr">
        <is>
          <t>ไทย</t>
        </is>
      </c>
      <c r="G275" s="369" t="inlineStr">
        <is>
          <t>129/39 ม.3 ต.บางละมุง อ.บางละมุง จ.ชลบุรี 20150</t>
        </is>
      </c>
      <c r="H275" s="396" t="n">
        <v>4</v>
      </c>
      <c r="I275" s="369" t="n"/>
      <c r="J275" s="369" t="inlineStr">
        <is>
          <t>รถจักรยานยนต์ 4 จังหวะเครื่องยนต์ขนาด 125 cc</t>
        </is>
      </c>
      <c r="K275" s="410" t="inlineStr">
        <is>
          <t>แก๊สโซฮอล์ 91</t>
        </is>
      </c>
      <c r="L275" s="396" t="n">
        <v>2</v>
      </c>
      <c r="M275" s="589" t="n"/>
      <c r="N275" s="257">
        <f>'[2]1.4 Septic'!$F$16</f>
        <v/>
      </c>
      <c r="O275" s="257">
        <f>$G$492</f>
        <v/>
      </c>
      <c r="P275" s="258" t="n"/>
      <c r="Q275" s="1731">
        <f>H275*2*L275*N275/O275</f>
        <v/>
      </c>
    </row>
    <row r="276" ht="18" customHeight="1">
      <c r="A276" s="396">
        <f>+A275+1</f>
        <v/>
      </c>
      <c r="B276" s="396" t="n">
        <v>621885</v>
      </c>
      <c r="C276" s="369" t="inlineStr">
        <is>
          <t>ศรีสุดา พงษ์สุระ</t>
        </is>
      </c>
      <c r="D276" s="369" t="inlineStr">
        <is>
          <t>หญิง</t>
        </is>
      </c>
      <c r="E276" s="369" t="inlineStr">
        <is>
          <t>รายเดือน</t>
        </is>
      </c>
      <c r="F276" s="369" t="inlineStr">
        <is>
          <t>ไทย</t>
        </is>
      </c>
      <c r="G276" s="593" t="inlineStr">
        <is>
          <t>67/99 ม. 10 หอพักชิชิน ต.ทุ่งสุขลา อ.ศรีราชา จ.ชลบุรี 20230</t>
        </is>
      </c>
      <c r="H276" s="396" t="n">
        <v>3</v>
      </c>
      <c r="I276" s="369" t="n"/>
      <c r="J276" s="369" t="inlineStr">
        <is>
          <t>รถจักรยานยนต์ 4 จังหวะเครื่องยนต์ขนาด 125 cc</t>
        </is>
      </c>
      <c r="K276" s="410" t="inlineStr">
        <is>
          <t>แก๊สโซฮอล์ 91</t>
        </is>
      </c>
      <c r="L276" s="396" t="n">
        <v>1</v>
      </c>
      <c r="M276" s="589" t="n"/>
      <c r="N276" s="257">
        <f>'[2]1.4 Septic'!$F$16</f>
        <v/>
      </c>
      <c r="O276" s="257">
        <f>$G$492</f>
        <v/>
      </c>
      <c r="P276" s="258" t="n"/>
      <c r="Q276" s="1731">
        <f>H276*2*L276*N276/O276</f>
        <v/>
      </c>
    </row>
    <row r="277" ht="18" customHeight="1">
      <c r="A277" s="396">
        <f>+A276+1</f>
        <v/>
      </c>
      <c r="B277" s="396" t="n">
        <v>621887</v>
      </c>
      <c r="C277" s="369" t="inlineStr">
        <is>
          <t>จันฑิมา สุขจันทร์</t>
        </is>
      </c>
      <c r="D277" s="369" t="inlineStr">
        <is>
          <t>หญิง</t>
        </is>
      </c>
      <c r="E277" s="369" t="inlineStr">
        <is>
          <t>รายเดือน</t>
        </is>
      </c>
      <c r="F277" s="369" t="inlineStr">
        <is>
          <t>ไทย</t>
        </is>
      </c>
      <c r="G277" s="369" t="inlineStr">
        <is>
          <t>221/125 ต.บางละมุง อ.บางละมุง จ.ชลบุรี 20230</t>
        </is>
      </c>
      <c r="H277" s="396" t="n">
        <v>12</v>
      </c>
      <c r="I277" s="369" t="n"/>
      <c r="J277" s="369" t="inlineStr">
        <is>
          <t>รถจักรยานยนต์ 4 จังหวะเครื่องยนต์ขนาด 125 cc</t>
        </is>
      </c>
      <c r="K277" s="410" t="inlineStr">
        <is>
          <t>แก๊สโซฮอล์ 91</t>
        </is>
      </c>
      <c r="L277" s="396" t="n">
        <v>1</v>
      </c>
      <c r="M277" s="589" t="n"/>
      <c r="N277" s="257">
        <f>'[2]1.4 Septic'!$F$16</f>
        <v/>
      </c>
      <c r="O277" s="257">
        <f>$G$492</f>
        <v/>
      </c>
      <c r="P277" s="258" t="n"/>
      <c r="Q277" s="1731">
        <f>H277*2*L277*N277/O277</f>
        <v/>
      </c>
    </row>
    <row r="278" ht="18" customHeight="1">
      <c r="A278" s="396">
        <f>+A277+1</f>
        <v/>
      </c>
      <c r="B278" s="396" t="n">
        <v>621902</v>
      </c>
      <c r="C278" s="369" t="inlineStr">
        <is>
          <t>กวินทรา เตินขุนทด</t>
        </is>
      </c>
      <c r="D278" s="369" t="inlineStr">
        <is>
          <t>หญิง</t>
        </is>
      </c>
      <c r="E278" s="369" t="inlineStr">
        <is>
          <t>รายเดือน</t>
        </is>
      </c>
      <c r="F278" s="369" t="inlineStr">
        <is>
          <t>ไทย</t>
        </is>
      </c>
      <c r="G278" s="369" t="inlineStr">
        <is>
          <t>140/3 ม.11 ต.ทุ่งสุขลา อ.ศรีราชา จ.ชลบุรี 20230</t>
        </is>
      </c>
      <c r="H278" s="396" t="n">
        <v>6</v>
      </c>
      <c r="I278" s="369" t="n"/>
      <c r="J278" s="369" t="inlineStr">
        <is>
          <t>รถจักรยานยนต์ 4 จังหวะเครื่องยนต์ขนาดเล็กกว่า 125 cc</t>
        </is>
      </c>
      <c r="K278" s="410" t="inlineStr">
        <is>
          <t>แก๊สโซฮอล์ 95</t>
        </is>
      </c>
      <c r="L278" s="396" t="n">
        <v>1</v>
      </c>
      <c r="M278" s="589" t="n"/>
      <c r="N278" s="257">
        <f>'[2]1.4 Septic'!$F$16</f>
        <v/>
      </c>
      <c r="O278" s="257">
        <f>$G$492</f>
        <v/>
      </c>
      <c r="P278" s="258" t="n"/>
      <c r="Q278" s="1731">
        <f>H278*2*L278*N278/O278</f>
        <v/>
      </c>
    </row>
    <row r="279" ht="18" customHeight="1">
      <c r="A279" s="396">
        <f>+A278+1</f>
        <v/>
      </c>
      <c r="B279" s="396" t="n">
        <v>621914</v>
      </c>
      <c r="C279" s="369" t="inlineStr">
        <is>
          <t>ศักรนันทน์ รัตน์ศักรดิ์</t>
        </is>
      </c>
      <c r="D279" s="369" t="inlineStr">
        <is>
          <t>ชาย</t>
        </is>
      </c>
      <c r="E279" s="369" t="inlineStr">
        <is>
          <t>รายเดือน</t>
        </is>
      </c>
      <c r="F279" s="369" t="inlineStr">
        <is>
          <t>ไทย</t>
        </is>
      </c>
      <c r="G279" s="369" t="inlineStr">
        <is>
          <t>103/67 ม.10 ต.ทุ่งสุขลา อ.ศรีราชา จ.ชลบุรี 20230</t>
        </is>
      </c>
      <c r="H279" s="396" t="n">
        <v>7</v>
      </c>
      <c r="I279" s="369" t="n"/>
      <c r="J279" s="369" t="inlineStr">
        <is>
          <t>รถจักรยานยนต์ 4 จังหวะเฉลี่ยทุกขนาด</t>
        </is>
      </c>
      <c r="K279" s="410" t="inlineStr">
        <is>
          <t>แก๊สโซฮอล์ 95</t>
        </is>
      </c>
      <c r="L279" s="396" t="n">
        <v>1</v>
      </c>
      <c r="M279" s="589" t="n"/>
      <c r="N279" s="257">
        <f>'[2]1.4 Septic'!$F$16</f>
        <v/>
      </c>
      <c r="O279" s="257">
        <f>$G$492</f>
        <v/>
      </c>
      <c r="P279" s="258" t="n"/>
      <c r="Q279" s="1731">
        <f>H279*2*L279*N279/O279</f>
        <v/>
      </c>
    </row>
    <row r="280" ht="18" customHeight="1">
      <c r="A280" s="396">
        <f>+A279+1</f>
        <v/>
      </c>
      <c r="B280" s="396" t="n">
        <v>621918</v>
      </c>
      <c r="C280" s="369" t="inlineStr">
        <is>
          <t>กีรติ สุวรรณจันทร์</t>
        </is>
      </c>
      <c r="D280" s="369" t="inlineStr">
        <is>
          <t>ชาย</t>
        </is>
      </c>
      <c r="E280" s="369" t="inlineStr">
        <is>
          <t>รายเดือน</t>
        </is>
      </c>
      <c r="F280" s="369" t="inlineStr">
        <is>
          <t>ไทย</t>
        </is>
      </c>
      <c r="G280" s="369" t="inlineStr">
        <is>
          <t>หมู่บ้านพานทองแท้ ต. อ. จ.ชลบุรี 20150</t>
        </is>
      </c>
      <c r="H280" s="396" t="n">
        <v>14</v>
      </c>
      <c r="I280" s="369" t="n"/>
      <c r="J280" s="369" t="inlineStr">
        <is>
          <t>รถกระบะบรรทุก</t>
        </is>
      </c>
      <c r="K280" s="410" t="inlineStr">
        <is>
          <t>ดีเซล</t>
        </is>
      </c>
      <c r="L280" s="396" t="n">
        <v>1</v>
      </c>
      <c r="M280" s="589" t="n"/>
      <c r="N280" s="257">
        <f>'[2]1.4 Septic'!$F$16</f>
        <v/>
      </c>
      <c r="O280" s="257" t="n">
        <v>6.369</v>
      </c>
      <c r="P280" s="1731">
        <f>H280*2*L280*N280/O280</f>
        <v/>
      </c>
      <c r="Q280" s="258" t="n"/>
    </row>
    <row r="281" ht="18" customHeight="1">
      <c r="A281" s="396">
        <f>+A280+1</f>
        <v/>
      </c>
      <c r="B281" s="396" t="n">
        <v>621919</v>
      </c>
      <c r="C281" s="369" t="inlineStr">
        <is>
          <t>สุนันทา คำโพธิ์</t>
        </is>
      </c>
      <c r="D281" s="369" t="inlineStr">
        <is>
          <t>หญิง</t>
        </is>
      </c>
      <c r="E281" s="369" t="inlineStr">
        <is>
          <t>รายเดือน</t>
        </is>
      </c>
      <c r="F281" s="369" t="inlineStr">
        <is>
          <t>ไทย</t>
        </is>
      </c>
      <c r="G281" s="369" t="inlineStr">
        <is>
          <t>123/54 ม.9 หอพักธนาภิรมย์ ต.ทุ่งสุขลา อ.ศรีราชา จ.ชลบุรี 20230</t>
        </is>
      </c>
      <c r="H281" s="396" t="n">
        <v>2</v>
      </c>
      <c r="I281" s="369" t="n"/>
      <c r="J281" s="369" t="inlineStr">
        <is>
          <t>รถจักรยานยนต์ 4 จังหวะเครื่องยนต์ขนาด 125 cc</t>
        </is>
      </c>
      <c r="K281" s="410" t="inlineStr">
        <is>
          <t>แก๊สโซฮอล์ 91</t>
        </is>
      </c>
      <c r="L281" s="396" t="n">
        <v>1</v>
      </c>
      <c r="M281" s="589" t="n"/>
      <c r="N281" s="257">
        <f>'[2]1.4 Septic'!$F$16</f>
        <v/>
      </c>
      <c r="O281" s="257">
        <f>$G$492</f>
        <v/>
      </c>
      <c r="P281" s="258" t="n"/>
      <c r="Q281" s="1731">
        <f>H281*2*L281*N281/O281</f>
        <v/>
      </c>
    </row>
    <row r="282" ht="18" customHeight="1">
      <c r="A282" s="396">
        <f>+A281+1</f>
        <v/>
      </c>
      <c r="B282" s="396" t="n">
        <v>621922</v>
      </c>
      <c r="C282" s="369" t="inlineStr">
        <is>
          <t>อนันทชัย บินศรี</t>
        </is>
      </c>
      <c r="D282" s="369" t="inlineStr">
        <is>
          <t>ชาย</t>
        </is>
      </c>
      <c r="E282" s="369" t="inlineStr">
        <is>
          <t>รายเดือน</t>
        </is>
      </c>
      <c r="F282" s="369" t="inlineStr">
        <is>
          <t>ไทย</t>
        </is>
      </c>
      <c r="G282" s="369" t="inlineStr">
        <is>
          <t>160/52 ม.3 ต.ตะเคียนเตี้ย อ.บางละมุง จ.ชลบุรี 20150</t>
        </is>
      </c>
      <c r="H282" s="396" t="n">
        <v>7.5</v>
      </c>
      <c r="I282" s="369" t="n"/>
      <c r="J282" s="369" t="inlineStr">
        <is>
          <t>รถจักรยานยนต์ 4 จังหวะเครื่องยนต์ขนาดเล็กกว่า 125 cc</t>
        </is>
      </c>
      <c r="K282" s="410" t="inlineStr">
        <is>
          <t>แก๊สโซฮอล์ 91</t>
        </is>
      </c>
      <c r="L282" s="396" t="n">
        <v>2</v>
      </c>
      <c r="M282" s="589" t="n"/>
      <c r="N282" s="257">
        <f>'[2]1.4 Septic'!$F$16</f>
        <v/>
      </c>
      <c r="O282" s="257">
        <f>$G$492</f>
        <v/>
      </c>
      <c r="P282" s="258" t="n"/>
      <c r="Q282" s="1731">
        <f>H282*2*L282*N282/O282</f>
        <v/>
      </c>
    </row>
    <row r="283" ht="18" customHeight="1">
      <c r="A283" s="396">
        <f>+A282+1</f>
        <v/>
      </c>
      <c r="B283" s="396" t="n">
        <v>621932</v>
      </c>
      <c r="C283" s="369" t="inlineStr">
        <is>
          <t>นรินทร์ แสนสอน</t>
        </is>
      </c>
      <c r="D283" s="369" t="inlineStr">
        <is>
          <t>ชาย</t>
        </is>
      </c>
      <c r="E283" s="369" t="inlineStr">
        <is>
          <t>รายเดือน</t>
        </is>
      </c>
      <c r="F283" s="369" t="inlineStr">
        <is>
          <t>ไทย</t>
        </is>
      </c>
      <c r="G283" s="367" t="inlineStr">
        <is>
          <t>การเคหะแหลมฉบัง  ม.6 ต.บางละมุง อ.บางละมุง จ.ชลบุรี 20150</t>
        </is>
      </c>
      <c r="H283" s="396" t="n">
        <v>10</v>
      </c>
      <c r="I283" s="369" t="n"/>
      <c r="J283" s="369" t="inlineStr">
        <is>
          <t>รถจักรยานยนต์ 4 จังหวะเครื่องยนต์ขนาด 125 cc</t>
        </is>
      </c>
      <c r="K283" s="410" t="inlineStr">
        <is>
          <t>แก๊สโซฮอล์ 91</t>
        </is>
      </c>
      <c r="L283" s="396" t="n">
        <v>1</v>
      </c>
      <c r="M283" s="589" t="n"/>
      <c r="N283" s="257">
        <f>'[2]1.4 Septic'!$F$16</f>
        <v/>
      </c>
      <c r="O283" s="257">
        <f>$G$492</f>
        <v/>
      </c>
      <c r="P283" s="258" t="n"/>
      <c r="Q283" s="1731">
        <f>H283*2*L283*N283/O283</f>
        <v/>
      </c>
    </row>
    <row r="284" ht="18" customHeight="1">
      <c r="A284" s="396">
        <f>+A283+1</f>
        <v/>
      </c>
      <c r="B284" s="396" t="n">
        <v>621948</v>
      </c>
      <c r="C284" s="369" t="inlineStr">
        <is>
          <t>บุริมภัทร จำปากุล</t>
        </is>
      </c>
      <c r="D284" s="369" t="inlineStr">
        <is>
          <t>ชาย</t>
        </is>
      </c>
      <c r="E284" s="369" t="inlineStr">
        <is>
          <t>รายเดือน</t>
        </is>
      </c>
      <c r="F284" s="369" t="inlineStr">
        <is>
          <t>ไทย</t>
        </is>
      </c>
      <c r="G284" s="367" t="inlineStr">
        <is>
          <t>เครือสหพัฒน์  ต.หนองขาม อ.ศรีราชา จ.ชลบุรี 20110</t>
        </is>
      </c>
      <c r="H284" s="396" t="n">
        <v>3.8</v>
      </c>
      <c r="I284" s="369" t="n"/>
      <c r="J284" s="369" t="inlineStr">
        <is>
          <t>รถจักรยานยนต์ 4 จังหวะเครื่องยนต์ขนาดเล็กกว่า 125 cc</t>
        </is>
      </c>
      <c r="K284" s="410" t="inlineStr">
        <is>
          <t>แก๊สโซฮอล์ 95</t>
        </is>
      </c>
      <c r="L284" s="396" t="n">
        <v>2</v>
      </c>
      <c r="M284" s="589" t="n"/>
      <c r="N284" s="257">
        <f>'[2]1.4 Septic'!$F$16</f>
        <v/>
      </c>
      <c r="O284" s="257">
        <f>$G$492</f>
        <v/>
      </c>
      <c r="P284" s="258" t="n"/>
      <c r="Q284" s="1731">
        <f>H284*2*L284*N284/O284</f>
        <v/>
      </c>
    </row>
    <row r="285" ht="18" customHeight="1">
      <c r="A285" s="396">
        <f>+A284+1</f>
        <v/>
      </c>
      <c r="B285" s="396" t="n">
        <v>621953</v>
      </c>
      <c r="C285" s="369" t="inlineStr">
        <is>
          <t>ชลธิชา จอนกระโทก</t>
        </is>
      </c>
      <c r="D285" s="369" t="inlineStr">
        <is>
          <t>หญิง</t>
        </is>
      </c>
      <c r="E285" s="369" t="inlineStr">
        <is>
          <t>รายเดือน</t>
        </is>
      </c>
      <c r="F285" s="369" t="inlineStr">
        <is>
          <t>ไทย</t>
        </is>
      </c>
      <c r="G285" s="369" t="inlineStr">
        <is>
          <t>115/8 ม.2 ต.ทุ่งสุขลา อ.ศรีราชา จ.ชลบุรี 20230</t>
        </is>
      </c>
      <c r="H285" s="396" t="n">
        <v>2</v>
      </c>
      <c r="I285" s="369" t="n"/>
      <c r="J285" s="369" t="inlineStr">
        <is>
          <t>รถจักรยานยนต์ 4 จังหวะเครื่องยนต์ขนาด 125 cc</t>
        </is>
      </c>
      <c r="K285" s="410" t="inlineStr">
        <is>
          <t>แก๊สโซฮอล์ 95</t>
        </is>
      </c>
      <c r="L285" s="396" t="n">
        <v>1</v>
      </c>
      <c r="M285" s="589" t="n"/>
      <c r="N285" s="257">
        <f>'[2]1.4 Septic'!$F$16</f>
        <v/>
      </c>
      <c r="O285" s="257">
        <f>$G$492</f>
        <v/>
      </c>
      <c r="P285" s="258" t="n"/>
      <c r="Q285" s="1731">
        <f>H285*2*L285*N285/O285</f>
        <v/>
      </c>
    </row>
    <row r="286" ht="18" customHeight="1">
      <c r="A286" s="396">
        <f>+A285+1</f>
        <v/>
      </c>
      <c r="B286" s="396" t="n">
        <v>621955</v>
      </c>
      <c r="C286" s="369" t="inlineStr">
        <is>
          <t>ธีระวัฒน์ จันทะนาม</t>
        </is>
      </c>
      <c r="D286" s="369" t="inlineStr">
        <is>
          <t>ชาย</t>
        </is>
      </c>
      <c r="E286" s="369" t="inlineStr">
        <is>
          <t>รายเดือน</t>
        </is>
      </c>
      <c r="F286" s="369" t="inlineStr">
        <is>
          <t>ไทย</t>
        </is>
      </c>
      <c r="G286" s="367" t="inlineStr">
        <is>
          <t>การเคหะแหลมฉบัง  ม.6 ต.บางละมุง อ.บางละมุง จ.ชลบุรี</t>
        </is>
      </c>
      <c r="H286" s="396" t="n">
        <v>5</v>
      </c>
      <c r="I286" s="369" t="n"/>
      <c r="J286" s="369" t="inlineStr">
        <is>
          <t>รถจักรยานยนต์ 2 จังหวะเครื่องยนต์ขนาด 150cc</t>
        </is>
      </c>
      <c r="K286" s="410" t="inlineStr">
        <is>
          <t>แก๊สโซฮอล์ 95</t>
        </is>
      </c>
      <c r="L286" s="396" t="n">
        <v>2</v>
      </c>
      <c r="M286" s="589" t="n"/>
      <c r="N286" s="257">
        <f>'[2]1.4 Septic'!$F$16</f>
        <v/>
      </c>
      <c r="O286" s="1754">
        <f>$G$491</f>
        <v/>
      </c>
      <c r="P286" s="258" t="n"/>
      <c r="Q286" s="1731">
        <f>H286*2*L286*N286/O286</f>
        <v/>
      </c>
    </row>
    <row r="287" ht="18" customHeight="1">
      <c r="A287" s="396">
        <f>+A286+1</f>
        <v/>
      </c>
      <c r="B287" s="396" t="n">
        <v>628845</v>
      </c>
      <c r="C287" s="369" t="inlineStr">
        <is>
          <t>อุไลพร กุหลาบคำ</t>
        </is>
      </c>
      <c r="D287" s="369" t="inlineStr">
        <is>
          <t>หญิง</t>
        </is>
      </c>
      <c r="E287" s="369" t="inlineStr">
        <is>
          <t>รายเดือน</t>
        </is>
      </c>
      <c r="F287" s="369" t="inlineStr">
        <is>
          <t>ไทย</t>
        </is>
      </c>
      <c r="G287" s="369" t="inlineStr">
        <is>
          <t>567/13 ม.10 ต.ทุ่งสุขลา อ.ศรีราชา จ.ชลบุรี 20230</t>
        </is>
      </c>
      <c r="H287" s="396" t="n">
        <v>5</v>
      </c>
      <c r="I287" s="369" t="n"/>
      <c r="J287" s="369" t="inlineStr">
        <is>
          <t>รถกระบะบรรทุก</t>
        </is>
      </c>
      <c r="K287" s="410" t="inlineStr">
        <is>
          <t>ดีเซล</t>
        </is>
      </c>
      <c r="L287" s="396" t="n">
        <v>2</v>
      </c>
      <c r="M287" s="589" t="n"/>
      <c r="N287" s="257">
        <f>'[2]1.4 Septic'!$F$16</f>
        <v/>
      </c>
      <c r="O287" s="257" t="n">
        <v>6.369</v>
      </c>
      <c r="P287" s="1731">
        <f>H287*2*L287*N287/O287</f>
        <v/>
      </c>
      <c r="Q287" s="258" t="n"/>
    </row>
    <row r="288" ht="18" customHeight="1">
      <c r="A288" s="396">
        <f>+A287+1</f>
        <v/>
      </c>
      <c r="B288" s="396" t="n">
        <v>628903</v>
      </c>
      <c r="C288" s="369" t="inlineStr">
        <is>
          <t>สุภาวดี หาญณรงค์</t>
        </is>
      </c>
      <c r="D288" s="369" t="inlineStr">
        <is>
          <t>หญิง</t>
        </is>
      </c>
      <c r="E288" s="369" t="inlineStr">
        <is>
          <t>รายเดือน</t>
        </is>
      </c>
      <c r="F288" s="369" t="inlineStr">
        <is>
          <t>ไทย</t>
        </is>
      </c>
      <c r="G288" s="369" t="inlineStr">
        <is>
          <t>88/16 ม.8 ต.บางละมุง อ.บางละมุง จ.ชลบุรี 20150</t>
        </is>
      </c>
      <c r="H288" s="396" t="n">
        <v>9</v>
      </c>
      <c r="I288" s="369" t="n"/>
      <c r="J288" s="369" t="inlineStr">
        <is>
          <t>รถกระบะบรรทุก</t>
        </is>
      </c>
      <c r="K288" s="410" t="inlineStr">
        <is>
          <t>ดีเซล</t>
        </is>
      </c>
      <c r="L288" s="396" t="n">
        <v>1</v>
      </c>
      <c r="M288" s="589" t="n"/>
      <c r="N288" s="257">
        <f>'[2]1.4 Septic'!$F$16</f>
        <v/>
      </c>
      <c r="O288" s="257" t="n">
        <v>6.369</v>
      </c>
      <c r="P288" s="1731">
        <f>H288*2*L288*N288/O288</f>
        <v/>
      </c>
      <c r="Q288" s="258" t="n"/>
    </row>
    <row r="289" ht="18" customHeight="1">
      <c r="A289" s="396">
        <f>+A288+1</f>
        <v/>
      </c>
      <c r="B289" s="396" t="n">
        <v>631967</v>
      </c>
      <c r="C289" s="369" t="inlineStr">
        <is>
          <t>กิติคุณ เทพยุหะ</t>
        </is>
      </c>
      <c r="D289" s="369" t="inlineStr">
        <is>
          <t>ชาย</t>
        </is>
      </c>
      <c r="E289" s="369" t="inlineStr">
        <is>
          <t>รายเดือน</t>
        </is>
      </c>
      <c r="F289" s="369" t="inlineStr">
        <is>
          <t>ไทย</t>
        </is>
      </c>
      <c r="G289" s="369" t="inlineStr">
        <is>
          <t>247/39 ม. ต.สุรศักดิ์ อ.ศรีราชา จ.ชลบุรี 20230</t>
        </is>
      </c>
      <c r="H289" s="396" t="n">
        <v>3</v>
      </c>
      <c r="I289" s="369" t="n"/>
      <c r="J289" s="369" t="inlineStr">
        <is>
          <t>รถยนต์ขนาดเล็ก (1500 cc)</t>
        </is>
      </c>
      <c r="K289" s="410" t="inlineStr">
        <is>
          <t>แก๊สโซฮอล์ 95</t>
        </is>
      </c>
      <c r="L289" s="396" t="n">
        <v>2</v>
      </c>
      <c r="M289" s="589" t="n"/>
      <c r="N289" s="257">
        <f>'[2]1.4 Septic'!$F$16</f>
        <v/>
      </c>
      <c r="O289" s="257">
        <f>$G$498</f>
        <v/>
      </c>
      <c r="P289" s="258" t="n"/>
      <c r="Q289" s="1731">
        <f>H289*2*L289*N289/O289</f>
        <v/>
      </c>
    </row>
    <row r="290" ht="18" customHeight="1">
      <c r="A290" s="396">
        <f>+A289+1</f>
        <v/>
      </c>
      <c r="B290" s="396" t="n">
        <v>631968</v>
      </c>
      <c r="C290" s="369" t="inlineStr">
        <is>
          <t>ประวิตย์ เงินพิมพ์</t>
        </is>
      </c>
      <c r="D290" s="369" t="inlineStr">
        <is>
          <t>ชาย</t>
        </is>
      </c>
      <c r="E290" s="369" t="inlineStr">
        <is>
          <t>รายเดือน</t>
        </is>
      </c>
      <c r="F290" s="369" t="inlineStr">
        <is>
          <t>ไทย</t>
        </is>
      </c>
      <c r="G290" s="369" t="inlineStr">
        <is>
          <t>525/33 ม.11 ต.หนองขาม อ.ศรีราชา จ.ชลบุรี 20230</t>
        </is>
      </c>
      <c r="H290" s="396" t="n">
        <v>8</v>
      </c>
      <c r="I290" s="369" t="n"/>
      <c r="J290" s="369" t="inlineStr">
        <is>
          <t>รถจักรยานยนต์ 4 จังหวะเครื่องยนต์ขนาด 125 cc</t>
        </is>
      </c>
      <c r="K290" s="410" t="inlineStr">
        <is>
          <t>แก๊สโซฮอล์ 91</t>
        </is>
      </c>
      <c r="L290" s="396" t="n">
        <v>1</v>
      </c>
      <c r="M290" s="589" t="n"/>
      <c r="N290" s="257">
        <f>'[2]1.4 Septic'!$F$16</f>
        <v/>
      </c>
      <c r="O290" s="257">
        <f>$G$492</f>
        <v/>
      </c>
      <c r="P290" s="258" t="n"/>
      <c r="Q290" s="1731">
        <f>H290*2*L290*N290/O290</f>
        <v/>
      </c>
    </row>
    <row r="291" ht="18" customHeight="1">
      <c r="A291" s="396">
        <f>+A290+1</f>
        <v/>
      </c>
      <c r="B291" s="396" t="n">
        <v>631973</v>
      </c>
      <c r="C291" s="369" t="inlineStr">
        <is>
          <t>จินตนา ช่วยค้ำชู</t>
        </is>
      </c>
      <c r="D291" s="369" t="inlineStr">
        <is>
          <t>หญิง</t>
        </is>
      </c>
      <c r="E291" s="369" t="inlineStr">
        <is>
          <t>รายเดือน</t>
        </is>
      </c>
      <c r="F291" s="369" t="inlineStr">
        <is>
          <t>ไทย</t>
        </is>
      </c>
      <c r="G291" s="369" t="inlineStr">
        <is>
          <t>205/68 ต.บางละมุง อ.บางละมุง จ.ชลบุรี 20150</t>
        </is>
      </c>
      <c r="H291" s="396" t="n">
        <v>7</v>
      </c>
      <c r="I291" s="369" t="n"/>
      <c r="J291" s="369" t="inlineStr">
        <is>
          <t>รถจักรยานยนต์ 2 จังหวะเครื่องยนต์ขนาด 120cc</t>
        </is>
      </c>
      <c r="K291" s="410" t="inlineStr">
        <is>
          <t>แก๊สโซฮอล์ 91</t>
        </is>
      </c>
      <c r="L291" s="396" t="n">
        <v>1</v>
      </c>
      <c r="M291" s="589" t="n"/>
      <c r="N291" s="257">
        <f>'[2]1.4 Septic'!$F$16</f>
        <v/>
      </c>
      <c r="O291" s="1754">
        <f>$G$491</f>
        <v/>
      </c>
      <c r="P291" s="258" t="n"/>
      <c r="Q291" s="1731">
        <f>H291*2*L291*N291/O291</f>
        <v/>
      </c>
    </row>
    <row r="292" ht="18" customHeight="1">
      <c r="A292" s="396">
        <f>+A291+1</f>
        <v/>
      </c>
      <c r="B292" s="396" t="n">
        <v>631974</v>
      </c>
      <c r="C292" s="369" t="inlineStr">
        <is>
          <t>เกศรินทร์ ปุยฝ้าย</t>
        </is>
      </c>
      <c r="D292" s="369" t="inlineStr">
        <is>
          <t>หญิง</t>
        </is>
      </c>
      <c r="E292" s="369" t="inlineStr">
        <is>
          <t>รายเดือน</t>
        </is>
      </c>
      <c r="F292" s="369" t="inlineStr">
        <is>
          <t>ไทย</t>
        </is>
      </c>
      <c r="G292" s="369" t="inlineStr">
        <is>
          <t>114/118 หมู่ 2 ต.ทุ่งสุขลา อ.ศรีราชา จ.ชลบุรี 20230</t>
        </is>
      </c>
      <c r="H292" s="396" t="n">
        <v>3</v>
      </c>
      <c r="I292" s="369" t="n"/>
      <c r="J292" s="369" t="inlineStr">
        <is>
          <t>รถจักรยานยนต์ 4 จังหวะเครื่องยนต์ขนาด 125 cc</t>
        </is>
      </c>
      <c r="K292" s="410" t="inlineStr">
        <is>
          <t>แก๊สโซฮอล์ 91</t>
        </is>
      </c>
      <c r="L292" s="396" t="n">
        <v>1</v>
      </c>
      <c r="M292" s="589" t="n"/>
      <c r="N292" s="257">
        <f>'[2]1.4 Septic'!$F$16</f>
        <v/>
      </c>
      <c r="O292" s="257">
        <f>$G$492</f>
        <v/>
      </c>
      <c r="P292" s="258" t="n"/>
      <c r="Q292" s="1731">
        <f>H292*2*L292*N292/O292</f>
        <v/>
      </c>
    </row>
    <row r="293" ht="18" customHeight="1">
      <c r="A293" s="396">
        <f>+A292+1</f>
        <v/>
      </c>
      <c r="B293" s="396" t="n">
        <v>631975</v>
      </c>
      <c r="C293" s="369" t="inlineStr">
        <is>
          <t>ปาริฉัตร ศรีหะโง่น</t>
        </is>
      </c>
      <c r="D293" s="369" t="inlineStr">
        <is>
          <t>หญิง</t>
        </is>
      </c>
      <c r="E293" s="369" t="inlineStr">
        <is>
          <t>รายเดือน</t>
        </is>
      </c>
      <c r="F293" s="369" t="inlineStr">
        <is>
          <t>ไทย</t>
        </is>
      </c>
      <c r="G293" s="367" t="inlineStr">
        <is>
          <t>การเคหะแหลมฉบัง  ม.6 ต.บางละมุง อ.บางละมุง จ.ชลบุรี</t>
        </is>
      </c>
      <c r="H293" s="396" t="n">
        <v>20</v>
      </c>
      <c r="I293" s="369" t="n"/>
      <c r="J293" s="369" t="inlineStr">
        <is>
          <t>รถจักรยานยนต์ 4 จังหวะเครื่องยนต์ขนาดเล็กกว่า 125 cc</t>
        </is>
      </c>
      <c r="K293" s="410" t="inlineStr">
        <is>
          <t>แก๊สโซฮอล์ 91</t>
        </is>
      </c>
      <c r="L293" s="396" t="n">
        <v>1</v>
      </c>
      <c r="M293" s="589" t="n"/>
      <c r="N293" s="257">
        <f>'[2]1.4 Septic'!$F$16</f>
        <v/>
      </c>
      <c r="O293" s="257">
        <f>$G$492</f>
        <v/>
      </c>
      <c r="P293" s="258" t="n"/>
      <c r="Q293" s="1731">
        <f>H293*2*L293*N293/O293</f>
        <v/>
      </c>
    </row>
    <row r="294" ht="18" customHeight="1">
      <c r="A294" s="396">
        <f>+A293+1</f>
        <v/>
      </c>
      <c r="B294" s="396" t="n">
        <v>631976</v>
      </c>
      <c r="C294" s="369" t="inlineStr">
        <is>
          <t>ณัฐชยาน์ มิตรพามา</t>
        </is>
      </c>
      <c r="D294" s="369" t="inlineStr">
        <is>
          <t>ชาย</t>
        </is>
      </c>
      <c r="E294" s="369" t="inlineStr">
        <is>
          <t>รายเดือน</t>
        </is>
      </c>
      <c r="F294" s="369" t="inlineStr">
        <is>
          <t>ไทย</t>
        </is>
      </c>
      <c r="G294" s="369" t="inlineStr">
        <is>
          <t>567/115 ม.10 ต.ทุ่งสุขลา อ.ศรีราชา จ.ชลบุรี 20230</t>
        </is>
      </c>
      <c r="H294" s="396" t="n">
        <v>4</v>
      </c>
      <c r="I294" s="369" t="n"/>
      <c r="J294" s="369" t="inlineStr">
        <is>
          <t>รถกระบะบรรทุก</t>
        </is>
      </c>
      <c r="K294" s="410" t="inlineStr">
        <is>
          <t>ดีเซล</t>
        </is>
      </c>
      <c r="L294" s="396" t="n">
        <v>1</v>
      </c>
      <c r="M294" s="589" t="n"/>
      <c r="N294" s="257">
        <f>'[2]1.4 Septic'!$F$16</f>
        <v/>
      </c>
      <c r="O294" s="257" t="n">
        <v>6.369</v>
      </c>
      <c r="P294" s="1731">
        <f>H294*2*L294*N294/O294</f>
        <v/>
      </c>
      <c r="Q294" s="258" t="n"/>
    </row>
    <row r="295" ht="18" customHeight="1">
      <c r="A295" s="396">
        <f>+A294+1</f>
        <v/>
      </c>
      <c r="B295" s="396" t="n">
        <v>631985</v>
      </c>
      <c r="C295" s="369" t="inlineStr">
        <is>
          <t>จิราวรรณ เรืองกระจาย</t>
        </is>
      </c>
      <c r="D295" s="369" t="inlineStr">
        <is>
          <t>หญิง</t>
        </is>
      </c>
      <c r="E295" s="369" t="inlineStr">
        <is>
          <t>รายเดือน</t>
        </is>
      </c>
      <c r="F295" s="369" t="inlineStr">
        <is>
          <t>ไทย</t>
        </is>
      </c>
      <c r="G295" s="369" t="inlineStr">
        <is>
          <t>130/259 ม.9 ต.ทุ่งสุขลา อ.ศรีราชา จ.ชลบุรี 20230</t>
        </is>
      </c>
      <c r="H295" s="396" t="n">
        <v>8</v>
      </c>
      <c r="I295" s="369" t="n"/>
      <c r="J295" s="369" t="inlineStr">
        <is>
          <t>รถจักรยานยนต์ 4 จังหวะเครื่องยนต์ขนาดเล็กกว่า 125 cc</t>
        </is>
      </c>
      <c r="K295" s="410" t="inlineStr">
        <is>
          <t>แก๊สโซฮอล์ 91</t>
        </is>
      </c>
      <c r="L295" s="396" t="n">
        <v>1</v>
      </c>
      <c r="M295" s="589" t="n"/>
      <c r="N295" s="257">
        <f>'[2]1.4 Septic'!$F$16</f>
        <v/>
      </c>
      <c r="O295" s="257">
        <f>$G$492</f>
        <v/>
      </c>
      <c r="P295" s="258" t="n"/>
      <c r="Q295" s="1731">
        <f>H295*2*L295*N295/O295</f>
        <v/>
      </c>
    </row>
    <row r="296" ht="18" customHeight="1">
      <c r="A296" s="396">
        <f>+A295+1</f>
        <v/>
      </c>
      <c r="B296" s="396" t="n">
        <v>631987</v>
      </c>
      <c r="C296" s="369" t="inlineStr">
        <is>
          <t>ศิลามณี เขียวสีห์</t>
        </is>
      </c>
      <c r="D296" s="369" t="inlineStr">
        <is>
          <t>หญิง</t>
        </is>
      </c>
      <c r="E296" s="369" t="inlineStr">
        <is>
          <t>รายเดือน</t>
        </is>
      </c>
      <c r="F296" s="369" t="inlineStr">
        <is>
          <t>ไทย</t>
        </is>
      </c>
      <c r="G296" s="369" t="inlineStr">
        <is>
          <t>222/58 ม.10 ต.ทุ่งสุขลา อ.ศรีราชา จ.ชลบุรี 20230</t>
        </is>
      </c>
      <c r="H296" s="396" t="n">
        <v>5</v>
      </c>
      <c r="I296" s="369" t="n"/>
      <c r="J296" s="369" t="inlineStr">
        <is>
          <t>รถจักรยานยนต์ 4 จังหวะเครื่องยนต์ขนาดเล็กกว่า 125 cc</t>
        </is>
      </c>
      <c r="K296" s="410" t="inlineStr">
        <is>
          <t>แก๊สโซฮอล์ 95</t>
        </is>
      </c>
      <c r="L296" s="396" t="n">
        <v>1</v>
      </c>
      <c r="M296" s="589" t="n"/>
      <c r="N296" s="257">
        <f>'[2]1.4 Septic'!$F$16</f>
        <v/>
      </c>
      <c r="O296" s="257">
        <f>$G$492</f>
        <v/>
      </c>
      <c r="P296" s="258" t="n"/>
      <c r="Q296" s="1731">
        <f>H296*2*L296*N296/O296</f>
        <v/>
      </c>
    </row>
    <row r="297" ht="18" customHeight="1">
      <c r="A297" s="396">
        <f>+A296+1</f>
        <v/>
      </c>
      <c r="B297" s="396" t="n">
        <v>631994</v>
      </c>
      <c r="C297" s="369" t="inlineStr">
        <is>
          <t>นิติภา สารจันทร์</t>
        </is>
      </c>
      <c r="D297" s="369" t="inlineStr">
        <is>
          <t>หญิง</t>
        </is>
      </c>
      <c r="E297" s="369" t="inlineStr">
        <is>
          <t>รายเดือน</t>
        </is>
      </c>
      <c r="F297" s="369" t="inlineStr">
        <is>
          <t>ไทย</t>
        </is>
      </c>
      <c r="G297" s="369" t="inlineStr">
        <is>
          <t>77/53 ม.10 ต.ทุ่งสุขลา อ.ศรีราชา จ.ชลบุรี 20230</t>
        </is>
      </c>
      <c r="H297" s="396" t="n">
        <v>3</v>
      </c>
      <c r="I297" s="369" t="n"/>
      <c r="J297" s="369" t="inlineStr">
        <is>
          <t>รถจักรยานยนต์ 4 จังหวะเครื่องยนต์ขนาด 125 cc</t>
        </is>
      </c>
      <c r="K297" s="410" t="inlineStr">
        <is>
          <t>แก๊สโซฮอล์ 95</t>
        </is>
      </c>
      <c r="L297" s="396" t="n">
        <v>1</v>
      </c>
      <c r="M297" s="589" t="n"/>
      <c r="N297" s="257">
        <f>'[2]1.4 Septic'!$F$16</f>
        <v/>
      </c>
      <c r="O297" s="257">
        <f>$G$492</f>
        <v/>
      </c>
      <c r="P297" s="258" t="n"/>
      <c r="Q297" s="1731">
        <f>H297*2*L297*N297/O297</f>
        <v/>
      </c>
    </row>
    <row r="298" ht="18" customHeight="1">
      <c r="A298" s="396">
        <f>+A297+1</f>
        <v/>
      </c>
      <c r="B298" s="396" t="n">
        <v>631998</v>
      </c>
      <c r="C298" s="369" t="inlineStr">
        <is>
          <t>จรินทร ทองใบ</t>
        </is>
      </c>
      <c r="D298" s="369" t="inlineStr">
        <is>
          <t>ชาย</t>
        </is>
      </c>
      <c r="E298" s="369" t="inlineStr">
        <is>
          <t>รายเดือน</t>
        </is>
      </c>
      <c r="F298" s="369" t="inlineStr">
        <is>
          <t>ไทย</t>
        </is>
      </c>
      <c r="G298" s="369" t="inlineStr">
        <is>
          <t>151/47 ต.ตะเคียนเตี้ย อ.บางละมุง จ.ชลบุรี 20150</t>
        </is>
      </c>
      <c r="H298" s="396" t="n">
        <v>7</v>
      </c>
      <c r="I298" s="369" t="n"/>
      <c r="J298" s="369" t="inlineStr">
        <is>
          <t>รถจักรยานยนต์ 4 จังหวะเฉลี่ยทุกขนาด</t>
        </is>
      </c>
      <c r="K298" s="410" t="inlineStr">
        <is>
          <t>แก๊สโซฮอล์ 91</t>
        </is>
      </c>
      <c r="L298" s="396" t="n">
        <v>2</v>
      </c>
      <c r="M298" s="589" t="n"/>
      <c r="N298" s="257">
        <f>'[2]1.4 Septic'!$F$16</f>
        <v/>
      </c>
      <c r="O298" s="257">
        <f>$G$492</f>
        <v/>
      </c>
      <c r="P298" s="258" t="n"/>
      <c r="Q298" s="1731">
        <f>H298*2*L298*N298/O298</f>
        <v/>
      </c>
    </row>
    <row r="299" ht="18" customHeight="1">
      <c r="A299" s="396">
        <f>+A298+1</f>
        <v/>
      </c>
      <c r="B299" s="396" t="n">
        <v>632000</v>
      </c>
      <c r="C299" s="369" t="inlineStr">
        <is>
          <t>ราเชนทร์ เชียงชีระ</t>
        </is>
      </c>
      <c r="D299" s="369" t="inlineStr">
        <is>
          <t>ชาย</t>
        </is>
      </c>
      <c r="E299" s="369" t="inlineStr">
        <is>
          <t>รายเดือน</t>
        </is>
      </c>
      <c r="F299" s="369" t="inlineStr">
        <is>
          <t>ไทย</t>
        </is>
      </c>
      <c r="G299" s="369" t="inlineStr">
        <is>
          <t xml:space="preserve">158/86 ต.ทุ่งสุขลา อ.ศรีราชา จ.ชลบุรี </t>
        </is>
      </c>
      <c r="H299" s="396" t="n">
        <v>7</v>
      </c>
      <c r="I299" s="369" t="n"/>
      <c r="J299" s="369" t="inlineStr">
        <is>
          <t>รถจักรยานยนต์ 2 จังหวะเครื่องยนต์ขนาด 150cc</t>
        </is>
      </c>
      <c r="K299" s="410" t="inlineStr">
        <is>
          <t>แก๊สโซฮอล์ 95</t>
        </is>
      </c>
      <c r="L299" s="396" t="n">
        <v>1</v>
      </c>
      <c r="M299" s="589" t="n"/>
      <c r="N299" s="257">
        <f>'[2]1.4 Septic'!$F$16</f>
        <v/>
      </c>
      <c r="O299" s="1754">
        <f>$G$491</f>
        <v/>
      </c>
      <c r="P299" s="258" t="n"/>
      <c r="Q299" s="1731">
        <f>H299*2*L299*N299/O299</f>
        <v/>
      </c>
    </row>
    <row r="300" ht="18" customHeight="1">
      <c r="A300" s="396">
        <f>+A299+1</f>
        <v/>
      </c>
      <c r="B300" s="396" t="n">
        <v>632004</v>
      </c>
      <c r="C300" s="369" t="inlineStr">
        <is>
          <t>จตุพล จันพูล</t>
        </is>
      </c>
      <c r="D300" s="369" t="inlineStr">
        <is>
          <t>ชาย</t>
        </is>
      </c>
      <c r="E300" s="369" t="inlineStr">
        <is>
          <t>รายเดือน</t>
        </is>
      </c>
      <c r="F300" s="369" t="inlineStr">
        <is>
          <t>ไทย</t>
        </is>
      </c>
      <c r="G300" s="369" t="inlineStr">
        <is>
          <t>88/9 ต.บางละมุง อ.บางละมุง จ.ชลบุรี 20150</t>
        </is>
      </c>
      <c r="H300" s="396" t="n">
        <v>10</v>
      </c>
      <c r="I300" s="369" t="n"/>
      <c r="J300" s="369" t="inlineStr">
        <is>
          <t>รถจักรยานยนต์ 2 จังหวะเครื่องยนต์ขนาด 150cc</t>
        </is>
      </c>
      <c r="K300" s="410" t="inlineStr">
        <is>
          <t>แก๊สโซฮอล์ 95</t>
        </is>
      </c>
      <c r="L300" s="396" t="n">
        <v>1</v>
      </c>
      <c r="M300" s="589" t="n"/>
      <c r="N300" s="257">
        <f>'[2]1.4 Septic'!$F$16</f>
        <v/>
      </c>
      <c r="O300" s="1754">
        <f>$G$491</f>
        <v/>
      </c>
      <c r="P300" s="258" t="n"/>
      <c r="Q300" s="1731">
        <f>H300*2*L300*N300/O300</f>
        <v/>
      </c>
    </row>
    <row r="301" ht="18" customHeight="1">
      <c r="A301" s="396">
        <f>+A300+1</f>
        <v/>
      </c>
      <c r="B301" s="396" t="n">
        <v>632028</v>
      </c>
      <c r="C301" s="369" t="inlineStr">
        <is>
          <t>จักรกฤช นางาม</t>
        </is>
      </c>
      <c r="D301" s="369" t="inlineStr">
        <is>
          <t>ชาย</t>
        </is>
      </c>
      <c r="E301" s="369" t="inlineStr">
        <is>
          <t>รายเดือน</t>
        </is>
      </c>
      <c r="F301" s="369" t="inlineStr">
        <is>
          <t>ไทย</t>
        </is>
      </c>
      <c r="G301" s="369" t="inlineStr">
        <is>
          <t>125/32 ม.10 ต.ทุ่งสุขลา อ.ศรีราชา จ.ชลบุรี 20230</t>
        </is>
      </c>
      <c r="H301" s="396" t="n">
        <v>6</v>
      </c>
      <c r="I301" s="369" t="n"/>
      <c r="J301" s="369" t="inlineStr">
        <is>
          <t>รถจักรยานยนต์ 4 จังหวะเครื่องยนต์ขนาด 125 cc</t>
        </is>
      </c>
      <c r="K301" s="410" t="inlineStr">
        <is>
          <t>แก๊สโซฮอล์ E20</t>
        </is>
      </c>
      <c r="L301" s="396" t="n">
        <v>1</v>
      </c>
      <c r="M301" s="589" t="n"/>
      <c r="N301" s="257">
        <f>'[2]1.4 Septic'!$F$16</f>
        <v/>
      </c>
      <c r="O301" s="257">
        <f>$G$492</f>
        <v/>
      </c>
      <c r="P301" s="258" t="n"/>
      <c r="Q301" s="1731">
        <f>H301*2*L301*N301/O301</f>
        <v/>
      </c>
    </row>
    <row r="302" ht="18" customHeight="1">
      <c r="A302" s="396">
        <f>+A301+1</f>
        <v/>
      </c>
      <c r="B302" s="396" t="n">
        <v>632029</v>
      </c>
      <c r="C302" s="369" t="inlineStr">
        <is>
          <t>สามารถ สัมฤทธิ์</t>
        </is>
      </c>
      <c r="D302" s="369" t="inlineStr">
        <is>
          <t>ชาย</t>
        </is>
      </c>
      <c r="E302" s="369" t="inlineStr">
        <is>
          <t>รายเดือน</t>
        </is>
      </c>
      <c r="F302" s="369" t="inlineStr">
        <is>
          <t>ไทย</t>
        </is>
      </c>
      <c r="G302" s="369" t="inlineStr">
        <is>
          <t>106 ม.5 ต.บ้านเหลื่อม อ.บ้านเหลื่อม จ.นครราชสีมา 30350</t>
        </is>
      </c>
      <c r="H302" s="396" t="n">
        <v>3</v>
      </c>
      <c r="I302" s="369" t="n"/>
      <c r="J302" s="369" t="inlineStr">
        <is>
          <t>รถจักรยานยนต์ 4 จังหวะเครื่องยนต์ขนาด 125 cc</t>
        </is>
      </c>
      <c r="K302" s="410" t="inlineStr">
        <is>
          <t>แก๊สโซฮอล์ 95</t>
        </is>
      </c>
      <c r="L302" s="396" t="n">
        <v>1</v>
      </c>
      <c r="M302" s="589" t="n"/>
      <c r="N302" s="257">
        <f>'[2]1.4 Septic'!$F$16</f>
        <v/>
      </c>
      <c r="O302" s="257">
        <f>$G$492</f>
        <v/>
      </c>
      <c r="P302" s="258" t="n"/>
      <c r="Q302" s="1731">
        <f>H302*2*L302*N302/O302</f>
        <v/>
      </c>
    </row>
    <row r="303" ht="18" customHeight="1">
      <c r="A303" s="396">
        <f>+A302+1</f>
        <v/>
      </c>
      <c r="B303" s="396" t="n">
        <v>632056</v>
      </c>
      <c r="C303" s="369" t="inlineStr">
        <is>
          <t>ณัฐพงษ์ ตลับทอง</t>
        </is>
      </c>
      <c r="D303" s="369" t="inlineStr">
        <is>
          <t>ชาย</t>
        </is>
      </c>
      <c r="E303" s="369" t="inlineStr">
        <is>
          <t>รายเดือน</t>
        </is>
      </c>
      <c r="F303" s="369" t="inlineStr">
        <is>
          <t>ไทย</t>
        </is>
      </c>
      <c r="G303" s="369" t="inlineStr">
        <is>
          <t>243/218 ม.6 ต. อ.ศรีราชา จ.ชลบุรี 20230</t>
        </is>
      </c>
      <c r="H303" s="396" t="n">
        <v>8</v>
      </c>
      <c r="I303" s="369" t="n"/>
      <c r="J303" s="369" t="inlineStr">
        <is>
          <t>รถกระบะบรรทุก</t>
        </is>
      </c>
      <c r="K303" s="410" t="inlineStr">
        <is>
          <t>ดีเซล</t>
        </is>
      </c>
      <c r="L303" s="396" t="n">
        <v>1</v>
      </c>
      <c r="M303" s="589" t="n"/>
      <c r="N303" s="257">
        <f>'[2]1.4 Septic'!$F$16</f>
        <v/>
      </c>
      <c r="O303" s="257" t="n">
        <v>6.369</v>
      </c>
      <c r="P303" s="1731">
        <f>H303*2*L303*N303/O303</f>
        <v/>
      </c>
      <c r="Q303" s="258" t="n"/>
    </row>
    <row r="304" ht="18" customHeight="1">
      <c r="A304" s="396">
        <f>+A303+1</f>
        <v/>
      </c>
      <c r="B304" s="396" t="n">
        <v>632067</v>
      </c>
      <c r="C304" s="369" t="inlineStr">
        <is>
          <t>นลินี ปานบางปูน</t>
        </is>
      </c>
      <c r="D304" s="369" t="inlineStr">
        <is>
          <t>หญิง</t>
        </is>
      </c>
      <c r="E304" s="369" t="inlineStr">
        <is>
          <t>รายเดือน</t>
        </is>
      </c>
      <c r="F304" s="369" t="inlineStr">
        <is>
          <t>ไทย</t>
        </is>
      </c>
      <c r="G304" s="588" t="inlineStr">
        <is>
          <t>1/3 ม.8 ต.บางละมุง อ.บางละมุง จ.ชลบุรี 20150</t>
        </is>
      </c>
      <c r="H304" s="396" t="n">
        <v>4</v>
      </c>
      <c r="I304" s="369" t="n"/>
      <c r="J304" s="369" t="inlineStr">
        <is>
          <t>รถจักรยานยนต์ 4 จังหวะเครื่องยนต์ขนาดเล็กกว่า 125 cc</t>
        </is>
      </c>
      <c r="K304" s="410" t="inlineStr">
        <is>
          <t>แก๊สโซฮอล์ 91</t>
        </is>
      </c>
      <c r="L304" s="396" t="n">
        <v>2</v>
      </c>
      <c r="M304" s="589" t="n"/>
      <c r="N304" s="257">
        <f>'[2]1.4 Septic'!$F$16</f>
        <v/>
      </c>
      <c r="O304" s="257">
        <f>$G$492</f>
        <v/>
      </c>
      <c r="P304" s="258" t="n"/>
      <c r="Q304" s="1731">
        <f>H304*2*L304*N304/O304</f>
        <v/>
      </c>
    </row>
    <row r="305" ht="18" customHeight="1">
      <c r="A305" s="396">
        <f>+A304+1</f>
        <v/>
      </c>
      <c r="B305" s="396" t="n">
        <v>632085</v>
      </c>
      <c r="C305" s="369" t="inlineStr">
        <is>
          <t>อานนท์ สมุติรัมย์</t>
        </is>
      </c>
      <c r="D305" s="369" t="inlineStr">
        <is>
          <t>ชาย</t>
        </is>
      </c>
      <c r="E305" s="369" t="inlineStr">
        <is>
          <t>รายเดือน</t>
        </is>
      </c>
      <c r="F305" s="369" t="inlineStr">
        <is>
          <t>ไทย</t>
        </is>
      </c>
      <c r="G305" s="369" t="inlineStr">
        <is>
          <t xml:space="preserve">214/169 ชุมชนเคหะแหลมฉบัง ม.6 ต.บางละมุง อ.บางละมุง จ.ชลบุรี 20150 </t>
        </is>
      </c>
      <c r="H305" s="396" t="n">
        <v>7</v>
      </c>
      <c r="I305" s="369" t="n"/>
      <c r="J305" s="369" t="inlineStr">
        <is>
          <t>รถกระบะบรรทุก</t>
        </is>
      </c>
      <c r="K305" s="410" t="inlineStr">
        <is>
          <t>ดีเซล</t>
        </is>
      </c>
      <c r="L305" s="396" t="n">
        <v>1</v>
      </c>
      <c r="M305" s="589" t="n"/>
      <c r="N305" s="257">
        <f>'[2]1.4 Septic'!$F$16</f>
        <v/>
      </c>
      <c r="O305" s="257" t="n">
        <v>6.369</v>
      </c>
      <c r="P305" s="1731">
        <f>H305*2*L305*N305/O305</f>
        <v/>
      </c>
      <c r="Q305" s="258" t="n"/>
    </row>
    <row r="306" ht="18" customHeight="1">
      <c r="A306" s="396">
        <f>+A305+1</f>
        <v/>
      </c>
      <c r="B306" s="396" t="n">
        <v>632098</v>
      </c>
      <c r="C306" s="369" t="inlineStr">
        <is>
          <t>เจนณรงค์ หาญศึก</t>
        </is>
      </c>
      <c r="D306" s="369" t="inlineStr">
        <is>
          <t>ชาย</t>
        </is>
      </c>
      <c r="E306" s="369" t="inlineStr">
        <is>
          <t>รายเดือน</t>
        </is>
      </c>
      <c r="F306" s="369" t="inlineStr">
        <is>
          <t>ไทย</t>
        </is>
      </c>
      <c r="G306" s="369" t="inlineStr">
        <is>
          <t>148 ม.1 ต.ทุ่งสุขลา อ.ศรีราชา จ.ชลบุรี 20230</t>
        </is>
      </c>
      <c r="H306" s="396" t="n">
        <v>20</v>
      </c>
      <c r="I306" s="369" t="n"/>
      <c r="J306" s="369" t="inlineStr">
        <is>
          <t>รถยนต์เฉลี่ยทุกขนาด</t>
        </is>
      </c>
      <c r="K306" s="410" t="inlineStr">
        <is>
          <t>แก๊สโซฮอล์ 95</t>
        </is>
      </c>
      <c r="L306" s="396" t="n">
        <v>1</v>
      </c>
      <c r="M306" s="589" t="n"/>
      <c r="N306" s="257">
        <f>'[2]1.4 Septic'!$F$16</f>
        <v/>
      </c>
      <c r="O306" s="257">
        <f>$G$487</f>
        <v/>
      </c>
      <c r="P306" s="258" t="n"/>
      <c r="Q306" s="1731">
        <f>H306*2*L306*N306/O306</f>
        <v/>
      </c>
    </row>
    <row r="307" ht="18" customHeight="1">
      <c r="A307" s="396">
        <f>+A306+1</f>
        <v/>
      </c>
      <c r="B307" s="396" t="n">
        <v>632118</v>
      </c>
      <c r="C307" s="369" t="inlineStr">
        <is>
          <t>มารุต รสชุ่ม</t>
        </is>
      </c>
      <c r="D307" s="369" t="inlineStr">
        <is>
          <t>ชาย</t>
        </is>
      </c>
      <c r="E307" s="369" t="inlineStr">
        <is>
          <t>รายเดือน</t>
        </is>
      </c>
      <c r="F307" s="369" t="inlineStr">
        <is>
          <t>ไทย</t>
        </is>
      </c>
      <c r="G307" s="369" t="inlineStr">
        <is>
          <t>9 ม.7 ต.แก่งกระจาน อ.แก่งกระจาน จ.เพชรบุรี 67170</t>
        </is>
      </c>
      <c r="H307" s="396" t="n">
        <v>10</v>
      </c>
      <c r="I307" s="369" t="n"/>
      <c r="J307" s="369" t="inlineStr">
        <is>
          <t>รถจักรยานยนต์ 4 จังหวะเครื่องยนต์ขนาด 125 cc</t>
        </is>
      </c>
      <c r="K307" s="410" t="inlineStr">
        <is>
          <t>เบนซิน</t>
        </is>
      </c>
      <c r="L307" s="396" t="n">
        <v>1</v>
      </c>
      <c r="M307" s="589" t="n"/>
      <c r="N307" s="257">
        <f>'[2]1.4 Septic'!$F$16</f>
        <v/>
      </c>
      <c r="O307" s="257">
        <f>$G$492</f>
        <v/>
      </c>
      <c r="P307" s="258" t="n"/>
      <c r="Q307" s="1731">
        <f>H307*2*L307*N307/O307</f>
        <v/>
      </c>
    </row>
    <row r="308" ht="18" customHeight="1">
      <c r="A308" s="396">
        <f>+A307+1</f>
        <v/>
      </c>
      <c r="B308" s="396" t="n">
        <v>632132</v>
      </c>
      <c r="C308" s="369" t="inlineStr">
        <is>
          <t>ธีรยุทธ อ่วมพายัพ</t>
        </is>
      </c>
      <c r="D308" s="369" t="inlineStr">
        <is>
          <t>ชาย</t>
        </is>
      </c>
      <c r="E308" s="369" t="inlineStr">
        <is>
          <t>รายเดือน</t>
        </is>
      </c>
      <c r="F308" s="369" t="inlineStr">
        <is>
          <t>ไทย</t>
        </is>
      </c>
      <c r="G308" s="369" t="inlineStr">
        <is>
          <t>105 ม.6  ต.ทุ่งสุขลา อ.ศรีราชา จ.ชลบุรี 20230</t>
        </is>
      </c>
      <c r="H308" s="396" t="n">
        <v>7</v>
      </c>
      <c r="I308" s="369" t="n"/>
      <c r="J308" s="369" t="inlineStr">
        <is>
          <t>รถจักรยานยนต์ 2 จังหวะเครื่องยนต์ขนาด 150cc</t>
        </is>
      </c>
      <c r="K308" s="410" t="inlineStr">
        <is>
          <t>แก๊สโซฮอล์ 95</t>
        </is>
      </c>
      <c r="L308" s="396" t="n">
        <v>2</v>
      </c>
      <c r="M308" s="589" t="n"/>
      <c r="N308" s="257">
        <f>'[2]1.4 Septic'!$F$16</f>
        <v/>
      </c>
      <c r="O308" s="1754">
        <f>$G$491</f>
        <v/>
      </c>
      <c r="P308" s="258" t="n"/>
      <c r="Q308" s="1731">
        <f>H308*2*L308*N308/O308</f>
        <v/>
      </c>
    </row>
    <row r="309" ht="18" customHeight="1">
      <c r="A309" s="396">
        <f>+A308+1</f>
        <v/>
      </c>
      <c r="B309" s="396" t="n">
        <v>632136</v>
      </c>
      <c r="C309" s="369" t="inlineStr">
        <is>
          <t>ธนเสฏฐ์ วานิชสรรพ์</t>
        </is>
      </c>
      <c r="D309" s="369" t="inlineStr">
        <is>
          <t>ชาย</t>
        </is>
      </c>
      <c r="E309" s="369" t="inlineStr">
        <is>
          <t>รายเดือน</t>
        </is>
      </c>
      <c r="F309" s="369" t="inlineStr">
        <is>
          <t>ไทย</t>
        </is>
      </c>
      <c r="G309" s="369" t="inlineStr">
        <is>
          <t>Golden view 633 ม.11 ต.หนองขาม อ.ศรีราชา จ.ชลบุรี 20230</t>
        </is>
      </c>
      <c r="H309" s="396" t="n">
        <v>7</v>
      </c>
      <c r="I309" s="369" t="n"/>
      <c r="J309" s="369" t="inlineStr">
        <is>
          <t>รถจักรยานยนต์ 4 จังหวะเครื่องยนต์ขนาดเล็กกว่า 125 cc</t>
        </is>
      </c>
      <c r="K309" s="410" t="inlineStr">
        <is>
          <t>แก๊สโซฮอล์ 91</t>
        </is>
      </c>
      <c r="L309" s="396" t="n">
        <v>1</v>
      </c>
      <c r="M309" s="589" t="n"/>
      <c r="N309" s="257">
        <f>'[2]1.4 Septic'!$F$16</f>
        <v/>
      </c>
      <c r="O309" s="257">
        <f>$G$492</f>
        <v/>
      </c>
      <c r="P309" s="258" t="n"/>
      <c r="Q309" s="1731">
        <f>H309*2*L309*N309/O309</f>
        <v/>
      </c>
    </row>
    <row r="310" ht="18" customHeight="1">
      <c r="A310" s="396">
        <f>+A309+1</f>
        <v/>
      </c>
      <c r="B310" s="396" t="n">
        <v>632144</v>
      </c>
      <c r="C310" s="369" t="inlineStr">
        <is>
          <t>ไพศาล ธาตุไพบูลย์</t>
        </is>
      </c>
      <c r="D310" s="369" t="inlineStr">
        <is>
          <t>ชาย</t>
        </is>
      </c>
      <c r="E310" s="369" t="inlineStr">
        <is>
          <t>รายเดือน</t>
        </is>
      </c>
      <c r="F310" s="369" t="inlineStr">
        <is>
          <t>ไทย</t>
        </is>
      </c>
      <c r="G310" s="588" t="inlineStr">
        <is>
          <t>037 ต.บางละมุง อ.บางละมุง จ.ชลบุรี 20150</t>
        </is>
      </c>
      <c r="H310" s="396" t="n">
        <v>6</v>
      </c>
      <c r="I310" s="369" t="n"/>
      <c r="J310" s="369" t="inlineStr">
        <is>
          <t>รถจักรยานยนต์ 4 จังหวะเครื่องยนต์ขนาด 125 cc</t>
        </is>
      </c>
      <c r="K310" s="410" t="inlineStr">
        <is>
          <t>แก๊สโซฮอล์ 91</t>
        </is>
      </c>
      <c r="L310" s="396" t="n">
        <v>2</v>
      </c>
      <c r="M310" s="589" t="n"/>
      <c r="N310" s="257">
        <f>'[2]1.4 Septic'!$F$16</f>
        <v/>
      </c>
      <c r="O310" s="257">
        <f>$G$492</f>
        <v/>
      </c>
      <c r="P310" s="258" t="n"/>
      <c r="Q310" s="1731">
        <f>H310*2*L310*N310/O310</f>
        <v/>
      </c>
    </row>
    <row r="311" ht="18" customHeight="1">
      <c r="A311" s="396">
        <f>+A310+1</f>
        <v/>
      </c>
      <c r="B311" s="396" t="n">
        <v>632151</v>
      </c>
      <c r="C311" s="369" t="inlineStr">
        <is>
          <t>อภิรักษ์ ดวงหล้า</t>
        </is>
      </c>
      <c r="D311" s="369" t="inlineStr">
        <is>
          <t>ชาย</t>
        </is>
      </c>
      <c r="E311" s="369" t="inlineStr">
        <is>
          <t>รายเดือน</t>
        </is>
      </c>
      <c r="F311" s="369" t="inlineStr">
        <is>
          <t>ไทย</t>
        </is>
      </c>
      <c r="G311" s="369" t="inlineStr">
        <is>
          <t>การเคหะแหลมฉบัง 220/049 ม.6 ต.บางละมุง อ.บางละมุง จ.ชลบุรี 20150</t>
        </is>
      </c>
      <c r="H311" s="396" t="n">
        <v>20</v>
      </c>
      <c r="I311" s="369" t="n"/>
      <c r="J311" s="369" t="inlineStr">
        <is>
          <t>รถกระบะบรรทุก</t>
        </is>
      </c>
      <c r="K311" s="410" t="inlineStr">
        <is>
          <t>ดีเซล</t>
        </is>
      </c>
      <c r="L311" s="396" t="n">
        <v>1</v>
      </c>
      <c r="M311" s="589" t="n"/>
      <c r="N311" s="257">
        <f>'[2]1.4 Septic'!$F$16</f>
        <v/>
      </c>
      <c r="O311" s="257" t="n">
        <v>6.369</v>
      </c>
      <c r="P311" s="1731">
        <f>H311*2*L311*N311/O311</f>
        <v/>
      </c>
      <c r="Q311" s="258" t="n"/>
    </row>
    <row r="312" ht="18" customHeight="1">
      <c r="A312" s="396">
        <f>+A311+1</f>
        <v/>
      </c>
      <c r="B312" s="396" t="n">
        <v>632154</v>
      </c>
      <c r="C312" s="369" t="inlineStr">
        <is>
          <t>ประสงค์ จันสาทอง</t>
        </is>
      </c>
      <c r="D312" s="369" t="inlineStr">
        <is>
          <t>ชาย</t>
        </is>
      </c>
      <c r="E312" s="369" t="inlineStr">
        <is>
          <t>รายเดือน</t>
        </is>
      </c>
      <c r="F312" s="369" t="inlineStr">
        <is>
          <t>ไทย</t>
        </is>
      </c>
      <c r="G312" s="369" t="inlineStr">
        <is>
          <t>888/28 ม.8 ต.บางละมุง อ.บางละมุง จ.ชลบุรี 20150</t>
        </is>
      </c>
      <c r="H312" s="396" t="n">
        <v>6</v>
      </c>
      <c r="I312" s="369" t="n"/>
      <c r="J312" s="369" t="inlineStr">
        <is>
          <t>รถจักรยานยนต์ 4 จังหวะเครื่องยนต์ขนาด 125 cc</t>
        </is>
      </c>
      <c r="K312" s="410" t="inlineStr">
        <is>
          <t>แก๊สโซฮอล์ 95</t>
        </is>
      </c>
      <c r="L312" s="396" t="n">
        <v>1</v>
      </c>
      <c r="M312" s="589" t="n"/>
      <c r="N312" s="257">
        <f>'[2]1.4 Septic'!$F$16</f>
        <v/>
      </c>
      <c r="O312" s="257">
        <f>$G$492</f>
        <v/>
      </c>
      <c r="P312" s="258" t="n"/>
      <c r="Q312" s="1731">
        <f>H312*2*L312*N312/O312</f>
        <v/>
      </c>
    </row>
    <row r="313" ht="18" customHeight="1">
      <c r="A313" s="396">
        <f>+A312+1</f>
        <v/>
      </c>
      <c r="B313" s="396" t="n">
        <v>632172</v>
      </c>
      <c r="C313" s="369" t="inlineStr">
        <is>
          <t>จิรเดช นกออก</t>
        </is>
      </c>
      <c r="D313" s="369" t="inlineStr">
        <is>
          <t>ชาย</t>
        </is>
      </c>
      <c r="E313" s="369" t="inlineStr">
        <is>
          <t>รายเดือน</t>
        </is>
      </c>
      <c r="F313" s="369" t="inlineStr">
        <is>
          <t>ไทย</t>
        </is>
      </c>
      <c r="G313" s="369" t="inlineStr">
        <is>
          <t xml:space="preserve"> หมู่ 10 ต.สุขลา อ.ศรีราชา จ.ชลบุรี 20230</t>
        </is>
      </c>
      <c r="H313" s="396" t="n">
        <v>15</v>
      </c>
      <c r="I313" s="369" t="n"/>
      <c r="J313" s="369" t="inlineStr">
        <is>
          <t>รถจักรยานยนต์ 2 จังหวะเครื่องยนต์ขนาด 150cc</t>
        </is>
      </c>
      <c r="K313" s="410" t="inlineStr">
        <is>
          <t>แก๊สโซฮอล์ 95</t>
        </is>
      </c>
      <c r="L313" s="396" t="n">
        <v>1</v>
      </c>
      <c r="M313" s="589" t="n"/>
      <c r="N313" s="257">
        <f>'[2]1.4 Septic'!$F$16</f>
        <v/>
      </c>
      <c r="O313" s="1754">
        <f>$G$491</f>
        <v/>
      </c>
      <c r="P313" s="258" t="n"/>
      <c r="Q313" s="1731">
        <f>H313*2*L313*N313/O313</f>
        <v/>
      </c>
    </row>
    <row r="314" ht="18" customHeight="1">
      <c r="A314" s="396">
        <f>+A313+1</f>
        <v/>
      </c>
      <c r="B314" s="396" t="n">
        <v>632178</v>
      </c>
      <c r="C314" s="369" t="inlineStr">
        <is>
          <t>ดาราวรรณ แย้มมี</t>
        </is>
      </c>
      <c r="D314" s="369" t="inlineStr">
        <is>
          <t>หญิง</t>
        </is>
      </c>
      <c r="E314" s="369" t="inlineStr">
        <is>
          <t>รายเดือน</t>
        </is>
      </c>
      <c r="F314" s="369" t="inlineStr">
        <is>
          <t>ไทย</t>
        </is>
      </c>
      <c r="G314" s="369" t="inlineStr">
        <is>
          <t>158/86 ม.12 ต.ทุ่งสุขลา อ.ศรีราชา จ.ชลบุรี 20230</t>
        </is>
      </c>
      <c r="H314" s="396" t="n">
        <v>8</v>
      </c>
      <c r="I314" s="369" t="n"/>
      <c r="J314" s="369" t="inlineStr">
        <is>
          <t>รถจักรยานยนต์ 4 จังหวะเครื่องยนต์ขนาดเล็กกว่า 125 cc</t>
        </is>
      </c>
      <c r="K314" s="410" t="inlineStr">
        <is>
          <t>แก๊สโซฮอล์ 95</t>
        </is>
      </c>
      <c r="L314" s="396" t="n">
        <v>1</v>
      </c>
      <c r="M314" s="589" t="n"/>
      <c r="N314" s="257">
        <f>'[2]1.4 Septic'!$F$16</f>
        <v/>
      </c>
      <c r="O314" s="257">
        <f>$G$492</f>
        <v/>
      </c>
      <c r="P314" s="258" t="n"/>
      <c r="Q314" s="1731">
        <f>H314*2*L314*N314/O314</f>
        <v/>
      </c>
    </row>
    <row r="315" ht="18" customHeight="1">
      <c r="A315" s="396">
        <f>+A314+1</f>
        <v/>
      </c>
      <c r="B315" s="396" t="n">
        <v>632191</v>
      </c>
      <c r="C315" s="369" t="inlineStr">
        <is>
          <t>วงศกร ชาชมราช</t>
        </is>
      </c>
      <c r="D315" s="369" t="inlineStr">
        <is>
          <t>ชาย</t>
        </is>
      </c>
      <c r="E315" s="369" t="inlineStr">
        <is>
          <t>รายเดือน</t>
        </is>
      </c>
      <c r="F315" s="369" t="inlineStr">
        <is>
          <t>ไทย</t>
        </is>
      </c>
      <c r="G315" s="369" t="inlineStr">
        <is>
          <t>52 หมู่ 5 ต.เหล่าโพนค้อ อ.โคกศรีสุพรรณ จ.สกลนคร 47280</t>
        </is>
      </c>
      <c r="H315" s="396" t="n">
        <v>3</v>
      </c>
      <c r="I315" s="369" t="n"/>
      <c r="J315" s="369" t="inlineStr">
        <is>
          <t>รถจักรยานยนต์ 2 จังหวะเครื่องยนต์ขนาด 150cc</t>
        </is>
      </c>
      <c r="K315" s="410" t="inlineStr">
        <is>
          <t>แก๊สโซฮอล์ 95</t>
        </is>
      </c>
      <c r="L315" s="396" t="n">
        <v>1</v>
      </c>
      <c r="M315" s="589" t="n"/>
      <c r="N315" s="257">
        <f>'[2]1.4 Septic'!$F$16</f>
        <v/>
      </c>
      <c r="O315" s="1754">
        <f>$G$491</f>
        <v/>
      </c>
      <c r="P315" s="258" t="n"/>
      <c r="Q315" s="1731">
        <f>H315*2*L315*N315/O315</f>
        <v/>
      </c>
    </row>
    <row r="316" ht="18" customHeight="1">
      <c r="A316" s="396">
        <f>+A315+1</f>
        <v/>
      </c>
      <c r="B316" s="396" t="n">
        <v>632193</v>
      </c>
      <c r="C316" s="369" t="inlineStr">
        <is>
          <t>จักรี บุญประเสริฐ</t>
        </is>
      </c>
      <c r="D316" s="369" t="inlineStr">
        <is>
          <t>ชาย</t>
        </is>
      </c>
      <c r="E316" s="369" t="inlineStr">
        <is>
          <t>รายเดือน</t>
        </is>
      </c>
      <c r="F316" s="369" t="inlineStr">
        <is>
          <t>ไทย</t>
        </is>
      </c>
      <c r="G316" s="369" t="inlineStr">
        <is>
          <t>633​ ม.11​ ซ.มิตรสัมพันธ์ ถ.หนองคล้าใหม่​ ต.หนองขาม​ อ.ศรีราชา จ.ชลบุรี​ 20230</t>
        </is>
      </c>
      <c r="H316" s="396" t="n">
        <v>3</v>
      </c>
      <c r="I316" s="369" t="n"/>
      <c r="J316" s="369" t="inlineStr">
        <is>
          <t>รถจักรยานยนต์ 2 จังหวะเครื่องยนต์ขนาด 150cc</t>
        </is>
      </c>
      <c r="K316" s="410" t="inlineStr">
        <is>
          <t>แก๊สโซฮอล์ 95</t>
        </is>
      </c>
      <c r="L316" s="396" t="n">
        <v>1</v>
      </c>
      <c r="M316" s="589" t="n"/>
      <c r="N316" s="257">
        <f>'[2]1.4 Septic'!$F$16</f>
        <v/>
      </c>
      <c r="O316" s="1754">
        <f>$G$491</f>
        <v/>
      </c>
      <c r="P316" s="258" t="n"/>
      <c r="Q316" s="1731">
        <f>H316*2*L316*N316/O316</f>
        <v/>
      </c>
    </row>
    <row r="317" ht="18" customHeight="1">
      <c r="A317" s="396">
        <f>+A316+1</f>
        <v/>
      </c>
      <c r="B317" s="396" t="n">
        <v>632208</v>
      </c>
      <c r="C317" s="369" t="inlineStr">
        <is>
          <t>สิทธิพล เพ็งเจ๊ก</t>
        </is>
      </c>
      <c r="D317" s="369" t="inlineStr">
        <is>
          <t>ชาย</t>
        </is>
      </c>
      <c r="E317" s="369" t="inlineStr">
        <is>
          <t>รายเดือน</t>
        </is>
      </c>
      <c r="F317" s="369" t="inlineStr">
        <is>
          <t>ไทย</t>
        </is>
      </c>
      <c r="G317" s="369" t="inlineStr">
        <is>
          <t>68/6 ม.10 ต.อ.ศรีราชา อ.ทุ่งสุขลา จ.ชลบุรี 20230</t>
        </is>
      </c>
      <c r="H317" s="396" t="n">
        <v>6</v>
      </c>
      <c r="I317" s="369" t="n"/>
      <c r="J317" s="369" t="inlineStr">
        <is>
          <t>รถจักรยานยนต์ 4 จังหวะเครื่องยนต์ขนาดเล็กกว่า 125 cc</t>
        </is>
      </c>
      <c r="K317" s="410" t="inlineStr">
        <is>
          <t>แก๊สโซฮอล์ 95</t>
        </is>
      </c>
      <c r="L317" s="396" t="n">
        <v>1</v>
      </c>
      <c r="M317" s="589" t="n"/>
      <c r="N317" s="257">
        <f>'[2]1.4 Septic'!$F$16</f>
        <v/>
      </c>
      <c r="O317" s="257">
        <f>$G$492</f>
        <v/>
      </c>
      <c r="P317" s="258" t="n"/>
      <c r="Q317" s="1731">
        <f>H317*2*L317*N317/O317</f>
        <v/>
      </c>
    </row>
    <row r="318" ht="18" customHeight="1">
      <c r="A318" s="396">
        <f>+A317+1</f>
        <v/>
      </c>
      <c r="B318" s="396" t="n">
        <v>632234</v>
      </c>
      <c r="C318" s="369" t="inlineStr">
        <is>
          <t>อดิศักดิ์ ครุฑมงคล</t>
        </is>
      </c>
      <c r="D318" s="369" t="inlineStr">
        <is>
          <t>ชาย</t>
        </is>
      </c>
      <c r="E318" s="369" t="inlineStr">
        <is>
          <t>รายเดือน</t>
        </is>
      </c>
      <c r="F318" s="369" t="inlineStr">
        <is>
          <t>ไทย</t>
        </is>
      </c>
      <c r="G318" s="369" t="inlineStr">
        <is>
          <t>116/6 ม.2 ต.บ้านสวน อ.เมือง  จ. ชลบุรี 20000</t>
        </is>
      </c>
      <c r="H318" s="396" t="n">
        <v>6</v>
      </c>
      <c r="I318" s="369" t="n"/>
      <c r="J318" s="369" t="inlineStr">
        <is>
          <t>รถจักรยานยนต์ 4 จังหวะเครื่องยนต์ขนาดเล็กกว่า 125 cc</t>
        </is>
      </c>
      <c r="K318" s="410" t="inlineStr">
        <is>
          <t>แก๊สโซฮอล์ 91</t>
        </is>
      </c>
      <c r="L318" s="396" t="n">
        <v>2</v>
      </c>
      <c r="M318" s="589" t="n"/>
      <c r="N318" s="257">
        <f>'[2]1.4 Septic'!$F$16</f>
        <v/>
      </c>
      <c r="O318" s="257">
        <f>$G$492</f>
        <v/>
      </c>
      <c r="P318" s="258" t="n"/>
      <c r="Q318" s="1731">
        <f>H318*2*L318*N318/O318</f>
        <v/>
      </c>
    </row>
    <row r="319" ht="18" customHeight="1">
      <c r="A319" s="396">
        <f>+A318+1</f>
        <v/>
      </c>
      <c r="B319" s="396" t="n">
        <v>632245</v>
      </c>
      <c r="C319" s="369" t="inlineStr">
        <is>
          <t>อภิชัย นามโยธี</t>
        </is>
      </c>
      <c r="D319" s="369" t="inlineStr">
        <is>
          <t>ชาย</t>
        </is>
      </c>
      <c r="E319" s="369" t="inlineStr">
        <is>
          <t>รายเดือน</t>
        </is>
      </c>
      <c r="F319" s="369" t="inlineStr">
        <is>
          <t>ไทย</t>
        </is>
      </c>
      <c r="G319" s="369" t="inlineStr">
        <is>
          <t>104/300 ม.2 ต.บึง อ.ศรีราชา จ.ชลบุรี 20230</t>
        </is>
      </c>
      <c r="H319" s="396" t="n">
        <v>17</v>
      </c>
      <c r="I319" s="369" t="n"/>
      <c r="J319" s="369" t="inlineStr">
        <is>
          <t>รถจักรยานยนต์ 2 จังหวะเฉลี่ยทุกขนาด</t>
        </is>
      </c>
      <c r="K319" s="410" t="inlineStr">
        <is>
          <t>แก๊สโซฮอล์ 91</t>
        </is>
      </c>
      <c r="L319" s="396" t="n">
        <v>1</v>
      </c>
      <c r="M319" s="589" t="n"/>
      <c r="N319" s="257">
        <f>'[2]1.4 Septic'!$F$16</f>
        <v/>
      </c>
      <c r="O319" s="1754">
        <f>$G$491</f>
        <v/>
      </c>
      <c r="P319" s="258" t="n"/>
      <c r="Q319" s="1731">
        <f>H319*2*L319*N319/O319</f>
        <v/>
      </c>
    </row>
    <row r="320" ht="18" customHeight="1">
      <c r="A320" s="396">
        <f>+A319+1</f>
        <v/>
      </c>
      <c r="B320" s="396" t="n">
        <v>642272</v>
      </c>
      <c r="C320" s="369" t="inlineStr">
        <is>
          <t>พัชราภรณ์ สุทธิประเสริฐ</t>
        </is>
      </c>
      <c r="D320" s="369" t="inlineStr">
        <is>
          <t>หญิง</t>
        </is>
      </c>
      <c r="E320" s="369" t="inlineStr">
        <is>
          <t>รายเดือน</t>
        </is>
      </c>
      <c r="F320" s="369" t="inlineStr">
        <is>
          <t>ไทย</t>
        </is>
      </c>
      <c r="G320" s="369" t="inlineStr">
        <is>
          <t>142 ม.3 ต.เกาะสำโรง อ.เมือง จ.กาญจบุรี 71000</t>
        </is>
      </c>
      <c r="H320" s="396" t="n">
        <v>7</v>
      </c>
      <c r="I320" s="369" t="n"/>
      <c r="J320" s="369" t="inlineStr">
        <is>
          <t>รถจักรยานยนต์ 4 จังหวะเครื่องยนต์ขนาด 125 cc</t>
        </is>
      </c>
      <c r="K320" s="410" t="inlineStr">
        <is>
          <t>แก๊สโซฮอล์ 91</t>
        </is>
      </c>
      <c r="L320" s="396" t="n">
        <v>1</v>
      </c>
      <c r="M320" s="589" t="n"/>
      <c r="N320" s="257">
        <f>'[2]1.4 Septic'!$F$16</f>
        <v/>
      </c>
      <c r="O320" s="257">
        <f>$G$492</f>
        <v/>
      </c>
      <c r="P320" s="258" t="n"/>
      <c r="Q320" s="1731">
        <f>H320*2*L320*N320/O320</f>
        <v/>
      </c>
    </row>
    <row r="321" ht="18" customHeight="1">
      <c r="A321" s="396">
        <f>+A320+1</f>
        <v/>
      </c>
      <c r="B321" s="396" t="n">
        <v>642273</v>
      </c>
      <c r="C321" s="369" t="inlineStr">
        <is>
          <t>นราธิป ธิบดี</t>
        </is>
      </c>
      <c r="D321" s="369" t="inlineStr">
        <is>
          <t>ชาย</t>
        </is>
      </c>
      <c r="E321" s="369" t="inlineStr">
        <is>
          <t>รายเดือน</t>
        </is>
      </c>
      <c r="F321" s="369" t="inlineStr">
        <is>
          <t>ไทย</t>
        </is>
      </c>
      <c r="G321" s="369" t="inlineStr">
        <is>
          <t>71/257 ม.4 ต.บางละมุง อ.บางละมุง จ.ชลบุรี 20150</t>
        </is>
      </c>
      <c r="H321" s="396" t="n">
        <v>8.6</v>
      </c>
      <c r="I321" s="369" t="n"/>
      <c r="J321" s="369" t="inlineStr">
        <is>
          <t>รถจักรยานยนต์ 4 จังหวะเครื่องยนต์ขนาดเล็กกว่า 125 cc</t>
        </is>
      </c>
      <c r="K321" s="410" t="inlineStr">
        <is>
          <t>แก๊สโซฮอล์ 91</t>
        </is>
      </c>
      <c r="L321" s="396" t="n">
        <v>1</v>
      </c>
      <c r="M321" s="589" t="n"/>
      <c r="N321" s="257">
        <f>'[2]1.4 Septic'!$F$16</f>
        <v/>
      </c>
      <c r="O321" s="257">
        <f>$G$492</f>
        <v/>
      </c>
      <c r="P321" s="258" t="n"/>
      <c r="Q321" s="1731">
        <f>H321*2*L321*N321/O321</f>
        <v/>
      </c>
    </row>
    <row r="322" ht="18" customHeight="1">
      <c r="A322" s="396">
        <f>+A321+1</f>
        <v/>
      </c>
      <c r="B322" s="396" t="n">
        <v>642275</v>
      </c>
      <c r="C322" s="369" t="inlineStr">
        <is>
          <t>เจษณีย์ หงส์พันธ์</t>
        </is>
      </c>
      <c r="D322" s="369" t="inlineStr">
        <is>
          <t>หญิง</t>
        </is>
      </c>
      <c r="E322" s="369" t="inlineStr">
        <is>
          <t>รายเดือน</t>
        </is>
      </c>
      <c r="F322" s="369" t="inlineStr">
        <is>
          <t>ไทย</t>
        </is>
      </c>
      <c r="G322" s="369" t="inlineStr">
        <is>
          <t>72/12 ม.8 ต.บ้านทุ่งกราด อ.บางละมุง จ.ชลบุรี 20150</t>
        </is>
      </c>
      <c r="H322" s="396" t="n">
        <v>7</v>
      </c>
      <c r="I322" s="369" t="n"/>
      <c r="J322" s="369" t="inlineStr">
        <is>
          <t>รถจักรยานยนต์ 4 จังหวะเครื่องยนต์ขนาดเล็กกว่า 125 cc</t>
        </is>
      </c>
      <c r="K322" s="410" t="inlineStr">
        <is>
          <t>แก๊สโซฮอล์ 91</t>
        </is>
      </c>
      <c r="L322" s="396" t="n">
        <v>1</v>
      </c>
      <c r="M322" s="589" t="n"/>
      <c r="N322" s="257">
        <f>'[2]1.4 Septic'!$F$16</f>
        <v/>
      </c>
      <c r="O322" s="257">
        <f>$G$492</f>
        <v/>
      </c>
      <c r="P322" s="258" t="n"/>
      <c r="Q322" s="1731">
        <f>H322*2*L322*N322/O322</f>
        <v/>
      </c>
    </row>
    <row r="323" ht="18" customHeight="1">
      <c r="A323" s="396">
        <f>+A322+1</f>
        <v/>
      </c>
      <c r="B323" s="396" t="n">
        <v>642276</v>
      </c>
      <c r="C323" s="369" t="inlineStr">
        <is>
          <t>กัญจมาลย์ บัวจันทร์</t>
        </is>
      </c>
      <c r="D323" s="369" t="inlineStr">
        <is>
          <t>หญิง</t>
        </is>
      </c>
      <c r="E323" s="369" t="inlineStr">
        <is>
          <t>รายเดือน</t>
        </is>
      </c>
      <c r="F323" s="369" t="inlineStr">
        <is>
          <t>ไทย</t>
        </is>
      </c>
      <c r="G323" s="369" t="inlineStr">
        <is>
          <t>99/27 ม.6 ต.บางละมุง อ.บางละมุง จ.ชลบุรี 20150</t>
        </is>
      </c>
      <c r="H323" s="396" t="n">
        <v>6</v>
      </c>
      <c r="I323" s="369" t="n"/>
      <c r="J323" s="369" t="inlineStr">
        <is>
          <t>รถจักรยานยนต์ 4 จังหวะเครื่องยนต์ขนาดเล็กกว่า 125 cc</t>
        </is>
      </c>
      <c r="K323" s="410" t="inlineStr">
        <is>
          <t>แก๊สโซฮอล์ 95</t>
        </is>
      </c>
      <c r="L323" s="396" t="n">
        <v>1</v>
      </c>
      <c r="M323" s="589" t="n"/>
      <c r="N323" s="257">
        <f>'[2]1.4 Septic'!$F$16</f>
        <v/>
      </c>
      <c r="O323" s="257">
        <f>$G$492</f>
        <v/>
      </c>
      <c r="P323" s="258" t="n"/>
      <c r="Q323" s="1731">
        <f>H323*2*L323*N323/O323</f>
        <v/>
      </c>
    </row>
    <row r="324" ht="18" customHeight="1">
      <c r="A324" s="396">
        <f>+A323+1</f>
        <v/>
      </c>
      <c r="B324" s="396" t="n">
        <v>642292</v>
      </c>
      <c r="C324" s="369" t="inlineStr">
        <is>
          <t>ปนัดดา ชาดง</t>
        </is>
      </c>
      <c r="D324" s="369" t="inlineStr">
        <is>
          <t>หญิง</t>
        </is>
      </c>
      <c r="E324" s="369" t="inlineStr">
        <is>
          <t>รายเดือน</t>
        </is>
      </c>
      <c r="F324" s="369" t="inlineStr">
        <is>
          <t>ไทย</t>
        </is>
      </c>
      <c r="G324" s="369" t="inlineStr">
        <is>
          <t>181/400 ม.8 ต.ทุ่งสุขลา อ.ศรีราชา จ.ชลบุรี 20230</t>
        </is>
      </c>
      <c r="H324" s="396" t="n">
        <v>5</v>
      </c>
      <c r="I324" s="369" t="n"/>
      <c r="J324" s="369" t="inlineStr">
        <is>
          <t>รถจักรยานยนต์ 4 จังหวะเครื่องยนต์ขนาดเล็กกว่า 125 cc</t>
        </is>
      </c>
      <c r="K324" s="410" t="inlineStr">
        <is>
          <t>แก๊สโซฮอล์ 91</t>
        </is>
      </c>
      <c r="L324" s="396" t="n">
        <v>2</v>
      </c>
      <c r="M324" s="589" t="n"/>
      <c r="N324" s="257">
        <f>'[2]1.4 Septic'!$F$16</f>
        <v/>
      </c>
      <c r="O324" s="257">
        <f>$G$492</f>
        <v/>
      </c>
      <c r="P324" s="258" t="n"/>
      <c r="Q324" s="1731">
        <f>H324*2*L324*N324/O324</f>
        <v/>
      </c>
    </row>
    <row r="325" ht="18" customHeight="1">
      <c r="A325" s="396">
        <f>+A324+1</f>
        <v/>
      </c>
      <c r="B325" s="396" t="n">
        <v>642295</v>
      </c>
      <c r="C325" s="369" t="inlineStr">
        <is>
          <t>จันสุดา ประทา</t>
        </is>
      </c>
      <c r="D325" s="369" t="inlineStr">
        <is>
          <t>หญิง</t>
        </is>
      </c>
      <c r="E325" s="369" t="inlineStr">
        <is>
          <t>รายเดือน</t>
        </is>
      </c>
      <c r="F325" s="369" t="inlineStr">
        <is>
          <t>ไทย</t>
        </is>
      </c>
      <c r="G325" s="369" t="inlineStr">
        <is>
          <t>220/97 ม.6 ต.บางละมุง อ.บางละมุง จ.ชลบุรี 20150</t>
        </is>
      </c>
      <c r="H325" s="396" t="n">
        <v>4</v>
      </c>
      <c r="I325" s="369" t="n"/>
      <c r="J325" s="369" t="inlineStr">
        <is>
          <t>รถจักรยานยนต์ 4 จังหวะเครื่องยนต์ขนาดเล็กกว่า 125 cc</t>
        </is>
      </c>
      <c r="K325" s="410" t="inlineStr">
        <is>
          <t>แก๊สโซฮอล์ 91</t>
        </is>
      </c>
      <c r="L325" s="396" t="n">
        <v>1</v>
      </c>
      <c r="M325" s="589" t="n"/>
      <c r="N325" s="257">
        <f>'[2]1.4 Septic'!$F$16</f>
        <v/>
      </c>
      <c r="O325" s="257">
        <f>$G$492</f>
        <v/>
      </c>
      <c r="P325" s="258" t="n"/>
      <c r="Q325" s="1731">
        <f>H325*2*L325*N325/O325</f>
        <v/>
      </c>
    </row>
    <row r="326" ht="18" customHeight="1">
      <c r="A326" s="396">
        <f>+A325+1</f>
        <v/>
      </c>
      <c r="B326" s="396" t="n">
        <v>642297</v>
      </c>
      <c r="C326" s="369" t="inlineStr">
        <is>
          <t>สุณี มุทธามณีเลิศ</t>
        </is>
      </c>
      <c r="D326" s="369" t="inlineStr">
        <is>
          <t>หญิง</t>
        </is>
      </c>
      <c r="E326" s="369" t="inlineStr">
        <is>
          <t>รายเดือน</t>
        </is>
      </c>
      <c r="F326" s="369" t="inlineStr">
        <is>
          <t>ไทย</t>
        </is>
      </c>
      <c r="G326" s="369" t="inlineStr">
        <is>
          <t>25 ซ.จันทร์ 18/7 แยก9 ต.ทุ่งวัดดอน อ.สาทร จ.กรุงเทพมหานคร 10120</t>
        </is>
      </c>
      <c r="H326" s="396" t="n">
        <v>5</v>
      </c>
      <c r="I326" s="369" t="n"/>
      <c r="J326" s="369" t="inlineStr">
        <is>
          <t>รถจักรยานยนต์ 4 จังหวะเครื่องยนต์ขนาดเล็กกว่า 125 cc</t>
        </is>
      </c>
      <c r="K326" s="410" t="inlineStr">
        <is>
          <t>แก๊สโซฮอล์ 95</t>
        </is>
      </c>
      <c r="L326" s="396" t="n">
        <v>1</v>
      </c>
      <c r="M326" s="589" t="inlineStr">
        <is>
          <t>สนง.กทม.</t>
        </is>
      </c>
      <c r="N326" s="257">
        <f>'[2]1.4 Septic'!$F$34</f>
        <v/>
      </c>
      <c r="O326" s="257">
        <f>$G$492</f>
        <v/>
      </c>
      <c r="P326" s="258" t="n"/>
      <c r="Q326" s="1731">
        <f>H326*2*L326*N326/O326</f>
        <v/>
      </c>
    </row>
    <row r="327" ht="18" customHeight="1">
      <c r="A327" s="396">
        <f>+A326+1</f>
        <v/>
      </c>
      <c r="B327" s="396" t="n">
        <v>642299</v>
      </c>
      <c r="C327" s="369" t="inlineStr">
        <is>
          <t>ธิเบศร์ คุรุรัมย์</t>
        </is>
      </c>
      <c r="D327" s="369" t="inlineStr">
        <is>
          <t>ชาย</t>
        </is>
      </c>
      <c r="E327" s="369" t="inlineStr">
        <is>
          <t>รายเดือน</t>
        </is>
      </c>
      <c r="F327" s="369" t="inlineStr">
        <is>
          <t>ไทย</t>
        </is>
      </c>
      <c r="G327" s="369" t="inlineStr">
        <is>
          <t xml:space="preserve">ขุมทรัพย์อพาร์ทเมนต์ 41/3 หมู่3 ต.บางละมุง อ.บางละมุง จ.ชลบุรี 20150 </t>
        </is>
      </c>
      <c r="H327" s="396" t="n">
        <v>15</v>
      </c>
      <c r="I327" s="369" t="n"/>
      <c r="J327" s="369" t="inlineStr">
        <is>
          <t>รถยนต์เฉลี่ยทุกขนาด</t>
        </is>
      </c>
      <c r="K327" s="410" t="inlineStr">
        <is>
          <t>แก๊สโซฮอล์ 95</t>
        </is>
      </c>
      <c r="L327" s="396" t="n">
        <v>2</v>
      </c>
      <c r="M327" s="589" t="n"/>
      <c r="N327" s="257">
        <f>'[2]1.4 Septic'!$F$16</f>
        <v/>
      </c>
      <c r="O327" s="257">
        <f>$G$487</f>
        <v/>
      </c>
      <c r="P327" s="258" t="n"/>
      <c r="Q327" s="1731">
        <f>H327*2*L327*N327/O327</f>
        <v/>
      </c>
    </row>
    <row r="328" ht="18" customHeight="1">
      <c r="A328" s="396">
        <f>+A327+1</f>
        <v/>
      </c>
      <c r="B328" s="396" t="n">
        <v>642302</v>
      </c>
      <c r="C328" s="369" t="inlineStr">
        <is>
          <t>ขวัญฤดี พรหมพันใจ</t>
        </is>
      </c>
      <c r="D328" s="369" t="inlineStr">
        <is>
          <t>หญิง</t>
        </is>
      </c>
      <c r="E328" s="369" t="inlineStr">
        <is>
          <t>รายเดือน</t>
        </is>
      </c>
      <c r="F328" s="369" t="inlineStr">
        <is>
          <t>ไทย</t>
        </is>
      </c>
      <c r="G328" s="369" t="inlineStr">
        <is>
          <t>999/182 ม.7 ต.บางละมุง อ.บางละมุง จ.ชลบุรี 20150</t>
        </is>
      </c>
      <c r="H328" s="396" t="n">
        <v>3</v>
      </c>
      <c r="I328" s="369" t="n"/>
      <c r="J328" s="369" t="inlineStr">
        <is>
          <t>รถจักรยานยนต์ 4 จังหวะเครื่องยนต์ขนาดเล็กกว่า 125 cc</t>
        </is>
      </c>
      <c r="K328" s="410" t="inlineStr">
        <is>
          <t>แก๊สโซฮอล์ 95</t>
        </is>
      </c>
      <c r="L328" s="396" t="n">
        <v>1</v>
      </c>
      <c r="M328" s="589" t="n"/>
      <c r="N328" s="257">
        <f>'[2]1.4 Septic'!$F$16</f>
        <v/>
      </c>
      <c r="O328" s="257">
        <f>$G$492</f>
        <v/>
      </c>
      <c r="P328" s="258" t="n"/>
      <c r="Q328" s="1731">
        <f>H328*2*L328*N328/O328</f>
        <v/>
      </c>
    </row>
    <row r="329" ht="18" customHeight="1">
      <c r="A329" s="396">
        <f>+A328+1</f>
        <v/>
      </c>
      <c r="B329" s="396" t="n">
        <v>642310</v>
      </c>
      <c r="C329" s="369" t="inlineStr">
        <is>
          <t>อัษฎา หลอดเพชร</t>
        </is>
      </c>
      <c r="D329" s="369" t="inlineStr">
        <is>
          <t>ชาย</t>
        </is>
      </c>
      <c r="E329" s="369" t="inlineStr">
        <is>
          <t>รายเดือน</t>
        </is>
      </c>
      <c r="F329" s="369" t="inlineStr">
        <is>
          <t>ไทย</t>
        </is>
      </c>
      <c r="G329" s="369" t="inlineStr">
        <is>
          <t>3/3 ม.9 ต.ทุ่งสุขลา อ.ศรีราชา จ.ชลบุรี 20230</t>
        </is>
      </c>
      <c r="H329" s="396" t="n">
        <v>9</v>
      </c>
      <c r="I329" s="369" t="n"/>
      <c r="J329" s="369" t="inlineStr">
        <is>
          <t>รถยนต์เฉลี่ยทุกขนาด</t>
        </is>
      </c>
      <c r="K329" s="410" t="inlineStr">
        <is>
          <t>แก๊สโซฮอล์ 95</t>
        </is>
      </c>
      <c r="L329" s="396" t="n">
        <v>1</v>
      </c>
      <c r="M329" s="589" t="n"/>
      <c r="N329" s="257">
        <f>'[2]1.4 Septic'!$F$16</f>
        <v/>
      </c>
      <c r="O329" s="257">
        <f>$G$487</f>
        <v/>
      </c>
      <c r="P329" s="258" t="n"/>
      <c r="Q329" s="1731">
        <f>H329*2*L329*N329/O329</f>
        <v/>
      </c>
    </row>
    <row r="330" ht="18" customHeight="1">
      <c r="A330" s="396">
        <f>+A329+1</f>
        <v/>
      </c>
      <c r="B330" s="396" t="n">
        <v>642312</v>
      </c>
      <c r="C330" s="369" t="inlineStr">
        <is>
          <t>วินัย จันทร์หล้า</t>
        </is>
      </c>
      <c r="D330" s="369" t="inlineStr">
        <is>
          <t>ชาย</t>
        </is>
      </c>
      <c r="E330" s="369" t="inlineStr">
        <is>
          <t>รายเดือน</t>
        </is>
      </c>
      <c r="F330" s="369" t="inlineStr">
        <is>
          <t>ไทย</t>
        </is>
      </c>
      <c r="G330" s="369" t="inlineStr">
        <is>
          <t>155/15 ม.3 ต.บึง อ.ศรีราชา จ.ชลบุรี 64231</t>
        </is>
      </c>
      <c r="H330" s="396" t="n">
        <v>16</v>
      </c>
      <c r="I330" s="369" t="n"/>
      <c r="J330" s="369" t="inlineStr">
        <is>
          <t>รถจักรยานยนต์ 4 จังหวะเครื่องยนต์ขนาดเล็กกว่า 125 cc</t>
        </is>
      </c>
      <c r="K330" s="410" t="inlineStr">
        <is>
          <t>แก๊สโซฮอล์ 91</t>
        </is>
      </c>
      <c r="L330" s="396" t="n">
        <v>1</v>
      </c>
      <c r="M330" s="589" t="n"/>
      <c r="N330" s="257">
        <f>'[2]1.4 Septic'!$F$16</f>
        <v/>
      </c>
      <c r="O330" s="257">
        <f>$G$492</f>
        <v/>
      </c>
      <c r="P330" s="258" t="n"/>
      <c r="Q330" s="1731">
        <f>H330*2*L330*N330/O330</f>
        <v/>
      </c>
    </row>
    <row r="331" ht="18" customHeight="1">
      <c r="A331" s="396">
        <f>+A330+1</f>
        <v/>
      </c>
      <c r="B331" s="396" t="n">
        <v>642319</v>
      </c>
      <c r="C331" s="369" t="inlineStr">
        <is>
          <t>สมเจริญ เจริญรอย</t>
        </is>
      </c>
      <c r="D331" s="369" t="inlineStr">
        <is>
          <t>ชาย</t>
        </is>
      </c>
      <c r="E331" s="369" t="inlineStr">
        <is>
          <t>รายเดือน</t>
        </is>
      </c>
      <c r="F331" s="369" t="inlineStr">
        <is>
          <t>ไทย</t>
        </is>
      </c>
      <c r="G331" s="369" t="inlineStr">
        <is>
          <t>503/230 ม.11 ต.หนองขาม อ.ศรีราชา จ.ชลบุรี 20230</t>
        </is>
      </c>
      <c r="H331" s="396" t="n">
        <v>7</v>
      </c>
      <c r="I331" s="369" t="n"/>
      <c r="J331" s="369" t="inlineStr">
        <is>
          <t>รถกระบะบรรทุก</t>
        </is>
      </c>
      <c r="K331" s="410" t="inlineStr">
        <is>
          <t>ดีเซล</t>
        </is>
      </c>
      <c r="L331" s="396" t="n">
        <v>1</v>
      </c>
      <c r="M331" s="589" t="n"/>
      <c r="N331" s="257">
        <f>'[2]1.4 Septic'!$F$16</f>
        <v/>
      </c>
      <c r="O331" s="257" t="n">
        <v>6.369</v>
      </c>
      <c r="P331" s="1731">
        <f>H331*2*L331*N331/O331</f>
        <v/>
      </c>
      <c r="Q331" s="258" t="n"/>
    </row>
    <row r="332" ht="18" customHeight="1">
      <c r="A332" s="396">
        <f>+A331+1</f>
        <v/>
      </c>
      <c r="B332" s="396" t="n">
        <v>642320</v>
      </c>
      <c r="C332" s="369" t="inlineStr">
        <is>
          <t>พิทยา สุนทราภัย</t>
        </is>
      </c>
      <c r="D332" s="369" t="inlineStr">
        <is>
          <t>ชาย</t>
        </is>
      </c>
      <c r="E332" s="369" t="inlineStr">
        <is>
          <t>รายเดือน</t>
        </is>
      </c>
      <c r="F332" s="369" t="inlineStr">
        <is>
          <t>ไทย</t>
        </is>
      </c>
      <c r="G332" s="369" t="inlineStr">
        <is>
          <t>3/8 ม.2 ต.สุรศักดิ์ อ.ศรีราชา จ.ชลบุรี 20110</t>
        </is>
      </c>
      <c r="H332" s="396" t="n">
        <v>10</v>
      </c>
      <c r="I332" s="369" t="n"/>
      <c r="J332" s="369" t="inlineStr">
        <is>
          <t>รถจักรยานยนต์ 2 จังหวะเครื่องยนต์ขนาด 150cc</t>
        </is>
      </c>
      <c r="K332" s="410" t="inlineStr">
        <is>
          <t>แก๊สโซฮอล์ 95</t>
        </is>
      </c>
      <c r="L332" s="396" t="n">
        <v>1</v>
      </c>
      <c r="M332" s="589" t="n"/>
      <c r="N332" s="257">
        <f>'[2]1.4 Septic'!$F$16</f>
        <v/>
      </c>
      <c r="O332" s="1754">
        <f>$G$491</f>
        <v/>
      </c>
      <c r="P332" s="258" t="n"/>
      <c r="Q332" s="1731">
        <f>H332*2*L332*N332/O332</f>
        <v/>
      </c>
    </row>
    <row r="333" ht="18" customHeight="1">
      <c r="A333" s="396">
        <f>+A332+1</f>
        <v/>
      </c>
      <c r="B333" s="396" t="n">
        <v>642326</v>
      </c>
      <c r="C333" s="369" t="inlineStr">
        <is>
          <t>ณศิภัสร์ พุฒิชวัลสิทธิ์</t>
        </is>
      </c>
      <c r="D333" s="369" t="inlineStr">
        <is>
          <t>ชาย</t>
        </is>
      </c>
      <c r="E333" s="369" t="inlineStr">
        <is>
          <t>รายเดือน</t>
        </is>
      </c>
      <c r="F333" s="369" t="inlineStr">
        <is>
          <t>ไทย</t>
        </is>
      </c>
      <c r="G333" s="369" t="inlineStr">
        <is>
          <t>54 ม.5 ต.ท่าข้าม อ.สามพราน จ.นครปฐม 73110</t>
        </is>
      </c>
      <c r="H333" s="396" t="n">
        <v>50</v>
      </c>
      <c r="I333" s="369" t="n"/>
      <c r="J333" s="369" t="inlineStr">
        <is>
          <t>รถยนต์เฉลี่ยทุกขนาด</t>
        </is>
      </c>
      <c r="K333" s="410" t="inlineStr">
        <is>
          <t>แก๊สโซฮอล์ 95</t>
        </is>
      </c>
      <c r="L333" s="396" t="n">
        <v>1</v>
      </c>
      <c r="M333" s="589" t="inlineStr">
        <is>
          <t>สนง.กทม.</t>
        </is>
      </c>
      <c r="N333" s="257">
        <f>'[2]1.4 Septic'!$F$34</f>
        <v/>
      </c>
      <c r="O333" s="257">
        <f>$G$487</f>
        <v/>
      </c>
      <c r="P333" s="258" t="n"/>
      <c r="Q333" s="1731">
        <f>H333*2*L333*N333/O333</f>
        <v/>
      </c>
    </row>
    <row r="334" ht="18" customHeight="1">
      <c r="A334" s="396">
        <f>+A333+1</f>
        <v/>
      </c>
      <c r="B334" s="396" t="n">
        <v>642336</v>
      </c>
      <c r="C334" s="369" t="inlineStr">
        <is>
          <t>ศิวดล ขำเมือง</t>
        </is>
      </c>
      <c r="D334" s="369" t="inlineStr">
        <is>
          <t>ชาย</t>
        </is>
      </c>
      <c r="E334" s="369" t="inlineStr">
        <is>
          <t>รายเดือน</t>
        </is>
      </c>
      <c r="F334" s="369" t="inlineStr">
        <is>
          <t>ไทย</t>
        </is>
      </c>
      <c r="G334" s="369" t="inlineStr">
        <is>
          <t>10/6 ม.1 ต.หนองปรือ อ.บางละมุง จ.ชลบุรี 20150</t>
        </is>
      </c>
      <c r="H334" s="396" t="n">
        <v>15</v>
      </c>
      <c r="I334" s="369" t="n"/>
      <c r="J334" s="369" t="inlineStr">
        <is>
          <t>รถจักรยานยนต์ 4 จังหวะเครื่องยนต์ขนาด 125 cc</t>
        </is>
      </c>
      <c r="K334" s="410" t="inlineStr">
        <is>
          <t>แก๊สโซฮอล์ 91</t>
        </is>
      </c>
      <c r="L334" s="396" t="n">
        <v>1</v>
      </c>
      <c r="M334" s="589" t="n"/>
      <c r="N334" s="257">
        <f>'[2]1.4 Septic'!$F$16</f>
        <v/>
      </c>
      <c r="O334" s="257">
        <f>$G$492</f>
        <v/>
      </c>
      <c r="P334" s="258" t="n"/>
      <c r="Q334" s="1731">
        <f>H334*2*L334*N334/O334</f>
        <v/>
      </c>
    </row>
    <row r="335" ht="18" customHeight="1">
      <c r="A335" s="396">
        <f>+A334+1</f>
        <v/>
      </c>
      <c r="B335" s="396" t="n">
        <v>642338</v>
      </c>
      <c r="C335" s="369" t="inlineStr">
        <is>
          <t>สุรศักดิ์ แจนโกนดี</t>
        </is>
      </c>
      <c r="D335" s="369" t="inlineStr">
        <is>
          <t>ชาย</t>
        </is>
      </c>
      <c r="E335" s="369" t="inlineStr">
        <is>
          <t>รายเดือน</t>
        </is>
      </c>
      <c r="F335" s="369" t="inlineStr">
        <is>
          <t>ไทย</t>
        </is>
      </c>
      <c r="G335" s="369" t="inlineStr">
        <is>
          <t>88/4 บ้านทุ่งกราด ต.บางละมุง อ.บางละมุง จ.ชลบุรี 20150</t>
        </is>
      </c>
      <c r="H335" s="396" t="n">
        <v>5</v>
      </c>
      <c r="I335" s="369" t="n"/>
      <c r="J335" s="369" t="inlineStr">
        <is>
          <t>รถจักรยานยนต์ 4 จังหวะเครื่องยนต์ขนาดเล็กกว่า 125 cc</t>
        </is>
      </c>
      <c r="K335" s="410" t="inlineStr">
        <is>
          <t>แก๊สโซฮอล์ 95</t>
        </is>
      </c>
      <c r="L335" s="396" t="n">
        <v>2</v>
      </c>
      <c r="M335" s="589" t="n"/>
      <c r="N335" s="257">
        <f>'[2]1.4 Septic'!$F$16</f>
        <v/>
      </c>
      <c r="O335" s="257">
        <f>$G$492</f>
        <v/>
      </c>
      <c r="P335" s="258" t="n"/>
      <c r="Q335" s="1731">
        <f>H335*2*L335*N335/O335</f>
        <v/>
      </c>
    </row>
    <row r="336" ht="18" customHeight="1">
      <c r="A336" s="396">
        <f>+A335+1</f>
        <v/>
      </c>
      <c r="B336" s="396" t="n">
        <v>642343</v>
      </c>
      <c r="C336" s="369" t="inlineStr">
        <is>
          <t>อาม้าล อาลีมีนทร์</t>
        </is>
      </c>
      <c r="D336" s="369" t="inlineStr">
        <is>
          <t>ชาย</t>
        </is>
      </c>
      <c r="E336" s="369" t="inlineStr">
        <is>
          <t>รายเดือน</t>
        </is>
      </c>
      <c r="F336" s="369" t="inlineStr">
        <is>
          <t>ไทย</t>
        </is>
      </c>
      <c r="G336" s="369" t="inlineStr">
        <is>
          <t>19/8 ม.10 ต.หนองปรือ อ.บางละมุง จ.ชลบุรี 20150</t>
        </is>
      </c>
      <c r="H336" s="396" t="n">
        <v>15</v>
      </c>
      <c r="I336" s="369" t="n"/>
      <c r="J336" s="369" t="inlineStr">
        <is>
          <t>รถจักรยานยนต์ 4 จังหวะเครื่องยนต์ขนาด 125 cc</t>
        </is>
      </c>
      <c r="K336" s="410" t="inlineStr">
        <is>
          <t>แก๊สโซฮอล์ 95</t>
        </is>
      </c>
      <c r="L336" s="396" t="n">
        <v>2</v>
      </c>
      <c r="M336" s="589" t="n"/>
      <c r="N336" s="257">
        <f>'[2]1.4 Septic'!$F$16</f>
        <v/>
      </c>
      <c r="O336" s="257">
        <f>$G$492</f>
        <v/>
      </c>
      <c r="P336" s="258" t="n"/>
      <c r="Q336" s="1731">
        <f>H336*2*L336*N336/O336</f>
        <v/>
      </c>
    </row>
    <row r="337" ht="18" customHeight="1">
      <c r="A337" s="396">
        <f>+A336+1</f>
        <v/>
      </c>
      <c r="B337" s="396" t="n">
        <v>642351</v>
      </c>
      <c r="C337" s="369" t="inlineStr">
        <is>
          <t>ธานุวัฒน์ โสภา</t>
        </is>
      </c>
      <c r="D337" s="369" t="inlineStr">
        <is>
          <t>ชาย</t>
        </is>
      </c>
      <c r="E337" s="369" t="inlineStr">
        <is>
          <t>รายเดือน</t>
        </is>
      </c>
      <c r="F337" s="369" t="inlineStr">
        <is>
          <t>ไทย</t>
        </is>
      </c>
      <c r="G337" s="369" t="inlineStr">
        <is>
          <t>103/21 ม.2 ต.ทุ่งสุขลา อ.ศรีราชา จ.ชลบุรี 20230</t>
        </is>
      </c>
      <c r="H337" s="396" t="n">
        <v>3</v>
      </c>
      <c r="I337" s="369" t="n"/>
      <c r="J337" s="369" t="inlineStr">
        <is>
          <t>รถจักรยานยนต์ 4 จังหวะเครื่องยนต์ขนาดเล็กกว่า 125 cc</t>
        </is>
      </c>
      <c r="K337" s="410" t="inlineStr">
        <is>
          <t>แก๊สโซฮอล์ 95</t>
        </is>
      </c>
      <c r="L337" s="396" t="n">
        <v>1</v>
      </c>
      <c r="M337" s="589" t="n"/>
      <c r="N337" s="257">
        <f>'[2]1.4 Septic'!$F$16</f>
        <v/>
      </c>
      <c r="O337" s="257">
        <f>$G$492</f>
        <v/>
      </c>
      <c r="P337" s="258" t="n"/>
      <c r="Q337" s="1731">
        <f>H337*2*L337*N337/O337</f>
        <v/>
      </c>
    </row>
    <row r="338" ht="18" customHeight="1">
      <c r="A338" s="396">
        <f>+A337+1</f>
        <v/>
      </c>
      <c r="B338" s="396" t="n">
        <v>642353</v>
      </c>
      <c r="C338" s="369" t="inlineStr">
        <is>
          <t>ยุพิน มายัง</t>
        </is>
      </c>
      <c r="D338" s="369" t="inlineStr">
        <is>
          <t>หญิง</t>
        </is>
      </c>
      <c r="E338" s="369" t="inlineStr">
        <is>
          <t>รายเดือน</t>
        </is>
      </c>
      <c r="F338" s="369" t="inlineStr">
        <is>
          <t>ไทย</t>
        </is>
      </c>
      <c r="G338" s="588" t="inlineStr">
        <is>
          <t>101/243 ม.10 ต.บึง อ.ศรีราชา จ.ชลบุรี 20230</t>
        </is>
      </c>
      <c r="H338" s="396" t="n">
        <v>10</v>
      </c>
      <c r="I338" s="369" t="n"/>
      <c r="J338" s="369" t="inlineStr">
        <is>
          <t>รถยนต์ขนาดใหญ่ (2000 cc)</t>
        </is>
      </c>
      <c r="K338" s="410" t="inlineStr">
        <is>
          <t>แก๊สโซฮอล์ E20</t>
        </is>
      </c>
      <c r="L338" s="396" t="n">
        <v>1</v>
      </c>
      <c r="M338" s="589" t="n"/>
      <c r="N338" s="257">
        <f>'[2]1.4 Septic'!$F$16</f>
        <v/>
      </c>
      <c r="O338" s="257">
        <f>$G$495</f>
        <v/>
      </c>
      <c r="P338" s="258" t="n"/>
      <c r="Q338" s="1731">
        <f>H338*2*L338*N338/O338</f>
        <v/>
      </c>
    </row>
    <row r="339" ht="18" customHeight="1">
      <c r="A339" s="396">
        <f>+A338+1</f>
        <v/>
      </c>
      <c r="B339" s="396" t="n">
        <v>642359</v>
      </c>
      <c r="C339" s="369" t="inlineStr">
        <is>
          <t>รุ่งอรุณ บำรุงเพชร</t>
        </is>
      </c>
      <c r="D339" s="369" t="inlineStr">
        <is>
          <t>ชาย</t>
        </is>
      </c>
      <c r="E339" s="369" t="inlineStr">
        <is>
          <t>รายเดือน</t>
        </is>
      </c>
      <c r="F339" s="369" t="inlineStr">
        <is>
          <t>ไทย</t>
        </is>
      </c>
      <c r="G339" s="369" t="inlineStr">
        <is>
          <t>เคหะแหลมฉบัง ม.6 ต.บางละมุง อ.ศรีราชา จ.ชลบุรี 20150</t>
        </is>
      </c>
      <c r="H339" s="396" t="n">
        <v>5</v>
      </c>
      <c r="I339" s="369" t="n"/>
      <c r="J339" s="369" t="inlineStr">
        <is>
          <t>รถจักรยานยนต์ 4 จังหวะเครื่องยนต์ขนาดเล็กกว่า 125 cc</t>
        </is>
      </c>
      <c r="K339" s="410" t="inlineStr">
        <is>
          <t>แก๊สโซฮอล์ 91</t>
        </is>
      </c>
      <c r="L339" s="396" t="n">
        <v>2</v>
      </c>
      <c r="M339" s="589" t="n"/>
      <c r="N339" s="257">
        <f>'[2]1.4 Septic'!$F$16</f>
        <v/>
      </c>
      <c r="O339" s="257">
        <f>$G$492</f>
        <v/>
      </c>
      <c r="P339" s="258" t="n"/>
      <c r="Q339" s="1731">
        <f>H339*2*L339*N339/O339</f>
        <v/>
      </c>
    </row>
    <row r="340" ht="18" customHeight="1">
      <c r="A340" s="396">
        <f>+A339+1</f>
        <v/>
      </c>
      <c r="B340" s="396" t="n">
        <v>642361</v>
      </c>
      <c r="C340" s="369" t="inlineStr">
        <is>
          <t>ชนาเมธ แก้วพรมมา</t>
        </is>
      </c>
      <c r="D340" s="369" t="inlineStr">
        <is>
          <t>ชาย</t>
        </is>
      </c>
      <c r="E340" s="369" t="inlineStr">
        <is>
          <t>รายเดือน</t>
        </is>
      </c>
      <c r="F340" s="369" t="inlineStr">
        <is>
          <t>ไทย</t>
        </is>
      </c>
      <c r="G340" s="369" t="inlineStr">
        <is>
          <t>153/2 ม.3 ต.บ้านฉาง อ.บ้านฉาง จ.ระยอง 21130</t>
        </is>
      </c>
      <c r="H340" s="396" t="n">
        <v>3</v>
      </c>
      <c r="I340" s="369" t="n"/>
      <c r="J340" s="369" t="inlineStr">
        <is>
          <t>รถยนต์ขนาดเล็ก (1500 cc)</t>
        </is>
      </c>
      <c r="K340" s="410" t="inlineStr">
        <is>
          <t>แก๊สโซฮอล์ 95</t>
        </is>
      </c>
      <c r="L340" s="396" t="n">
        <v>2</v>
      </c>
      <c r="M340" s="589" t="n"/>
      <c r="N340" s="257">
        <f>'[2]1.4 Septic'!$F$16</f>
        <v/>
      </c>
      <c r="O340" s="257">
        <f>$G$498</f>
        <v/>
      </c>
      <c r="P340" s="258" t="n"/>
      <c r="Q340" s="1731">
        <f>H340*2*L340*N340/O340</f>
        <v/>
      </c>
    </row>
    <row r="341" ht="18" customHeight="1">
      <c r="A341" s="396">
        <f>+A340+1</f>
        <v/>
      </c>
      <c r="B341" s="396" t="n">
        <v>642362</v>
      </c>
      <c r="C341" s="369" t="inlineStr">
        <is>
          <t>อำนวยชัย โพธิ์แจ้ง</t>
        </is>
      </c>
      <c r="D341" s="369" t="inlineStr">
        <is>
          <t>ชาย</t>
        </is>
      </c>
      <c r="E341" s="369" t="inlineStr">
        <is>
          <t>รายเดือน</t>
        </is>
      </c>
      <c r="F341" s="369" t="inlineStr">
        <is>
          <t>ไทย</t>
        </is>
      </c>
      <c r="G341" s="369" t="inlineStr">
        <is>
          <t>48/100 ม.7 ต.หนองปรือ อ.บางละมุง จ.ชลบุรี 20150</t>
        </is>
      </c>
      <c r="H341" s="396" t="n">
        <v>3</v>
      </c>
      <c r="I341" s="369" t="n"/>
      <c r="J341" s="369" t="inlineStr">
        <is>
          <t>รถจักรยานยนต์ 4 จังหวะเครื่องยนต์ขนาดเล็กกว่า 125 cc</t>
        </is>
      </c>
      <c r="K341" s="410" t="inlineStr">
        <is>
          <t>แก๊สโซฮอล์ E85</t>
        </is>
      </c>
      <c r="L341" s="396" t="n">
        <v>2</v>
      </c>
      <c r="M341" s="589" t="n"/>
      <c r="N341" s="257">
        <f>'[2]1.4 Septic'!$F$16</f>
        <v/>
      </c>
      <c r="O341" s="257">
        <f>$G$492</f>
        <v/>
      </c>
      <c r="P341" s="258" t="n"/>
      <c r="Q341" s="1731">
        <f>H341*2*L341*N341/O341</f>
        <v/>
      </c>
    </row>
    <row r="342" ht="18" customHeight="1">
      <c r="A342" s="396">
        <f>+A341+1</f>
        <v/>
      </c>
      <c r="B342" s="396" t="n">
        <v>642365</v>
      </c>
      <c r="C342" s="369" t="inlineStr">
        <is>
          <t>กัมปนาท ดอกกุหลาบ</t>
        </is>
      </c>
      <c r="D342" s="369" t="inlineStr">
        <is>
          <t>ชาย</t>
        </is>
      </c>
      <c r="E342" s="369" t="inlineStr">
        <is>
          <t>รายเดือน</t>
        </is>
      </c>
      <c r="F342" s="369" t="inlineStr">
        <is>
          <t>ไทย</t>
        </is>
      </c>
      <c r="G342" s="369" t="inlineStr">
        <is>
          <t>202/32 ม.6 ต.ทุ่งสุขลา อ.ศรีราชา จ.ชลบุรี 20230</t>
        </is>
      </c>
      <c r="H342" s="396" t="n">
        <v>9</v>
      </c>
      <c r="I342" s="369" t="n"/>
      <c r="J342" s="369" t="inlineStr">
        <is>
          <t>รถจักรยานยนต์ 4 จังหวะเครื่องยนต์ขนาด 125 cc</t>
        </is>
      </c>
      <c r="K342" s="410" t="inlineStr">
        <is>
          <t>แก๊สโซฮอล์ 95</t>
        </is>
      </c>
      <c r="L342" s="396" t="n">
        <v>1</v>
      </c>
      <c r="M342" s="589" t="n"/>
      <c r="N342" s="257">
        <f>'[2]1.4 Septic'!$F$16</f>
        <v/>
      </c>
      <c r="O342" s="257">
        <f>$G$492</f>
        <v/>
      </c>
      <c r="P342" s="258" t="n"/>
      <c r="Q342" s="1731">
        <f>H342*2*L342*N342/O342</f>
        <v/>
      </c>
    </row>
    <row r="343" ht="18" customHeight="1">
      <c r="A343" s="396">
        <f>+A342+1</f>
        <v/>
      </c>
      <c r="B343" s="396" t="n">
        <v>642371</v>
      </c>
      <c r="C343" s="369" t="inlineStr">
        <is>
          <t>กิตติพล มาตายะสี</t>
        </is>
      </c>
      <c r="D343" s="369" t="inlineStr">
        <is>
          <t>ชาย</t>
        </is>
      </c>
      <c r="E343" s="369" t="inlineStr">
        <is>
          <t>รายเดือน</t>
        </is>
      </c>
      <c r="F343" s="369" t="inlineStr">
        <is>
          <t>ไทย</t>
        </is>
      </c>
      <c r="G343" s="369" t="inlineStr">
        <is>
          <t>102/122 ม.10 ต.ทุ่งสุขลา อ.ศรีราชา จ.ชลบุรี 20230</t>
        </is>
      </c>
      <c r="H343" s="396" t="n">
        <v>6</v>
      </c>
      <c r="I343" s="369" t="n"/>
      <c r="J343" s="369" t="inlineStr">
        <is>
          <t>รถกระบะบรรทุก</t>
        </is>
      </c>
      <c r="K343" s="410" t="inlineStr">
        <is>
          <t>ดีเซล</t>
        </is>
      </c>
      <c r="L343" s="396" t="n">
        <v>1</v>
      </c>
      <c r="M343" s="589" t="n"/>
      <c r="N343" s="257">
        <f>'[2]1.4 Septic'!$F$16</f>
        <v/>
      </c>
      <c r="O343" s="257" t="n">
        <v>6.369</v>
      </c>
      <c r="P343" s="1731">
        <f>H343*2*L343*N343/O343</f>
        <v/>
      </c>
      <c r="Q343" s="258" t="n"/>
    </row>
    <row r="344" ht="18" customHeight="1">
      <c r="A344" s="396">
        <f>+A343+1</f>
        <v/>
      </c>
      <c r="B344" s="396" t="n">
        <v>642387</v>
      </c>
      <c r="C344" s="369" t="inlineStr">
        <is>
          <t>ณัฐชญา นราทอง</t>
        </is>
      </c>
      <c r="D344" s="369" t="inlineStr">
        <is>
          <t>หญิง</t>
        </is>
      </c>
      <c r="E344" s="369" t="inlineStr">
        <is>
          <t>รายเดือน</t>
        </is>
      </c>
      <c r="F344" s="369" t="inlineStr">
        <is>
          <t>ไทย</t>
        </is>
      </c>
      <c r="G344" s="369" t="inlineStr">
        <is>
          <t>289/26 ม.11 ต.หนองขาม อ.ศรีราชา จ.ชลบุรี 20230</t>
        </is>
      </c>
      <c r="H344" s="396" t="n">
        <v>5.7</v>
      </c>
      <c r="I344" s="369" t="n"/>
      <c r="J344" s="369" t="inlineStr">
        <is>
          <t>รถยนต์เฉลี่ยทุกขนาด</t>
        </is>
      </c>
      <c r="K344" s="410" t="inlineStr">
        <is>
          <t>แก๊สโซฮอล์ E20</t>
        </is>
      </c>
      <c r="L344" s="396" t="n">
        <v>1</v>
      </c>
      <c r="M344" s="589" t="n"/>
      <c r="N344" s="257">
        <f>'[2]1.4 Septic'!$F$16</f>
        <v/>
      </c>
      <c r="O344" s="257">
        <f>$G$487</f>
        <v/>
      </c>
      <c r="P344" s="258" t="n"/>
      <c r="Q344" s="1731">
        <f>H344*2*L344*N344/O344</f>
        <v/>
      </c>
    </row>
    <row r="345" ht="18" customHeight="1">
      <c r="A345" s="396">
        <f>+A344+1</f>
        <v/>
      </c>
      <c r="B345" s="396" t="n">
        <v>652388</v>
      </c>
      <c r="C345" s="369" t="inlineStr">
        <is>
          <t>ภิตินันท์ สุขใส</t>
        </is>
      </c>
      <c r="D345" s="369" t="inlineStr">
        <is>
          <t>หญิง</t>
        </is>
      </c>
      <c r="E345" s="369" t="inlineStr">
        <is>
          <t>รายเดือน</t>
        </is>
      </c>
      <c r="F345" s="369" t="inlineStr">
        <is>
          <t>ไทย</t>
        </is>
      </c>
      <c r="G345" s="369" t="inlineStr">
        <is>
          <t>24/1 ม.5 ต.ไผ่หลวง อ.ตะพานหิน จ.พิจิตร 66110</t>
        </is>
      </c>
      <c r="H345" s="396" t="n">
        <v>10</v>
      </c>
      <c r="I345" s="369" t="n"/>
      <c r="J345" s="369" t="inlineStr">
        <is>
          <t>รถจักรยานยนต์ 4 จังหวะเครื่องยนต์ขนาด 125 cc</t>
        </is>
      </c>
      <c r="K345" s="410" t="inlineStr">
        <is>
          <t>แก๊สโซฮอล์ 91</t>
        </is>
      </c>
      <c r="L345" s="396" t="n">
        <v>1</v>
      </c>
      <c r="M345" s="589" t="n"/>
      <c r="N345" s="257">
        <f>'[2]1.4 Septic'!$F$16</f>
        <v/>
      </c>
      <c r="O345" s="257">
        <f>$G$492</f>
        <v/>
      </c>
      <c r="P345" s="258" t="n"/>
      <c r="Q345" s="1731">
        <f>H345*2*L345*N345/O345</f>
        <v/>
      </c>
    </row>
    <row r="346" ht="18" customHeight="1">
      <c r="A346" s="396">
        <f>+A345+1</f>
        <v/>
      </c>
      <c r="B346" s="396" t="n">
        <v>652396</v>
      </c>
      <c r="C346" s="369" t="inlineStr">
        <is>
          <t>ชัยพิชิต ทองดี</t>
        </is>
      </c>
      <c r="D346" s="369" t="inlineStr">
        <is>
          <t>ชาย</t>
        </is>
      </c>
      <c r="E346" s="369" t="inlineStr">
        <is>
          <t>รายเดือน</t>
        </is>
      </c>
      <c r="F346" s="369" t="inlineStr">
        <is>
          <t>ไทย</t>
        </is>
      </c>
      <c r="G346" s="369" t="inlineStr">
        <is>
          <t>116/32 ม.8 ต.บางละมุง อ.บางละมุง  จ.ชลบุรี 20150</t>
        </is>
      </c>
      <c r="H346" s="396" t="n">
        <v>7</v>
      </c>
      <c r="I346" s="369" t="n"/>
      <c r="J346" s="369" t="inlineStr">
        <is>
          <t>รถจักรยานยนต์ 4 จังหวะเครื่องยนต์ขนาดเล็กกว่า 125 cc</t>
        </is>
      </c>
      <c r="K346" s="410" t="inlineStr">
        <is>
          <t>แก๊สโซฮอล์ 95</t>
        </is>
      </c>
      <c r="L346" s="396" t="n">
        <v>2</v>
      </c>
      <c r="M346" s="589" t="n"/>
      <c r="N346" s="257">
        <f>'[2]1.4 Septic'!$F$16</f>
        <v/>
      </c>
      <c r="O346" s="257">
        <f>$G$492</f>
        <v/>
      </c>
      <c r="P346" s="258" t="n"/>
      <c r="Q346" s="1731">
        <f>H346*2*L346*N346/O346</f>
        <v/>
      </c>
    </row>
    <row r="347" ht="18" customHeight="1">
      <c r="A347" s="396">
        <f>+A346+1</f>
        <v/>
      </c>
      <c r="B347" s="396" t="n">
        <v>652401</v>
      </c>
      <c r="C347" s="369" t="inlineStr">
        <is>
          <t>อนุสรณ์ เสาร์ศรี</t>
        </is>
      </c>
      <c r="D347" s="369" t="inlineStr">
        <is>
          <t>ชาย</t>
        </is>
      </c>
      <c r="E347" s="369" t="inlineStr">
        <is>
          <t>รายเดือน</t>
        </is>
      </c>
      <c r="F347" s="369" t="inlineStr">
        <is>
          <t>ไทย</t>
        </is>
      </c>
      <c r="G347" s="367" t="inlineStr">
        <is>
          <t>การเคหะแหลมฉบัง  ม.6 ต.บางละมุง อ.บางละมุง จ.ชลบุรี 20150</t>
        </is>
      </c>
      <c r="H347" s="396" t="n">
        <v>9</v>
      </c>
      <c r="I347" s="369" t="n"/>
      <c r="J347" s="369" t="inlineStr">
        <is>
          <t>รถกระบะบรรทุก</t>
        </is>
      </c>
      <c r="K347" s="410" t="inlineStr">
        <is>
          <t>ดีเซล</t>
        </is>
      </c>
      <c r="L347" s="396" t="n">
        <v>1</v>
      </c>
      <c r="M347" s="589" t="n"/>
      <c r="N347" s="257">
        <f>'[2]1.4 Septic'!$F$16</f>
        <v/>
      </c>
      <c r="O347" s="257" t="n">
        <v>6.369</v>
      </c>
      <c r="P347" s="1731">
        <f>H347*2*L347*N347/O347</f>
        <v/>
      </c>
      <c r="Q347" s="258" t="n"/>
    </row>
    <row r="348" ht="18" customHeight="1">
      <c r="A348" s="396">
        <f>+A347+1</f>
        <v/>
      </c>
      <c r="B348" s="396" t="n">
        <v>652403</v>
      </c>
      <c r="C348" s="369" t="inlineStr">
        <is>
          <t>นริศรา พุ่มแก้ว</t>
        </is>
      </c>
      <c r="D348" s="369" t="inlineStr">
        <is>
          <t>หญิง</t>
        </is>
      </c>
      <c r="E348" s="369" t="inlineStr">
        <is>
          <t>รายเดือน</t>
        </is>
      </c>
      <c r="F348" s="369" t="inlineStr">
        <is>
          <t>ไทย</t>
        </is>
      </c>
      <c r="G348" s="369" t="inlineStr">
        <is>
          <t>44/5 หมู่ 2 ต.บางเสร่ อ.สัตหีบ จ.ชลบุรี 20250</t>
        </is>
      </c>
      <c r="H348" s="396" t="n">
        <v>16</v>
      </c>
      <c r="I348" s="369" t="n"/>
      <c r="J348" s="369" t="inlineStr">
        <is>
          <t>รถยนต์ขนาดเล็ก (1500 cc)</t>
        </is>
      </c>
      <c r="K348" s="410" t="inlineStr">
        <is>
          <t>แก๊สโซฮอล์ 91</t>
        </is>
      </c>
      <c r="L348" s="396" t="n">
        <v>1</v>
      </c>
      <c r="M348" s="589" t="n"/>
      <c r="N348" s="257">
        <f>'[2]1.4 Septic'!$F$16</f>
        <v/>
      </c>
      <c r="O348" s="257">
        <f>$G$498</f>
        <v/>
      </c>
      <c r="P348" s="258" t="n"/>
      <c r="Q348" s="1731">
        <f>H348*2*L348*N348/O348</f>
        <v/>
      </c>
    </row>
    <row r="349" ht="18" customHeight="1">
      <c r="A349" s="396">
        <f>+A348+1</f>
        <v/>
      </c>
      <c r="B349" s="396" t="n">
        <v>652411</v>
      </c>
      <c r="C349" s="369" t="inlineStr">
        <is>
          <t>ปอแก้ว มณีวงษ์</t>
        </is>
      </c>
      <c r="D349" s="369" t="inlineStr">
        <is>
          <t>หญิง</t>
        </is>
      </c>
      <c r="E349" s="369" t="inlineStr">
        <is>
          <t>รายเดือน</t>
        </is>
      </c>
      <c r="F349" s="369" t="inlineStr">
        <is>
          <t>ไทย</t>
        </is>
      </c>
      <c r="G349" s="369" t="inlineStr">
        <is>
          <t>133/51 ม.5 ต.บึง อ.ศรีราชา จ.ชลบุรี 20230</t>
        </is>
      </c>
      <c r="H349" s="396" t="n">
        <v>13</v>
      </c>
      <c r="I349" s="369" t="n"/>
      <c r="J349" s="369" t="inlineStr">
        <is>
          <t>รถจักรยานยนต์ 4 จังหวะเครื่องยนต์ขนาดเล็กกว่า 125 cc</t>
        </is>
      </c>
      <c r="K349" s="410" t="inlineStr">
        <is>
          <t>แก๊สโซฮอล์ 91</t>
        </is>
      </c>
      <c r="L349" s="396" t="n">
        <v>1</v>
      </c>
      <c r="M349" s="589" t="n"/>
      <c r="N349" s="257">
        <f>'[2]1.4 Septic'!$F$16</f>
        <v/>
      </c>
      <c r="O349" s="257">
        <f>$G$492</f>
        <v/>
      </c>
      <c r="P349" s="258" t="n"/>
      <c r="Q349" s="1731">
        <f>H349*2*L349*N349/O349</f>
        <v/>
      </c>
    </row>
    <row r="350" ht="18" customHeight="1">
      <c r="A350" s="396">
        <f>+A349+1</f>
        <v/>
      </c>
      <c r="B350" s="396" t="n">
        <v>652413</v>
      </c>
      <c r="C350" s="369" t="inlineStr">
        <is>
          <t>ณัฐพงษ์ เลี่ยมวิลัย</t>
        </is>
      </c>
      <c r="D350" s="369" t="inlineStr">
        <is>
          <t>ชาย</t>
        </is>
      </c>
      <c r="E350" s="369" t="inlineStr">
        <is>
          <t>รายเดือน</t>
        </is>
      </c>
      <c r="F350" s="369" t="inlineStr">
        <is>
          <t>ไทย</t>
        </is>
      </c>
      <c r="G350" s="369" t="inlineStr">
        <is>
          <t>222/95 ม.6 ต.ทุ่งสุขลา อ.ศรีราชา จ.ชลบุรี 20230</t>
        </is>
      </c>
      <c r="H350" s="396" t="n">
        <v>5</v>
      </c>
      <c r="I350" s="369" t="n"/>
      <c r="J350" s="369" t="inlineStr">
        <is>
          <t>รถจักรยานยนต์ 2 จังหวะเครื่องยนต์ขนาด 150cc</t>
        </is>
      </c>
      <c r="K350" s="410" t="inlineStr">
        <is>
          <t>แก๊สโซฮอล์ 95</t>
        </is>
      </c>
      <c r="L350" s="396" t="n">
        <v>1</v>
      </c>
      <c r="M350" s="589" t="n"/>
      <c r="N350" s="257">
        <f>'[2]1.4 Septic'!$F$16</f>
        <v/>
      </c>
      <c r="O350" s="1754">
        <f>$G$491</f>
        <v/>
      </c>
      <c r="P350" s="258" t="n"/>
      <c r="Q350" s="1731">
        <f>H350*2*L350*N350/O350</f>
        <v/>
      </c>
    </row>
    <row r="351" ht="18" customHeight="1">
      <c r="A351" s="396">
        <f>+A350+1</f>
        <v/>
      </c>
      <c r="B351" s="396" t="n">
        <v>652429</v>
      </c>
      <c r="C351" s="369" t="inlineStr">
        <is>
          <t>สุวิช แซวประโคน</t>
        </is>
      </c>
      <c r="D351" s="369" t="inlineStr">
        <is>
          <t>ชาย</t>
        </is>
      </c>
      <c r="E351" s="369" t="inlineStr">
        <is>
          <t>รายเดือน</t>
        </is>
      </c>
      <c r="F351" s="369" t="inlineStr">
        <is>
          <t>ไทย</t>
        </is>
      </c>
      <c r="G351" s="369" t="inlineStr">
        <is>
          <t>25/41 ม.5 ต.ทุ่งสุขลา อ.ศรีราชา จ.ชลบุรี 20230</t>
        </is>
      </c>
      <c r="H351" s="396" t="n">
        <v>4</v>
      </c>
      <c r="I351" s="369" t="n"/>
      <c r="J351" s="369" t="inlineStr">
        <is>
          <t>รถจักรยานยนต์ 4 จังหวะเครื่องยนต์ขนาดเล็กกว่า 125 cc</t>
        </is>
      </c>
      <c r="K351" s="410" t="inlineStr">
        <is>
          <t>แก๊สโซฮอล์ 95</t>
        </is>
      </c>
      <c r="L351" s="396" t="n">
        <v>2</v>
      </c>
      <c r="M351" s="589" t="n"/>
      <c r="N351" s="257">
        <f>'[2]1.4 Septic'!$F$16</f>
        <v/>
      </c>
      <c r="O351" s="257">
        <f>$G$492</f>
        <v/>
      </c>
      <c r="P351" s="258" t="n"/>
      <c r="Q351" s="1731">
        <f>H351*2*L351*N351/O351</f>
        <v/>
      </c>
    </row>
    <row r="352" ht="18" customHeight="1">
      <c r="A352" s="396">
        <f>+A351+1</f>
        <v/>
      </c>
      <c r="B352" s="396" t="n">
        <v>652430</v>
      </c>
      <c r="C352" s="369" t="inlineStr">
        <is>
          <t>พงษ์สิทธิ์ สาตร์นอก</t>
        </is>
      </c>
      <c r="D352" s="369" t="inlineStr">
        <is>
          <t>ชาย</t>
        </is>
      </c>
      <c r="E352" s="369" t="inlineStr">
        <is>
          <t>รายเดือน</t>
        </is>
      </c>
      <c r="F352" s="369" t="inlineStr">
        <is>
          <t>ไทย</t>
        </is>
      </c>
      <c r="G352" s="367" t="inlineStr">
        <is>
          <t>การเคหะแหลมฉบัง  ม.6 ต.บางละมุง อ.บางละมุง จ.ชลบุรี</t>
        </is>
      </c>
      <c r="H352" s="396" t="n">
        <v>20</v>
      </c>
      <c r="I352" s="369" t="n"/>
      <c r="J352" s="369" t="inlineStr">
        <is>
          <t>รถจักรยานยนต์ 4 จังหวะเครื่องยนต์ขนาดเล็กกว่า 125 cc</t>
        </is>
      </c>
      <c r="K352" s="410" t="inlineStr">
        <is>
          <t>แก๊สโซฮอล์ 91</t>
        </is>
      </c>
      <c r="L352" s="396" t="n">
        <v>1</v>
      </c>
      <c r="M352" s="589" t="n"/>
      <c r="N352" s="257">
        <f>'[2]1.4 Septic'!$F$16</f>
        <v/>
      </c>
      <c r="O352" s="257">
        <f>$G$492</f>
        <v/>
      </c>
      <c r="P352" s="258" t="n"/>
      <c r="Q352" s="1731">
        <f>H352*2*L352*N352/O352</f>
        <v/>
      </c>
    </row>
    <row r="353" ht="18" customHeight="1">
      <c r="A353" s="396">
        <f>+A352+1</f>
        <v/>
      </c>
      <c r="B353" s="396" t="n">
        <v>652434</v>
      </c>
      <c r="C353" s="369" t="inlineStr">
        <is>
          <t>จักรกฤช วัฒยุ</t>
        </is>
      </c>
      <c r="D353" s="369" t="inlineStr">
        <is>
          <t>ชาย</t>
        </is>
      </c>
      <c r="E353" s="369" t="inlineStr">
        <is>
          <t>รายเดือน</t>
        </is>
      </c>
      <c r="F353" s="369" t="inlineStr">
        <is>
          <t>ไทย</t>
        </is>
      </c>
      <c r="G353" s="369" t="inlineStr">
        <is>
          <t>117/105 ม.การ์เด้นโฮม2 ต.บางละมุง อ.บางละมุง จ.ชลบุรี 20150</t>
        </is>
      </c>
      <c r="H353" s="396" t="n">
        <v>6</v>
      </c>
      <c r="I353" s="369" t="n"/>
      <c r="J353" s="369" t="inlineStr">
        <is>
          <t>รถจักรยานยนต์ 2 จังหวะเครื่องยนต์ขนาด 150cc</t>
        </is>
      </c>
      <c r="K353" s="410" t="inlineStr">
        <is>
          <t>แก๊สโซฮอล์ 91</t>
        </is>
      </c>
      <c r="L353" s="396" t="n">
        <v>1</v>
      </c>
      <c r="M353" s="589" t="n"/>
      <c r="N353" s="257">
        <f>'[2]1.4 Septic'!$F$16</f>
        <v/>
      </c>
      <c r="O353" s="1754">
        <f>$G$491</f>
        <v/>
      </c>
      <c r="P353" s="258" t="n"/>
      <c r="Q353" s="1731">
        <f>H353*2*L353*N353/O353</f>
        <v/>
      </c>
    </row>
    <row r="354" ht="18" customHeight="1">
      <c r="A354" s="396">
        <f>+A353+1</f>
        <v/>
      </c>
      <c r="B354" s="396" t="n">
        <v>652435</v>
      </c>
      <c r="C354" s="369" t="inlineStr">
        <is>
          <t>นราธิป เศษสุวรรณ์</t>
        </is>
      </c>
      <c r="D354" s="369" t="inlineStr">
        <is>
          <t>ชาย</t>
        </is>
      </c>
      <c r="E354" s="369" t="inlineStr">
        <is>
          <t>รายเดือน</t>
        </is>
      </c>
      <c r="F354" s="369" t="inlineStr">
        <is>
          <t>ไทย</t>
        </is>
      </c>
      <c r="G354" s="369" t="inlineStr">
        <is>
          <t>62/53 ม.10 ต.ทุ่งสุขลา อ.ศรีราชา จ.ชลบุรี 20230</t>
        </is>
      </c>
      <c r="H354" s="396" t="n">
        <v>2</v>
      </c>
      <c r="I354" s="369" t="n"/>
      <c r="J354" s="369" t="inlineStr">
        <is>
          <t>รถจักรยานยนต์ 4 จังหวะเครื่องยนต์ขนาด 125 cc</t>
        </is>
      </c>
      <c r="K354" s="410" t="inlineStr">
        <is>
          <t>แก๊สโซฮอล์ 91</t>
        </is>
      </c>
      <c r="L354" s="396" t="n">
        <v>1</v>
      </c>
      <c r="M354" s="589" t="n"/>
      <c r="N354" s="257">
        <f>'[2]1.4 Septic'!$F$16</f>
        <v/>
      </c>
      <c r="O354" s="257">
        <f>$G$492</f>
        <v/>
      </c>
      <c r="P354" s="258" t="n"/>
      <c r="Q354" s="1731">
        <f>H354*2*L354*N354/O354</f>
        <v/>
      </c>
    </row>
    <row r="355" ht="18" customHeight="1">
      <c r="A355" s="396">
        <f>+A354+1</f>
        <v/>
      </c>
      <c r="B355" s="396" t="n">
        <v>652439</v>
      </c>
      <c r="C355" s="369" t="inlineStr">
        <is>
          <t>ทัศนัย ทับพิลา</t>
        </is>
      </c>
      <c r="D355" s="369" t="inlineStr">
        <is>
          <t>ชาย</t>
        </is>
      </c>
      <c r="E355" s="369" t="inlineStr">
        <is>
          <t>รายเดือน</t>
        </is>
      </c>
      <c r="F355" s="369" t="inlineStr">
        <is>
          <t>ไทย</t>
        </is>
      </c>
      <c r="G355" s="369" t="inlineStr">
        <is>
          <t>219/110 ต.บางละมุง อ.บางละมุง จ.ชลบุรี 20150</t>
        </is>
      </c>
      <c r="H355" s="396" t="n">
        <v>5</v>
      </c>
      <c r="I355" s="369" t="n"/>
      <c r="J355" s="369" t="inlineStr">
        <is>
          <t>รถจักรยานยนต์ 4 จังหวะเครื่องยนต์ขนาด 125 cc</t>
        </is>
      </c>
      <c r="K355" s="410" t="inlineStr">
        <is>
          <t>แก๊สโซฮอล์ 91</t>
        </is>
      </c>
      <c r="L355" s="396" t="n">
        <v>2</v>
      </c>
      <c r="M355" s="589" t="n"/>
      <c r="N355" s="257">
        <f>'[2]1.4 Septic'!$F$16</f>
        <v/>
      </c>
      <c r="O355" s="257">
        <f>$G$492</f>
        <v/>
      </c>
      <c r="P355" s="258" t="n"/>
      <c r="Q355" s="1731">
        <f>H355*2*L355*N355/O355</f>
        <v/>
      </c>
    </row>
    <row r="356" ht="18" customHeight="1">
      <c r="A356" s="396">
        <f>+A355+1</f>
        <v/>
      </c>
      <c r="B356" s="396" t="n">
        <v>652442</v>
      </c>
      <c r="C356" s="369" t="inlineStr">
        <is>
          <t>กิตติธัช พรมเทศ</t>
        </is>
      </c>
      <c r="D356" s="369" t="inlineStr">
        <is>
          <t>ชาย</t>
        </is>
      </c>
      <c r="E356" s="369" t="inlineStr">
        <is>
          <t>รายเดือน</t>
        </is>
      </c>
      <c r="F356" s="369" t="inlineStr">
        <is>
          <t>ไทย</t>
        </is>
      </c>
      <c r="G356" s="369" t="inlineStr">
        <is>
          <t>226/02 ม.6 ต.บางละมุง อ.บางละมุง จ.ชลบุรี 20150</t>
        </is>
      </c>
      <c r="H356" s="396" t="n">
        <v>6</v>
      </c>
      <c r="I356" s="369" t="n"/>
      <c r="J356" s="369" t="inlineStr">
        <is>
          <t>รถจักรยานยนต์ 4 จังหวะเครื่องยนต์ขนาดเล็กกว่า 125 cc</t>
        </is>
      </c>
      <c r="K356" s="410" t="inlineStr">
        <is>
          <t>แก๊สโซฮอล์ 91</t>
        </is>
      </c>
      <c r="L356" s="396" t="n">
        <v>1</v>
      </c>
      <c r="M356" s="589" t="n"/>
      <c r="N356" s="257">
        <f>'[2]1.4 Septic'!$F$16</f>
        <v/>
      </c>
      <c r="O356" s="257">
        <f>$G$492</f>
        <v/>
      </c>
      <c r="P356" s="258" t="n"/>
      <c r="Q356" s="1731">
        <f>H356*2*L356*N356/O356</f>
        <v/>
      </c>
    </row>
    <row r="357" ht="18" customHeight="1">
      <c r="A357" s="396">
        <f>+A356+1</f>
        <v/>
      </c>
      <c r="B357" s="396" t="n">
        <v>652447</v>
      </c>
      <c r="C357" s="369" t="inlineStr">
        <is>
          <t>นิลาวรรณ บัพตาธิ</t>
        </is>
      </c>
      <c r="D357" s="369" t="inlineStr">
        <is>
          <t>หญิง</t>
        </is>
      </c>
      <c r="E357" s="369" t="inlineStr">
        <is>
          <t>รายเดือน</t>
        </is>
      </c>
      <c r="F357" s="369" t="inlineStr">
        <is>
          <t>ไทย</t>
        </is>
      </c>
      <c r="G357" s="367" t="inlineStr">
        <is>
          <t>การเคหะแหลมฉบัง  ม.6 ต.บางละมุง อ.บางละมุง จ.ชลบุรี</t>
        </is>
      </c>
      <c r="H357" s="396" t="n">
        <v>7</v>
      </c>
      <c r="I357" s="369" t="n"/>
      <c r="J357" s="369" t="inlineStr">
        <is>
          <t>รถจักรยานยนต์ 4 จังหวะเครื่องยนต์ขนาด 125 cc</t>
        </is>
      </c>
      <c r="K357" s="410" t="inlineStr">
        <is>
          <t>แก๊สโซฮอล์ 91</t>
        </is>
      </c>
      <c r="L357" s="396" t="n">
        <v>1</v>
      </c>
      <c r="M357" s="589" t="n"/>
      <c r="N357" s="257">
        <f>'[2]1.4 Septic'!$F$16</f>
        <v/>
      </c>
      <c r="O357" s="257">
        <f>$G$492</f>
        <v/>
      </c>
      <c r="P357" s="258" t="n"/>
      <c r="Q357" s="1731">
        <f>H357*2*L357*N357/O357</f>
        <v/>
      </c>
    </row>
    <row r="358" ht="18" customHeight="1">
      <c r="A358" s="396">
        <f>+A357+1</f>
        <v/>
      </c>
      <c r="B358" s="396" t="n">
        <v>652448</v>
      </c>
      <c r="C358" s="369" t="inlineStr">
        <is>
          <t>พิมพ์ชนก ม้วนกลาง</t>
        </is>
      </c>
      <c r="D358" s="369" t="inlineStr">
        <is>
          <t>หญิง</t>
        </is>
      </c>
      <c r="E358" s="369" t="inlineStr">
        <is>
          <t>รายเดือน</t>
        </is>
      </c>
      <c r="F358" s="369" t="inlineStr">
        <is>
          <t>ไทย</t>
        </is>
      </c>
      <c r="G358" s="369" t="inlineStr">
        <is>
          <t>59/21 ม.10 ต.ทุ่งสุขลา อ.ศรีราชา จ.ชลบุรี 20230</t>
        </is>
      </c>
      <c r="H358" s="396" t="n">
        <v>6</v>
      </c>
      <c r="I358" s="369" t="n"/>
      <c r="J358" s="369" t="inlineStr">
        <is>
          <t>รถจักรยานยนต์ 4 จังหวะเครื่องยนต์ขนาด 125 cc</t>
        </is>
      </c>
      <c r="K358" s="410" t="inlineStr">
        <is>
          <t>แก๊สโซฮอล์ 91</t>
        </is>
      </c>
      <c r="L358" s="396" t="n">
        <v>1</v>
      </c>
      <c r="M358" s="589" t="n"/>
      <c r="N358" s="257">
        <f>'[2]1.4 Septic'!$F$16</f>
        <v/>
      </c>
      <c r="O358" s="257">
        <f>$G$492</f>
        <v/>
      </c>
      <c r="P358" s="258" t="n"/>
      <c r="Q358" s="1731">
        <f>H358*2*L358*N358/O358</f>
        <v/>
      </c>
    </row>
    <row r="359" ht="18" customHeight="1">
      <c r="A359" s="396">
        <f>+A358+1</f>
        <v/>
      </c>
      <c r="B359" s="396" t="n">
        <v>652449</v>
      </c>
      <c r="C359" s="369" t="inlineStr">
        <is>
          <t>ปดาพร พลศักดิ์ขวา</t>
        </is>
      </c>
      <c r="D359" s="369" t="inlineStr">
        <is>
          <t>หญิง</t>
        </is>
      </c>
      <c r="E359" s="369" t="inlineStr">
        <is>
          <t>รายเดือน</t>
        </is>
      </c>
      <c r="F359" s="369" t="inlineStr">
        <is>
          <t>ไทย</t>
        </is>
      </c>
      <c r="G359" s="369" t="inlineStr">
        <is>
          <t>24/10 ม.5 ต.ทุ่งสุขลา อ.ศรีราชา จ.ชลบุรี 20230</t>
        </is>
      </c>
      <c r="H359" s="396" t="n">
        <v>8</v>
      </c>
      <c r="I359" s="369" t="n"/>
      <c r="J359" s="369" t="inlineStr">
        <is>
          <t>รถจักรยานยนต์ 4 จังหวะเครื่องยนต์ขนาดเล็กกว่า 125 cc</t>
        </is>
      </c>
      <c r="K359" s="410" t="inlineStr">
        <is>
          <t>แก๊สโซฮอล์ 95</t>
        </is>
      </c>
      <c r="L359" s="396" t="n">
        <v>1</v>
      </c>
      <c r="M359" s="589" t="n"/>
      <c r="N359" s="257">
        <f>'[2]1.4 Septic'!$F$16</f>
        <v/>
      </c>
      <c r="O359" s="257">
        <f>$G$492</f>
        <v/>
      </c>
      <c r="P359" s="258" t="n"/>
      <c r="Q359" s="1731">
        <f>H359*2*L359*N359/O359</f>
        <v/>
      </c>
    </row>
    <row r="360" ht="18" customHeight="1">
      <c r="A360" s="396">
        <f>+A359+1</f>
        <v/>
      </c>
      <c r="B360" s="396" t="n">
        <v>652452</v>
      </c>
      <c r="C360" s="369" t="inlineStr">
        <is>
          <t>นาวิน สลาประโคน</t>
        </is>
      </c>
      <c r="D360" s="369" t="inlineStr">
        <is>
          <t>ชาย</t>
        </is>
      </c>
      <c r="E360" s="369" t="inlineStr">
        <is>
          <t>รายเดือน</t>
        </is>
      </c>
      <c r="F360" s="369" t="inlineStr">
        <is>
          <t>ไทย</t>
        </is>
      </c>
      <c r="G360" s="369" t="inlineStr">
        <is>
          <t>68/24 ม.10 ต.ทุ่งสุขลา อ.ศรีราชา จ.ชลบุรี 20230</t>
        </is>
      </c>
      <c r="H360" s="396" t="n">
        <v>10</v>
      </c>
      <c r="I360" s="369" t="n"/>
      <c r="J360" s="369" t="inlineStr">
        <is>
          <t>รถกระบะบรรทุก</t>
        </is>
      </c>
      <c r="K360" s="410" t="inlineStr">
        <is>
          <t>ดีเซล</t>
        </is>
      </c>
      <c r="L360" s="396" t="n">
        <v>1</v>
      </c>
      <c r="M360" s="589" t="n"/>
      <c r="N360" s="257">
        <f>'[2]1.4 Septic'!$F$16</f>
        <v/>
      </c>
      <c r="O360" s="257" t="n">
        <v>6.369</v>
      </c>
      <c r="P360" s="1731">
        <f>H360*2*L360*N360/O360</f>
        <v/>
      </c>
      <c r="Q360" s="258" t="n"/>
    </row>
    <row r="361" ht="18" customHeight="1">
      <c r="A361" s="396">
        <f>+A360+1</f>
        <v/>
      </c>
      <c r="B361" s="396" t="n">
        <v>652457</v>
      </c>
      <c r="C361" s="369" t="inlineStr">
        <is>
          <t>ดารารัตน์ อัครชาติ</t>
        </is>
      </c>
      <c r="D361" s="369" t="inlineStr">
        <is>
          <t>หญิง</t>
        </is>
      </c>
      <c r="E361" s="369" t="inlineStr">
        <is>
          <t>รายเดือน</t>
        </is>
      </c>
      <c r="F361" s="369" t="inlineStr">
        <is>
          <t>ไทย</t>
        </is>
      </c>
      <c r="G361" s="369" t="inlineStr">
        <is>
          <t>71/148 ม.11 ต.ทุ่งสุขลา อ.ศรีราชา จ.ชลบุรี 20230</t>
        </is>
      </c>
      <c r="H361" s="396" t="n">
        <v>5</v>
      </c>
      <c r="I361" s="369" t="n"/>
      <c r="J361" s="369" t="inlineStr">
        <is>
          <t>รถจักรยานยนต์ 4 จังหวะเครื่องยนต์ขนาด 125 cc</t>
        </is>
      </c>
      <c r="K361" s="410" t="inlineStr">
        <is>
          <t>แก๊สโซฮอล์ 95</t>
        </is>
      </c>
      <c r="L361" s="396" t="n">
        <v>1</v>
      </c>
      <c r="M361" s="589" t="n"/>
      <c r="N361" s="257">
        <f>'[2]1.4 Septic'!$F$16</f>
        <v/>
      </c>
      <c r="O361" s="257">
        <f>$G$492</f>
        <v/>
      </c>
      <c r="P361" s="258" t="n"/>
      <c r="Q361" s="1731">
        <f>H361*2*L361*N361/O361</f>
        <v/>
      </c>
    </row>
    <row r="362" ht="18" customHeight="1">
      <c r="A362" s="396">
        <f>+A361+1</f>
        <v/>
      </c>
      <c r="B362" s="396" t="n">
        <v>652458</v>
      </c>
      <c r="C362" s="369" t="inlineStr">
        <is>
          <t>ประชุมขวัญ บรรทับ</t>
        </is>
      </c>
      <c r="D362" s="369" t="inlineStr">
        <is>
          <t>หญิง</t>
        </is>
      </c>
      <c r="E362" s="369" t="inlineStr">
        <is>
          <t>รายเดือน</t>
        </is>
      </c>
      <c r="F362" s="369" t="inlineStr">
        <is>
          <t>ไทย</t>
        </is>
      </c>
      <c r="G362" s="369" t="inlineStr">
        <is>
          <t>101/176 ม.10 ต.บึง อ.ศรีราชา จ.ชลบุรี 20230</t>
        </is>
      </c>
      <c r="H362" s="396" t="n">
        <v>5</v>
      </c>
      <c r="I362" s="369" t="n"/>
      <c r="J362" s="369" t="inlineStr">
        <is>
          <t>รถจักรยานยนต์ 4 จังหวะเครื่องยนต์ขนาด 125 cc</t>
        </is>
      </c>
      <c r="K362" s="410" t="inlineStr">
        <is>
          <t>แก๊สโซฮอล์ 91</t>
        </is>
      </c>
      <c r="L362" s="396" t="n">
        <v>1</v>
      </c>
      <c r="M362" s="589" t="n"/>
      <c r="N362" s="257">
        <f>'[2]1.4 Septic'!$F$16</f>
        <v/>
      </c>
      <c r="O362" s="257">
        <f>$G$492</f>
        <v/>
      </c>
      <c r="P362" s="258" t="n"/>
      <c r="Q362" s="1731">
        <f>H362*2*L362*N362/O362</f>
        <v/>
      </c>
    </row>
    <row r="363" ht="18" customHeight="1">
      <c r="A363" s="396">
        <f>+A362+1</f>
        <v/>
      </c>
      <c r="B363" s="396" t="n">
        <v>652460</v>
      </c>
      <c r="C363" s="369" t="inlineStr">
        <is>
          <t>จรรยา จวงจันทร์</t>
        </is>
      </c>
      <c r="D363" s="369" t="inlineStr">
        <is>
          <t>หญิง</t>
        </is>
      </c>
      <c r="E363" s="369" t="inlineStr">
        <is>
          <t>รายเดือน</t>
        </is>
      </c>
      <c r="F363" s="369" t="inlineStr">
        <is>
          <t>ไทย</t>
        </is>
      </c>
      <c r="G363" s="369" t="inlineStr">
        <is>
          <t>102/124 ม.10 ต.ทุ่งสุขลา อ.สรีราชา จ.ชลบุรี 20230</t>
        </is>
      </c>
      <c r="H363" s="396" t="n">
        <v>3</v>
      </c>
      <c r="I363" s="369" t="n"/>
      <c r="J363" s="369" t="inlineStr">
        <is>
          <t>รถจักรยานยนต์ 4 จังหวะเครื่องยนต์ขนาดเล็กกว่า 125 cc</t>
        </is>
      </c>
      <c r="K363" s="410" t="inlineStr">
        <is>
          <t>แก๊สโซฮอล์ 95</t>
        </is>
      </c>
      <c r="L363" s="396" t="n">
        <v>1</v>
      </c>
      <c r="M363" s="589" t="n"/>
      <c r="N363" s="257">
        <f>'[2]1.4 Septic'!$F$16</f>
        <v/>
      </c>
      <c r="O363" s="257">
        <f>$G$492</f>
        <v/>
      </c>
      <c r="P363" s="258" t="n"/>
      <c r="Q363" s="1731">
        <f>H363*2*L363*N363/O363</f>
        <v/>
      </c>
    </row>
    <row r="364" ht="18" customHeight="1">
      <c r="A364" s="396">
        <f>+A363+1</f>
        <v/>
      </c>
      <c r="B364" s="396" t="n">
        <v>652463</v>
      </c>
      <c r="C364" s="369" t="inlineStr">
        <is>
          <t>นงนุช งามกิ่ง</t>
        </is>
      </c>
      <c r="D364" s="369" t="inlineStr">
        <is>
          <t>หญิง</t>
        </is>
      </c>
      <c r="E364" s="369" t="inlineStr">
        <is>
          <t>รายเดือน</t>
        </is>
      </c>
      <c r="F364" s="369" t="inlineStr">
        <is>
          <t>ไทย</t>
        </is>
      </c>
      <c r="G364" s="369" t="inlineStr">
        <is>
          <t xml:space="preserve">55/42 หมู่ 10 ต.ทุ่งสุขลา อ. จ. </t>
        </is>
      </c>
      <c r="H364" s="396" t="n">
        <v>7</v>
      </c>
      <c r="I364" s="369" t="n"/>
      <c r="J364" s="369" t="inlineStr">
        <is>
          <t>รถจักรยานยนต์ 4 จังหวะเครื่องยนต์ขนาดเล็กกว่า 125 cc</t>
        </is>
      </c>
      <c r="K364" s="410" t="inlineStr">
        <is>
          <t>แก๊สโซฮอล์ 95</t>
        </is>
      </c>
      <c r="L364" s="396" t="n">
        <v>1</v>
      </c>
      <c r="M364" s="589" t="n"/>
      <c r="N364" s="257">
        <f>'[2]1.4 Septic'!$F$16</f>
        <v/>
      </c>
      <c r="O364" s="257">
        <f>$G$492</f>
        <v/>
      </c>
      <c r="P364" s="258" t="n"/>
      <c r="Q364" s="1731">
        <f>H364*2*L364*N364/O364</f>
        <v/>
      </c>
    </row>
    <row r="365" ht="18" customHeight="1">
      <c r="A365" s="396">
        <f>+A364+1</f>
        <v/>
      </c>
      <c r="B365" s="396" t="n">
        <v>652465</v>
      </c>
      <c r="C365" s="369" t="inlineStr">
        <is>
          <t>แสงเดือน อินทร์สำราญ</t>
        </is>
      </c>
      <c r="D365" s="369" t="inlineStr">
        <is>
          <t>หญิง</t>
        </is>
      </c>
      <c r="E365" s="369" t="inlineStr">
        <is>
          <t>รายเดือน</t>
        </is>
      </c>
      <c r="F365" s="369" t="inlineStr">
        <is>
          <t>ไทย</t>
        </is>
      </c>
      <c r="G365" s="369" t="inlineStr">
        <is>
          <t>55/11 ม.10 ต.ทุ่งสุขลา อ.ศรีราชา จ.ชลบุรี 20230</t>
        </is>
      </c>
      <c r="H365" s="396" t="n">
        <v>3</v>
      </c>
      <c r="I365" s="369" t="n"/>
      <c r="J365" s="369" t="inlineStr">
        <is>
          <t>รถจักรยานยนต์ 4 จังหวะเครื่องยนต์ขนาดเล็กกว่า 125 cc</t>
        </is>
      </c>
      <c r="K365" s="410" t="inlineStr">
        <is>
          <t>แก๊สโซฮอล์ 91</t>
        </is>
      </c>
      <c r="L365" s="396" t="n">
        <v>1</v>
      </c>
      <c r="M365" s="589" t="n"/>
      <c r="N365" s="257">
        <f>'[2]1.4 Septic'!$F$16</f>
        <v/>
      </c>
      <c r="O365" s="257">
        <f>$G$492</f>
        <v/>
      </c>
      <c r="P365" s="258" t="n"/>
      <c r="Q365" s="1731">
        <f>H365*2*L365*N365/O365</f>
        <v/>
      </c>
    </row>
    <row r="366" ht="18" customHeight="1">
      <c r="A366" s="396">
        <f>+A365+1</f>
        <v/>
      </c>
      <c r="B366" s="396" t="n">
        <v>652467</v>
      </c>
      <c r="C366" s="369" t="inlineStr">
        <is>
          <t>อรทัย คล่องชัยภูมิ</t>
        </is>
      </c>
      <c r="D366" s="369" t="inlineStr">
        <is>
          <t>หญิง</t>
        </is>
      </c>
      <c r="E366" s="369" t="inlineStr">
        <is>
          <t>รายเดือน</t>
        </is>
      </c>
      <c r="F366" s="369" t="inlineStr">
        <is>
          <t>ไทย</t>
        </is>
      </c>
      <c r="G366" s="369" t="inlineStr">
        <is>
          <t>121/48 หมู่ 9 ต.ทุ่งสุขลา อ.ศรีราชา จ.ชลบุรี 20230</t>
        </is>
      </c>
      <c r="H366" s="396" t="n">
        <v>6</v>
      </c>
      <c r="I366" s="369" t="n"/>
      <c r="J366" s="369" t="inlineStr">
        <is>
          <t>รถจักรยานยนต์ 4 จังหวะเครื่องยนต์ขนาดเล็กกว่า 125 cc</t>
        </is>
      </c>
      <c r="K366" s="410" t="inlineStr">
        <is>
          <t>แก๊สโซฮอล์ 95</t>
        </is>
      </c>
      <c r="L366" s="396" t="n">
        <v>1</v>
      </c>
      <c r="M366" s="589" t="n"/>
      <c r="N366" s="257">
        <f>'[2]1.4 Septic'!$F$16</f>
        <v/>
      </c>
      <c r="O366" s="257">
        <f>$G$492</f>
        <v/>
      </c>
      <c r="P366" s="258" t="n"/>
      <c r="Q366" s="1731">
        <f>H366*2*L366*N366/O366</f>
        <v/>
      </c>
    </row>
    <row r="367" ht="18" customHeight="1">
      <c r="A367" s="396">
        <f>+A366+1</f>
        <v/>
      </c>
      <c r="B367" s="396" t="n">
        <v>652472</v>
      </c>
      <c r="C367" s="369" t="inlineStr">
        <is>
          <t>กฤษฎา เพ็งพินิจ</t>
        </is>
      </c>
      <c r="D367" s="369" t="inlineStr">
        <is>
          <t>ชาย</t>
        </is>
      </c>
      <c r="E367" s="369" t="inlineStr">
        <is>
          <t>รายเดือน</t>
        </is>
      </c>
      <c r="F367" s="369" t="inlineStr">
        <is>
          <t>ไทย</t>
        </is>
      </c>
      <c r="G367" s="369" t="inlineStr">
        <is>
          <t>159/65 ต.สุรศักดิ์ อ.ศรีราชา จ.ชลบุรี 20230</t>
        </is>
      </c>
      <c r="H367" s="396" t="n">
        <v>12</v>
      </c>
      <c r="I367" s="369" t="n"/>
      <c r="J367" s="369" t="inlineStr">
        <is>
          <t>รถจักรยานยนต์ 4 จังหวะเครื่องยนต์ขนาดเล็กกว่า 125 cc</t>
        </is>
      </c>
      <c r="K367" s="410" t="inlineStr">
        <is>
          <t>แก๊สโซฮอล์ 91</t>
        </is>
      </c>
      <c r="L367" s="396" t="n">
        <v>1</v>
      </c>
      <c r="M367" s="589" t="n"/>
      <c r="N367" s="257">
        <f>'[2]1.4 Septic'!$F$16</f>
        <v/>
      </c>
      <c r="O367" s="257">
        <f>$G$492</f>
        <v/>
      </c>
      <c r="P367" s="258" t="n"/>
      <c r="Q367" s="1731">
        <f>H367*2*L367*N367/O367</f>
        <v/>
      </c>
    </row>
    <row r="368" ht="18" customHeight="1">
      <c r="A368" s="396">
        <f>+A367+1</f>
        <v/>
      </c>
      <c r="B368" s="396" t="n">
        <v>652479</v>
      </c>
      <c r="C368" s="369" t="inlineStr">
        <is>
          <t>พสธร ศรีพิทักษ์</t>
        </is>
      </c>
      <c r="D368" s="369" t="inlineStr">
        <is>
          <t>ชาย</t>
        </is>
      </c>
      <c r="E368" s="369" t="inlineStr">
        <is>
          <t>รายเดือน</t>
        </is>
      </c>
      <c r="F368" s="369" t="inlineStr">
        <is>
          <t>ไทย</t>
        </is>
      </c>
      <c r="G368" s="369" t="inlineStr">
        <is>
          <t>36 ม.3 ต.หนองบัว อ.กันทรารมย์ จ.ศรีสะเกษ 33130</t>
        </is>
      </c>
      <c r="H368" s="396" t="n">
        <v>5</v>
      </c>
      <c r="I368" s="369" t="n"/>
      <c r="J368" s="369" t="inlineStr">
        <is>
          <t>รถจักรยานยนต์ 4 จังหวะเครื่องยนต์ขนาดเล็กกว่า 125 cc</t>
        </is>
      </c>
      <c r="K368" s="410" t="inlineStr">
        <is>
          <t>แก๊สโซฮอล์ 95</t>
        </is>
      </c>
      <c r="L368" s="396" t="n">
        <v>2</v>
      </c>
      <c r="M368" s="589" t="n"/>
      <c r="N368" s="257">
        <f>'[2]1.4 Septic'!$F$16</f>
        <v/>
      </c>
      <c r="O368" s="257">
        <f>$G$492</f>
        <v/>
      </c>
      <c r="P368" s="258" t="n"/>
      <c r="Q368" s="1731">
        <f>H368*2*L368*N368/O368</f>
        <v/>
      </c>
    </row>
    <row r="369" ht="18" customHeight="1">
      <c r="A369" s="396">
        <f>+A368+1</f>
        <v/>
      </c>
      <c r="B369" s="396" t="n">
        <v>652484</v>
      </c>
      <c r="C369" s="369" t="inlineStr">
        <is>
          <t>พัชรพล พันธ์ศรี</t>
        </is>
      </c>
      <c r="D369" s="369" t="inlineStr">
        <is>
          <t>ชาย</t>
        </is>
      </c>
      <c r="E369" s="369" t="inlineStr">
        <is>
          <t>รายเดือน</t>
        </is>
      </c>
      <c r="F369" s="369" t="inlineStr">
        <is>
          <t>ไทย</t>
        </is>
      </c>
      <c r="G369" s="369" t="inlineStr">
        <is>
          <t>127/6 ต.ทุ่งสุขลา อ.ศรีราชา จ.ชลบุรี 20230</t>
        </is>
      </c>
      <c r="H369" s="396" t="n">
        <v>10</v>
      </c>
      <c r="I369" s="369" t="n"/>
      <c r="J369" s="369" t="inlineStr">
        <is>
          <t>รถจักรยานยนต์ 4 จังหวะเครื่องยนต์ขนาด 125 cc</t>
        </is>
      </c>
      <c r="K369" s="410" t="inlineStr">
        <is>
          <t>แก๊สโซฮอล์ 95</t>
        </is>
      </c>
      <c r="L369" s="396" t="n">
        <v>1</v>
      </c>
      <c r="M369" s="589" t="n"/>
      <c r="N369" s="257">
        <f>'[2]1.4 Septic'!$F$16</f>
        <v/>
      </c>
      <c r="O369" s="257">
        <f>$G$492</f>
        <v/>
      </c>
      <c r="P369" s="258" t="n"/>
      <c r="Q369" s="1731">
        <f>H369*2*L369*N369/O369</f>
        <v/>
      </c>
    </row>
    <row r="370" ht="18" customHeight="1">
      <c r="A370" s="396">
        <f>+A369+1</f>
        <v/>
      </c>
      <c r="B370" s="396" t="n">
        <v>652487</v>
      </c>
      <c r="C370" s="369" t="inlineStr">
        <is>
          <t>เกรียงไกร สีใส</t>
        </is>
      </c>
      <c r="D370" s="369" t="inlineStr">
        <is>
          <t>ชาย</t>
        </is>
      </c>
      <c r="E370" s="369" t="inlineStr">
        <is>
          <t>รายเดือน</t>
        </is>
      </c>
      <c r="F370" s="369" t="inlineStr">
        <is>
          <t>ไทย</t>
        </is>
      </c>
      <c r="G370" s="369" t="inlineStr">
        <is>
          <t>28/52 ม.8 ต.บางละมุง อ.บางละมุง จ.ชลบุรี 20150</t>
        </is>
      </c>
      <c r="H370" s="396" t="n">
        <v>15</v>
      </c>
      <c r="I370" s="369" t="n"/>
      <c r="J370" s="369" t="inlineStr">
        <is>
          <t>รถกระบะบรรทุก</t>
        </is>
      </c>
      <c r="K370" s="410" t="inlineStr">
        <is>
          <t>ดีเซล</t>
        </is>
      </c>
      <c r="L370" s="396" t="n">
        <v>1</v>
      </c>
      <c r="M370" s="589" t="n"/>
      <c r="N370" s="257">
        <f>'[2]1.4 Septic'!$F$16</f>
        <v/>
      </c>
      <c r="O370" s="257" t="n">
        <v>6.369</v>
      </c>
      <c r="P370" s="1731">
        <f>H370*2*L370*N370/O370</f>
        <v/>
      </c>
      <c r="Q370" s="258" t="n"/>
    </row>
    <row r="371" ht="18" customHeight="1">
      <c r="A371" s="396">
        <f>+A370+1</f>
        <v/>
      </c>
      <c r="B371" s="396" t="n">
        <v>652489</v>
      </c>
      <c r="C371" s="369" t="inlineStr">
        <is>
          <t>ธีรศักดิ์ บ่อทอง</t>
        </is>
      </c>
      <c r="D371" s="369" t="inlineStr">
        <is>
          <t>ชาย</t>
        </is>
      </c>
      <c r="E371" s="369" t="inlineStr">
        <is>
          <t>รายเดือน</t>
        </is>
      </c>
      <c r="F371" s="369" t="inlineStr">
        <is>
          <t>ไทย</t>
        </is>
      </c>
      <c r="G371" s="369" t="inlineStr">
        <is>
          <t>220/124 ต.บางละมุง อ.บางละมุง จ.ชลบุรี 20150</t>
        </is>
      </c>
      <c r="H371" s="396" t="n">
        <v>6</v>
      </c>
      <c r="I371" s="369" t="n"/>
      <c r="J371" s="369" t="inlineStr">
        <is>
          <t>รถจักรยานยนต์ 2 จังหวะเครื่องยนต์ขนาด 150cc</t>
        </is>
      </c>
      <c r="K371" s="410" t="inlineStr">
        <is>
          <t>แก๊สโซฮอล์ 95</t>
        </is>
      </c>
      <c r="L371" s="396" t="n">
        <v>1</v>
      </c>
      <c r="M371" s="589" t="n"/>
      <c r="N371" s="257">
        <f>'[2]1.4 Septic'!$F$16</f>
        <v/>
      </c>
      <c r="O371" s="1754">
        <f>$G$491</f>
        <v/>
      </c>
      <c r="P371" s="258" t="n"/>
      <c r="Q371" s="1731">
        <f>H371*2*L371*N371/O371</f>
        <v/>
      </c>
    </row>
    <row r="372" ht="18" customHeight="1">
      <c r="A372" s="396">
        <f>+A371+1</f>
        <v/>
      </c>
      <c r="B372" s="396" t="n">
        <v>652490</v>
      </c>
      <c r="C372" s="369" t="inlineStr">
        <is>
          <t>สาโรช ศรีฤทธิ์</t>
        </is>
      </c>
      <c r="D372" s="369" t="inlineStr">
        <is>
          <t>ชาย</t>
        </is>
      </c>
      <c r="E372" s="369" t="inlineStr">
        <is>
          <t>รายเดือน</t>
        </is>
      </c>
      <c r="F372" s="369" t="inlineStr">
        <is>
          <t>ไทย</t>
        </is>
      </c>
      <c r="G372" s="369" t="inlineStr">
        <is>
          <t>291/5 ม.10 ต.ทุ่งสุขลา อ.ศรีราชา จ.ชลบุรี 20230</t>
        </is>
      </c>
      <c r="H372" s="396" t="n">
        <v>7</v>
      </c>
      <c r="I372" s="369" t="n"/>
      <c r="J372" s="369" t="inlineStr">
        <is>
          <t>รถจักรยานยนต์ 4 จังหวะเครื่องยนต์ขนาด 125 cc</t>
        </is>
      </c>
      <c r="K372" s="410" t="inlineStr">
        <is>
          <t>แก๊สโซฮอล์ 91</t>
        </is>
      </c>
      <c r="L372" s="396" t="n">
        <v>2</v>
      </c>
      <c r="M372" s="589" t="n"/>
      <c r="N372" s="257">
        <f>'[2]1.4 Septic'!$F$16</f>
        <v/>
      </c>
      <c r="O372" s="257">
        <f>$G$492</f>
        <v/>
      </c>
      <c r="P372" s="258" t="n"/>
      <c r="Q372" s="1731">
        <f>H372*2*L372*N372/O372</f>
        <v/>
      </c>
    </row>
    <row r="373" ht="18" customHeight="1">
      <c r="A373" s="396">
        <f>+A372+1</f>
        <v/>
      </c>
      <c r="B373" s="396" t="n">
        <v>652500</v>
      </c>
      <c r="C373" s="369" t="inlineStr">
        <is>
          <t>สุรศักดิ์ บุตรงาม</t>
        </is>
      </c>
      <c r="D373" s="369" t="inlineStr">
        <is>
          <t>ชาย</t>
        </is>
      </c>
      <c r="E373" s="369" t="inlineStr">
        <is>
          <t>รายเดือน</t>
        </is>
      </c>
      <c r="F373" s="369" t="inlineStr">
        <is>
          <t>ไทย</t>
        </is>
      </c>
      <c r="G373" s="369" t="inlineStr">
        <is>
          <t>78/43ม.6 ต.บางละมุง อ.บางละมุง จ.ชลบุรี 20150</t>
        </is>
      </c>
      <c r="H373" s="396" t="n">
        <v>0.25</v>
      </c>
      <c r="I373" s="369" t="n"/>
      <c r="J373" s="369" t="inlineStr">
        <is>
          <t>รถจักรยานยนต์ 4 จังหวะเครื่องยนต์ขนาดเล็กกว่า 125 cc</t>
        </is>
      </c>
      <c r="K373" s="410" t="inlineStr">
        <is>
          <t>แก๊สโซฮอล์ 95</t>
        </is>
      </c>
      <c r="L373" s="396" t="n">
        <v>1</v>
      </c>
      <c r="M373" s="589" t="n"/>
      <c r="N373" s="257">
        <f>'[2]1.4 Septic'!$F$16</f>
        <v/>
      </c>
      <c r="O373" s="257">
        <f>$G$492</f>
        <v/>
      </c>
      <c r="P373" s="258" t="n"/>
      <c r="Q373" s="1731">
        <f>H373*2*L373*N373/O373</f>
        <v/>
      </c>
    </row>
    <row r="374" ht="18" customHeight="1">
      <c r="A374" s="396">
        <f>+A373+1</f>
        <v/>
      </c>
      <c r="B374" s="396" t="n">
        <v>652502</v>
      </c>
      <c r="C374" s="369" t="inlineStr">
        <is>
          <t>วิศวกร ทิพย์นัส</t>
        </is>
      </c>
      <c r="D374" s="369" t="inlineStr">
        <is>
          <t>ชาย</t>
        </is>
      </c>
      <c r="E374" s="369" t="inlineStr">
        <is>
          <t>รายเดือน</t>
        </is>
      </c>
      <c r="F374" s="369" t="inlineStr">
        <is>
          <t>ไทย</t>
        </is>
      </c>
      <c r="G374" s="369" t="inlineStr">
        <is>
          <t>111/7-8 ม.5 ต.บึง อ.ศรีราชา จ.ชลบุรี 20230</t>
        </is>
      </c>
      <c r="H374" s="396" t="n">
        <v>10</v>
      </c>
      <c r="I374" s="369" t="n"/>
      <c r="J374" s="369" t="inlineStr">
        <is>
          <t>รถจักรยานยนต์ 4 จังหวะเครื่องยนต์ขนาดเล็กกว่า 125 cc</t>
        </is>
      </c>
      <c r="K374" s="410" t="inlineStr">
        <is>
          <t>แก๊สโซฮอล์ 91</t>
        </is>
      </c>
      <c r="L374" s="396" t="n">
        <v>1</v>
      </c>
      <c r="M374" s="589" t="n"/>
      <c r="N374" s="257">
        <f>'[2]1.4 Septic'!$F$16</f>
        <v/>
      </c>
      <c r="O374" s="257">
        <f>$G$492</f>
        <v/>
      </c>
      <c r="P374" s="258" t="n"/>
      <c r="Q374" s="1731">
        <f>H374*2*L374*N374/O374</f>
        <v/>
      </c>
    </row>
    <row r="375" ht="18" customHeight="1">
      <c r="A375" s="396">
        <f>+A374+1</f>
        <v/>
      </c>
      <c r="B375" s="396" t="n">
        <v>652521</v>
      </c>
      <c r="C375" s="369" t="inlineStr">
        <is>
          <t>ธนภัทร นรม่วง</t>
        </is>
      </c>
      <c r="D375" s="369" t="inlineStr">
        <is>
          <t>ชาย</t>
        </is>
      </c>
      <c r="E375" s="369" t="inlineStr">
        <is>
          <t>รายเดือน</t>
        </is>
      </c>
      <c r="F375" s="369" t="inlineStr">
        <is>
          <t>ไทย</t>
        </is>
      </c>
      <c r="G375" s="369" t="inlineStr">
        <is>
          <t>1/111 ม.8 ต.บางละมุง อ.บางละมุง  จ.ชลบุรี 20150</t>
        </is>
      </c>
      <c r="H375" s="396" t="n">
        <v>7</v>
      </c>
      <c r="I375" s="369" t="n"/>
      <c r="J375" s="369" t="inlineStr">
        <is>
          <t>รถจักรยานยนต์ 2 จังหวะเครื่องยนต์ขนาด 150cc</t>
        </is>
      </c>
      <c r="K375" s="410" t="inlineStr">
        <is>
          <t>แก๊สโซฮอล์ 95</t>
        </is>
      </c>
      <c r="L375" s="396" t="n">
        <v>2</v>
      </c>
      <c r="M375" s="589" t="n"/>
      <c r="N375" s="257">
        <f>'[2]1.4 Septic'!$F$16</f>
        <v/>
      </c>
      <c r="O375" s="1754">
        <f>$G$491</f>
        <v/>
      </c>
      <c r="P375" s="258" t="n"/>
      <c r="Q375" s="1731">
        <f>H375*2*L375*N375/O375</f>
        <v/>
      </c>
    </row>
    <row r="376" ht="18" customHeight="1">
      <c r="A376" s="396">
        <f>+A375+1</f>
        <v/>
      </c>
      <c r="B376" s="396" t="n">
        <v>652526</v>
      </c>
      <c r="C376" s="369" t="inlineStr">
        <is>
          <t>รุ่งฤดี เลี้ยงกระบือ</t>
        </is>
      </c>
      <c r="D376" s="369" t="inlineStr">
        <is>
          <t>หญิง</t>
        </is>
      </c>
      <c r="E376" s="369" t="inlineStr">
        <is>
          <t>รายเดือน</t>
        </is>
      </c>
      <c r="F376" s="369" t="inlineStr">
        <is>
          <t>ไทย</t>
        </is>
      </c>
      <c r="G376" s="369" t="inlineStr">
        <is>
          <t>248/125 ต.หนองขาม อ.ศรีราชา จ.ชลบุรี 20230</t>
        </is>
      </c>
      <c r="H376" s="396" t="n">
        <v>10</v>
      </c>
      <c r="I376" s="369" t="n"/>
      <c r="J376" s="369" t="inlineStr">
        <is>
          <t>รถจักรยานยนต์ 4 จังหวะเครื่องยนต์ขนาดเล็กกว่า 125 cc</t>
        </is>
      </c>
      <c r="K376" s="410" t="inlineStr">
        <is>
          <t>แก๊สโซฮอล์ 91</t>
        </is>
      </c>
      <c r="L376" s="396" t="n">
        <v>1</v>
      </c>
      <c r="M376" s="589" t="n"/>
      <c r="N376" s="257">
        <f>'[2]1.4 Septic'!$F$16</f>
        <v/>
      </c>
      <c r="O376" s="257">
        <f>$G$492</f>
        <v/>
      </c>
      <c r="P376" s="258" t="n"/>
      <c r="Q376" s="1731">
        <f>H376*2*L376*N376/O376</f>
        <v/>
      </c>
    </row>
    <row r="377" ht="18" customHeight="1">
      <c r="A377" s="396">
        <f>+A376+1</f>
        <v/>
      </c>
      <c r="B377" s="396" t="n">
        <v>652533</v>
      </c>
      <c r="C377" s="369" t="inlineStr">
        <is>
          <t>ทินกร เมืองน้อย</t>
        </is>
      </c>
      <c r="D377" s="369" t="inlineStr">
        <is>
          <t>ชาย</t>
        </is>
      </c>
      <c r="E377" s="369" t="inlineStr">
        <is>
          <t>รายเดือน</t>
        </is>
      </c>
      <c r="F377" s="369" t="inlineStr">
        <is>
          <t>ไทย</t>
        </is>
      </c>
      <c r="G377" s="369" t="inlineStr">
        <is>
          <t>64/1 ม.6 ต.บางละมุง อ.บางละมุง จ.ชลบุรี 20150</t>
        </is>
      </c>
      <c r="H377" s="396" t="n">
        <v>8</v>
      </c>
      <c r="I377" s="369" t="n"/>
      <c r="J377" s="369" t="inlineStr">
        <is>
          <t>รถจักรยานยนต์ 2 จังหวะเครื่องยนต์ขนาด 150cc</t>
        </is>
      </c>
      <c r="K377" s="410" t="inlineStr">
        <is>
          <t>แก๊สโซฮอล์ 95</t>
        </is>
      </c>
      <c r="L377" s="396" t="n">
        <v>1</v>
      </c>
      <c r="M377" s="589" t="n"/>
      <c r="N377" s="257">
        <f>'[2]1.4 Septic'!$F$16</f>
        <v/>
      </c>
      <c r="O377" s="1754">
        <f>$G$491</f>
        <v/>
      </c>
      <c r="P377" s="258" t="n"/>
      <c r="Q377" s="1731">
        <f>H377*2*L377*N377/O377</f>
        <v/>
      </c>
    </row>
    <row r="378" ht="18" customHeight="1">
      <c r="A378" s="396">
        <f>+A377+1</f>
        <v/>
      </c>
      <c r="B378" s="396" t="n">
        <v>652535</v>
      </c>
      <c r="C378" s="369" t="inlineStr">
        <is>
          <t>ธีรพงค์ แทนมูล</t>
        </is>
      </c>
      <c r="D378" s="369" t="inlineStr">
        <is>
          <t>ชาย</t>
        </is>
      </c>
      <c r="E378" s="369" t="inlineStr">
        <is>
          <t>รายเดือน</t>
        </is>
      </c>
      <c r="F378" s="369" t="inlineStr">
        <is>
          <t>ไทย</t>
        </is>
      </c>
      <c r="G378" s="369" t="inlineStr">
        <is>
          <t>220/146 ม.12 ต.ทุ่งสุขลา อ.ศรีราชา จ.ชลบุรี 20230</t>
        </is>
      </c>
      <c r="H378" s="396" t="n">
        <v>7</v>
      </c>
      <c r="I378" s="369" t="n"/>
      <c r="J378" s="369" t="inlineStr">
        <is>
          <t>รถจักรยานยนต์ 2 จังหวะเครื่องยนต์ขนาด 150cc</t>
        </is>
      </c>
      <c r="K378" s="410" t="inlineStr">
        <is>
          <t>แก๊สโซฮอล์ 95</t>
        </is>
      </c>
      <c r="L378" s="396" t="n">
        <v>1</v>
      </c>
      <c r="M378" s="589" t="n"/>
      <c r="N378" s="257">
        <f>'[2]1.4 Septic'!$F$16</f>
        <v/>
      </c>
      <c r="O378" s="1754">
        <f>$G$491</f>
        <v/>
      </c>
      <c r="P378" s="258" t="n"/>
      <c r="Q378" s="1731">
        <f>H378*2*L378*N378/O378</f>
        <v/>
      </c>
    </row>
    <row r="379" ht="18" customHeight="1">
      <c r="A379" s="396">
        <f>+A378+1</f>
        <v/>
      </c>
      <c r="B379" s="396" t="n">
        <v>652536</v>
      </c>
      <c r="C379" s="369" t="inlineStr">
        <is>
          <t>ภัทรพล เครือสี</t>
        </is>
      </c>
      <c r="D379" s="369" t="inlineStr">
        <is>
          <t>ชาย</t>
        </is>
      </c>
      <c r="E379" s="369" t="inlineStr">
        <is>
          <t>รายเดือน</t>
        </is>
      </c>
      <c r="F379" s="369" t="inlineStr">
        <is>
          <t>ไทย</t>
        </is>
      </c>
      <c r="G379" s="369" t="inlineStr">
        <is>
          <t>226/5 ม.6 ต.บางละมุง อ.บางละมุง จ.ชลบุรี 20150</t>
        </is>
      </c>
      <c r="H379" s="396" t="n">
        <v>5</v>
      </c>
      <c r="I379" s="369" t="n"/>
      <c r="J379" s="369" t="inlineStr">
        <is>
          <t>รถยนต์เฉลี่ยทุกขนาด</t>
        </is>
      </c>
      <c r="K379" s="410" t="inlineStr">
        <is>
          <t>แก๊สโซฮอล์ 95</t>
        </is>
      </c>
      <c r="L379" s="396" t="n">
        <v>1</v>
      </c>
      <c r="M379" s="589" t="n"/>
      <c r="N379" s="257">
        <f>'[2]1.4 Septic'!$F$16</f>
        <v/>
      </c>
      <c r="O379" s="257">
        <f>$G$487</f>
        <v/>
      </c>
      <c r="P379" s="258" t="n"/>
      <c r="Q379" s="1731">
        <f>H379*2*L379*N379/O379</f>
        <v/>
      </c>
    </row>
    <row r="380" ht="18" customHeight="1">
      <c r="A380" s="396">
        <f>+A379+1</f>
        <v/>
      </c>
      <c r="B380" s="396" t="n">
        <v>652540</v>
      </c>
      <c r="C380" s="369" t="inlineStr">
        <is>
          <t>ศศิยากร เขียวอ่อน</t>
        </is>
      </c>
      <c r="D380" s="369" t="inlineStr">
        <is>
          <t>หญิง</t>
        </is>
      </c>
      <c r="E380" s="369" t="inlineStr">
        <is>
          <t>รายเดือน</t>
        </is>
      </c>
      <c r="F380" s="369" t="inlineStr">
        <is>
          <t>ไทย</t>
        </is>
      </c>
      <c r="G380" s="369" t="inlineStr">
        <is>
          <t>59/5 ม.3 ต.ทุ่งสุขลา อ.ศรีราชา จ.ชลบุรี 20230</t>
        </is>
      </c>
      <c r="H380" s="396" t="n">
        <v>7.5</v>
      </c>
      <c r="I380" s="369" t="n"/>
      <c r="J380" s="369" t="inlineStr">
        <is>
          <t>รถจักรยานยนต์ 4 จังหวะเครื่องยนต์ขนาดเล็กกว่า 125 cc</t>
        </is>
      </c>
      <c r="K380" s="410" t="inlineStr">
        <is>
          <t>แก๊สโซฮอล์ 91</t>
        </is>
      </c>
      <c r="L380" s="396" t="n">
        <v>1</v>
      </c>
      <c r="M380" s="589" t="n"/>
      <c r="N380" s="257">
        <f>'[2]1.4 Septic'!$F$16</f>
        <v/>
      </c>
      <c r="O380" s="257">
        <f>$G$492</f>
        <v/>
      </c>
      <c r="P380" s="258" t="n"/>
      <c r="Q380" s="1731">
        <f>H380*2*L380*N380/O380</f>
        <v/>
      </c>
    </row>
    <row r="381" ht="18" customHeight="1">
      <c r="A381" s="396">
        <f>+A380+1</f>
        <v/>
      </c>
      <c r="B381" s="396" t="n">
        <v>652556</v>
      </c>
      <c r="C381" s="369" t="inlineStr">
        <is>
          <t>ณัฐวุฒิ ภูสีนาค</t>
        </is>
      </c>
      <c r="D381" s="369" t="inlineStr">
        <is>
          <t>ชาย</t>
        </is>
      </c>
      <c r="E381" s="369" t="inlineStr">
        <is>
          <t>รายเดือน</t>
        </is>
      </c>
      <c r="F381" s="369" t="inlineStr">
        <is>
          <t>ไทย</t>
        </is>
      </c>
      <c r="G381" s="369" t="inlineStr">
        <is>
          <t>221/122 ม.6 ต.บางละมุง อ.บางละมุง จ.ชลบุรี 20150</t>
        </is>
      </c>
      <c r="H381" s="396" t="n">
        <v>6.3</v>
      </c>
      <c r="I381" s="369" t="n"/>
      <c r="J381" s="369" t="inlineStr">
        <is>
          <t>รถจักรยานยนต์ 2 จังหวะเครื่องยนต์ขนาด 150cc</t>
        </is>
      </c>
      <c r="K381" s="410" t="inlineStr">
        <is>
          <t>แก๊สโซฮอล์ 95</t>
        </is>
      </c>
      <c r="L381" s="396" t="n">
        <v>1</v>
      </c>
      <c r="M381" s="589" t="n"/>
      <c r="N381" s="257">
        <f>'[2]1.4 Septic'!$F$16</f>
        <v/>
      </c>
      <c r="O381" s="1754">
        <f>$G$491</f>
        <v/>
      </c>
      <c r="P381" s="258" t="n"/>
      <c r="Q381" s="1731">
        <f>H381*2*L381*N381/O381</f>
        <v/>
      </c>
    </row>
    <row r="382" ht="18" customHeight="1">
      <c r="A382" s="396">
        <f>+A381+1</f>
        <v/>
      </c>
      <c r="B382" s="396" t="n">
        <v>652564</v>
      </c>
      <c r="C382" s="369" t="inlineStr">
        <is>
          <t>วีระชล เรือนทอง</t>
        </is>
      </c>
      <c r="D382" s="369" t="inlineStr">
        <is>
          <t>ชาย</t>
        </is>
      </c>
      <c r="E382" s="369" t="inlineStr">
        <is>
          <t>รายเดือน</t>
        </is>
      </c>
      <c r="F382" s="369" t="inlineStr">
        <is>
          <t>ไทย</t>
        </is>
      </c>
      <c r="G382" s="369" t="inlineStr">
        <is>
          <t>292/17 ม.10 ต.ทุ่งสุขลา อ.ศรีราชา จ.ชลบุรี 20230</t>
        </is>
      </c>
      <c r="H382" s="396" t="n">
        <v>3</v>
      </c>
      <c r="I382" s="369" t="n"/>
      <c r="J382" s="369" t="inlineStr">
        <is>
          <t>รถจักรยานยนต์ 2 จังหวะเครื่องยนต์ขนาด 150cc</t>
        </is>
      </c>
      <c r="K382" s="410" t="inlineStr">
        <is>
          <t>แก๊สโซฮอล์ 95</t>
        </is>
      </c>
      <c r="L382" s="396" t="n">
        <v>1</v>
      </c>
      <c r="M382" s="589" t="n"/>
      <c r="N382" s="257">
        <f>'[2]1.4 Septic'!$F$16</f>
        <v/>
      </c>
      <c r="O382" s="1754">
        <f>$G$491</f>
        <v/>
      </c>
      <c r="P382" s="258" t="n"/>
      <c r="Q382" s="1731">
        <f>H382*2*L382*N382/O382</f>
        <v/>
      </c>
    </row>
    <row r="383" ht="18" customHeight="1">
      <c r="A383" s="396">
        <f>+A382+1</f>
        <v/>
      </c>
      <c r="B383" s="396" t="n">
        <v>652567</v>
      </c>
      <c r="C383" s="369" t="inlineStr">
        <is>
          <t>มนูญ อาจมนตรี</t>
        </is>
      </c>
      <c r="D383" s="369" t="inlineStr">
        <is>
          <t>ชาย</t>
        </is>
      </c>
      <c r="E383" s="369" t="inlineStr">
        <is>
          <t>รายเดือน</t>
        </is>
      </c>
      <c r="F383" s="369" t="inlineStr">
        <is>
          <t>ไทย</t>
        </is>
      </c>
      <c r="G383" s="369" t="inlineStr">
        <is>
          <t>2 หมู่ที่ 3 ต.ตะเคียนเตี้ย อ.บางละมุง จ.ชลบุรี 20150</t>
        </is>
      </c>
      <c r="H383" s="396" t="n">
        <v>10</v>
      </c>
      <c r="I383" s="369" t="n"/>
      <c r="J383" s="369" t="inlineStr">
        <is>
          <t>รถจักรยานยนต์ 4 จังหวะเครื่องยนต์ขนาด 125 cc</t>
        </is>
      </c>
      <c r="K383" s="410" t="inlineStr">
        <is>
          <t>แก๊สโซฮอล์ 95</t>
        </is>
      </c>
      <c r="L383" s="396" t="n">
        <v>1</v>
      </c>
      <c r="M383" s="589" t="n"/>
      <c r="N383" s="257">
        <f>'[2]1.4 Septic'!$F$16</f>
        <v/>
      </c>
      <c r="O383" s="257">
        <f>$G$492</f>
        <v/>
      </c>
      <c r="P383" s="258" t="n"/>
      <c r="Q383" s="1731">
        <f>H383*2*L383*N383/O383</f>
        <v/>
      </c>
    </row>
    <row r="384" ht="18" customHeight="1">
      <c r="A384" s="396">
        <f>+A383+1</f>
        <v/>
      </c>
      <c r="B384" s="396" t="n">
        <v>652577</v>
      </c>
      <c r="C384" s="369" t="inlineStr">
        <is>
          <t>มินตรา สาริการินทร์</t>
        </is>
      </c>
      <c r="D384" s="369" t="inlineStr">
        <is>
          <t>หญิง</t>
        </is>
      </c>
      <c r="E384" s="369" t="inlineStr">
        <is>
          <t>รายเดือน</t>
        </is>
      </c>
      <c r="F384" s="369" t="inlineStr">
        <is>
          <t>ไทย</t>
        </is>
      </c>
      <c r="G384" s="369" t="inlineStr">
        <is>
          <t>176 ม.5 ต.หนองขาม อ.ศรีราชา จ.ชลบุรี 20230</t>
        </is>
      </c>
      <c r="H384" s="396" t="n">
        <v>6</v>
      </c>
      <c r="I384" s="369" t="n"/>
      <c r="J384" s="369" t="inlineStr">
        <is>
          <t>รถจักรยานยนต์ 4 จังหวะเครื่องยนต์ขนาด 125 cc</t>
        </is>
      </c>
      <c r="K384" s="410" t="inlineStr">
        <is>
          <t>แก๊สโซฮอล์ 91</t>
        </is>
      </c>
      <c r="L384" s="396" t="n">
        <v>1</v>
      </c>
      <c r="M384" s="589" t="n"/>
      <c r="N384" s="257">
        <f>'[2]1.4 Septic'!$F$16</f>
        <v/>
      </c>
      <c r="O384" s="257">
        <f>$G$492</f>
        <v/>
      </c>
      <c r="P384" s="258" t="n"/>
      <c r="Q384" s="1731">
        <f>H384*2*L384*N384/O384</f>
        <v/>
      </c>
    </row>
    <row r="385" ht="18" customHeight="1">
      <c r="A385" s="396">
        <f>+A384+1</f>
        <v/>
      </c>
      <c r="B385" s="396" t="n">
        <v>652578</v>
      </c>
      <c r="C385" s="369" t="inlineStr">
        <is>
          <t>นันทวัฒน์ นิ่มดี</t>
        </is>
      </c>
      <c r="D385" s="369" t="inlineStr">
        <is>
          <t>ชาย</t>
        </is>
      </c>
      <c r="E385" s="369" t="inlineStr">
        <is>
          <t>รายเดือน</t>
        </is>
      </c>
      <c r="F385" s="369" t="inlineStr">
        <is>
          <t>ไทย</t>
        </is>
      </c>
      <c r="G385" s="369" t="inlineStr">
        <is>
          <t>199/2 ม.8 ต.บางละมุง อ.บางละมุง จ.ชลบุรี 20150</t>
        </is>
      </c>
      <c r="H385" s="396" t="n">
        <v>2</v>
      </c>
      <c r="I385" s="369" t="n"/>
      <c r="J385" s="369" t="inlineStr">
        <is>
          <t>รถจักรยานยนต์ 4 จังหวะเครื่องยนต์ขนาดเล็กกว่า 125 cc</t>
        </is>
      </c>
      <c r="K385" s="410" t="inlineStr">
        <is>
          <t>แก๊สโซฮอล์ 95</t>
        </is>
      </c>
      <c r="L385" s="396" t="n">
        <v>1</v>
      </c>
      <c r="M385" s="589" t="n"/>
      <c r="N385" s="257">
        <f>'[2]1.4 Septic'!$F$16</f>
        <v/>
      </c>
      <c r="O385" s="257">
        <f>$G$492</f>
        <v/>
      </c>
      <c r="P385" s="258" t="n"/>
      <c r="Q385" s="1731">
        <f>H385*2*L385*N385/O385</f>
        <v/>
      </c>
    </row>
    <row r="386" ht="18" customHeight="1">
      <c r="A386" s="396">
        <f>+A385+1</f>
        <v/>
      </c>
      <c r="B386" s="396" t="n">
        <v>652595</v>
      </c>
      <c r="C386" s="369" t="inlineStr">
        <is>
          <t>เกรียงไกร เกาะทะเล</t>
        </is>
      </c>
      <c r="D386" s="369" t="inlineStr">
        <is>
          <t>ชาย</t>
        </is>
      </c>
      <c r="E386" s="369" t="inlineStr">
        <is>
          <t>รายเดือน</t>
        </is>
      </c>
      <c r="F386" s="369" t="inlineStr">
        <is>
          <t>ไทย</t>
        </is>
      </c>
      <c r="G386" s="369" t="inlineStr">
        <is>
          <t>133/14 ม.9 ต.ทุ่งสุขลา อ.ศรีราชา จ.ชลบุรี 20230</t>
        </is>
      </c>
      <c r="H386" s="396" t="n">
        <v>9</v>
      </c>
      <c r="I386" s="369" t="n"/>
      <c r="J386" s="369" t="inlineStr">
        <is>
          <t>รถจักรยานยนต์ 4 จังหวะเครื่องยนต์ขนาด 125 cc</t>
        </is>
      </c>
      <c r="K386" s="410" t="inlineStr">
        <is>
          <t>แก๊สโซฮอล์ 91</t>
        </is>
      </c>
      <c r="L386" s="396" t="n">
        <v>1</v>
      </c>
      <c r="M386" s="589" t="n"/>
      <c r="N386" s="257">
        <f>'[2]1.4 Septic'!$F$16</f>
        <v/>
      </c>
      <c r="O386" s="257">
        <f>$G$492</f>
        <v/>
      </c>
      <c r="P386" s="258" t="n"/>
      <c r="Q386" s="1731">
        <f>H386*2*L386*N386/O386</f>
        <v/>
      </c>
    </row>
    <row r="387" ht="18" customHeight="1">
      <c r="A387" s="396">
        <f>+A386+1</f>
        <v/>
      </c>
      <c r="B387" s="396" t="n">
        <v>652597</v>
      </c>
      <c r="C387" s="369" t="inlineStr">
        <is>
          <t>ศิริลักษณ์ เสนาจ</t>
        </is>
      </c>
      <c r="D387" s="369" t="inlineStr">
        <is>
          <t>หญิง</t>
        </is>
      </c>
      <c r="E387" s="369" t="inlineStr">
        <is>
          <t>รายเดือน</t>
        </is>
      </c>
      <c r="F387" s="369" t="inlineStr">
        <is>
          <t>ไทย</t>
        </is>
      </c>
      <c r="G387" s="369" t="inlineStr">
        <is>
          <t>68/1 ม.4 ต.เกษตรสุวรรณ อ.บ่อทอง จ.ชลบุรี 20270</t>
        </is>
      </c>
      <c r="H387" s="396" t="n">
        <v>11</v>
      </c>
      <c r="I387" s="369" t="n"/>
      <c r="J387" s="369" t="inlineStr">
        <is>
          <t>รถยนต์เฉลี่ยทุกขนาด</t>
        </is>
      </c>
      <c r="K387" s="410" t="inlineStr">
        <is>
          <t>แก๊สโซฮอล์ E20</t>
        </is>
      </c>
      <c r="L387" s="396" t="n">
        <v>1</v>
      </c>
      <c r="M387" s="589" t="n"/>
      <c r="N387" s="257">
        <f>'[2]1.4 Septic'!$F$16</f>
        <v/>
      </c>
      <c r="O387" s="257">
        <f>$G$487</f>
        <v/>
      </c>
      <c r="P387" s="258" t="n"/>
      <c r="Q387" s="1731">
        <f>H387*2*L387*N387/O387</f>
        <v/>
      </c>
    </row>
    <row r="388" ht="18" customHeight="1">
      <c r="A388" s="396">
        <f>+A387+1</f>
        <v/>
      </c>
      <c r="B388" s="396" t="n">
        <v>652601</v>
      </c>
      <c r="C388" s="369" t="inlineStr">
        <is>
          <t>พิพัฒน์ หอมดวง</t>
        </is>
      </c>
      <c r="D388" s="369" t="inlineStr">
        <is>
          <t>ชาย</t>
        </is>
      </c>
      <c r="E388" s="369" t="inlineStr">
        <is>
          <t>รายเดือน</t>
        </is>
      </c>
      <c r="F388" s="369" t="inlineStr">
        <is>
          <t>ไทย</t>
        </is>
      </c>
      <c r="G388" s="369" t="inlineStr">
        <is>
          <t>833/117 ไอคอนโด ตึก A4 ซ.ลาซาล ต.บางนา อ.บางนา จ.กรุงเทพฯ 10260</t>
        </is>
      </c>
      <c r="H388" s="396" t="n">
        <v>45</v>
      </c>
      <c r="I388" s="369" t="n"/>
      <c r="J388" s="369" t="inlineStr">
        <is>
          <t>รถจักรยานยนต์ 4 จังหวะเครื่องยนต์ขนาดเล็กกว่า 125 cc</t>
        </is>
      </c>
      <c r="K388" s="410" t="inlineStr">
        <is>
          <t>แก๊สโซฮอล์ 95</t>
        </is>
      </c>
      <c r="L388" s="396" t="n">
        <v>1</v>
      </c>
      <c r="M388" s="589" t="inlineStr">
        <is>
          <t>สนง.กทม.</t>
        </is>
      </c>
      <c r="N388" s="257">
        <f>'[2]1.4 Septic'!$F$34</f>
        <v/>
      </c>
      <c r="O388" s="257">
        <f>$G$492</f>
        <v/>
      </c>
      <c r="P388" s="258" t="n"/>
      <c r="Q388" s="1731">
        <f>H388*2*L388*N388/O388</f>
        <v/>
      </c>
    </row>
    <row r="389" ht="18" customHeight="1">
      <c r="A389" s="396">
        <f>+A388+1</f>
        <v/>
      </c>
      <c r="B389" s="396" t="n">
        <v>659782</v>
      </c>
      <c r="C389" s="369" t="inlineStr">
        <is>
          <t>สุทธิดา คชยาพันธ์</t>
        </is>
      </c>
      <c r="D389" s="369" t="n"/>
      <c r="E389" s="369" t="inlineStr">
        <is>
          <t>รายเดือน</t>
        </is>
      </c>
      <c r="F389" s="369" t="n"/>
      <c r="G389" s="369" t="inlineStr">
        <is>
          <t>11/9 ม.9  ต.ทุ่งสุขลา อ.ศรีราชา จ.ชลบุรี 20230</t>
        </is>
      </c>
      <c r="H389" s="396" t="n">
        <v>5</v>
      </c>
      <c r="I389" s="369" t="n"/>
      <c r="J389" s="369" t="inlineStr">
        <is>
          <t>รถจักรยานยนต์ 4 จังหวะเครื่องยนต์ขนาด 125 cc</t>
        </is>
      </c>
      <c r="K389" s="410" t="inlineStr">
        <is>
          <t>แก๊สโซฮอล์ 91</t>
        </is>
      </c>
      <c r="L389" s="396" t="n">
        <v>1</v>
      </c>
      <c r="M389" s="589" t="n"/>
      <c r="N389" s="257">
        <f>'[2]1.4 Septic'!$F$16</f>
        <v/>
      </c>
      <c r="O389" s="257">
        <f>$G$492</f>
        <v/>
      </c>
      <c r="P389" s="258" t="n"/>
      <c r="Q389" s="1731">
        <f>H389*2*L389*N389/O389</f>
        <v/>
      </c>
    </row>
    <row r="390" ht="18" customHeight="1">
      <c r="A390" s="396">
        <f>+A389+1</f>
        <v/>
      </c>
      <c r="B390" s="396" t="n">
        <v>660004</v>
      </c>
      <c r="C390" s="369" t="inlineStr">
        <is>
          <t>อนุชิต แก้วบำรุง</t>
        </is>
      </c>
      <c r="D390" s="369" t="inlineStr">
        <is>
          <t>ชาย</t>
        </is>
      </c>
      <c r="E390" s="369" t="inlineStr">
        <is>
          <t>รายเดือน</t>
        </is>
      </c>
      <c r="F390" s="369" t="inlineStr">
        <is>
          <t>ไทย</t>
        </is>
      </c>
      <c r="G390" s="369" t="inlineStr">
        <is>
          <t>232/23 ม.6 ต.ทุ่งสุขลา อ.ศรีราชา จ.ชลบุรี 20230</t>
        </is>
      </c>
      <c r="H390" s="396" t="n">
        <v>8</v>
      </c>
      <c r="I390" s="369" t="n"/>
      <c r="J390" s="369" t="inlineStr">
        <is>
          <t>รถจักรยานยนต์ 4 จังหวะเครื่องยนต์ขนาด 125 cc</t>
        </is>
      </c>
      <c r="K390" s="410" t="inlineStr">
        <is>
          <t>แก๊สโซฮอล์ 91</t>
        </is>
      </c>
      <c r="L390" s="396" t="n">
        <v>1</v>
      </c>
      <c r="M390" s="589" t="n"/>
      <c r="N390" s="257">
        <f>'[2]1.4 Septic'!$F$16</f>
        <v/>
      </c>
      <c r="O390" s="257">
        <f>$G$492</f>
        <v/>
      </c>
      <c r="P390" s="258" t="n"/>
      <c r="Q390" s="1731">
        <f>H390*2*L390*N390/O390</f>
        <v/>
      </c>
    </row>
    <row r="391" ht="18" customHeight="1">
      <c r="A391" s="396">
        <f>+A390+1</f>
        <v/>
      </c>
      <c r="B391" s="396" t="n">
        <v>662015</v>
      </c>
      <c r="C391" s="369" t="inlineStr">
        <is>
          <t>เมธี สันประโคน</t>
        </is>
      </c>
      <c r="D391" s="369" t="inlineStr">
        <is>
          <t>ชาย</t>
        </is>
      </c>
      <c r="E391" s="369" t="inlineStr">
        <is>
          <t>รายเดือน</t>
        </is>
      </c>
      <c r="F391" s="369" t="inlineStr">
        <is>
          <t>ไทย</t>
        </is>
      </c>
      <c r="G391" s="369" t="inlineStr">
        <is>
          <t>20/35 ม.9 ต.ทุ่งสุขลา อ.ศรีราชา จ.ชลบุรี 20230</t>
        </is>
      </c>
      <c r="H391" s="396" t="n">
        <v>5</v>
      </c>
      <c r="I391" s="369" t="n"/>
      <c r="J391" s="369" t="inlineStr">
        <is>
          <t>รถจักรยานยนต์ 4 จังหวะเครื่องยนต์ขนาดเล็กกว่า 125 cc</t>
        </is>
      </c>
      <c r="K391" s="410" t="inlineStr">
        <is>
          <t>แก๊สโซฮอล์ 95</t>
        </is>
      </c>
      <c r="L391" s="396" t="n">
        <v>1</v>
      </c>
      <c r="M391" s="589" t="n"/>
      <c r="N391" s="257">
        <f>'[2]1.4 Septic'!$F$16</f>
        <v/>
      </c>
      <c r="O391" s="257">
        <f>$G$492</f>
        <v/>
      </c>
      <c r="P391" s="258" t="n"/>
      <c r="Q391" s="1731">
        <f>H391*2*L391*N391/O391</f>
        <v/>
      </c>
    </row>
    <row r="392" ht="18" customHeight="1">
      <c r="A392" s="396">
        <f>+A391+1</f>
        <v/>
      </c>
      <c r="B392" s="396" t="n">
        <v>662017</v>
      </c>
      <c r="C392" s="369" t="inlineStr">
        <is>
          <t>พีรวัฒน์ เหล่าก้อนคำ</t>
        </is>
      </c>
      <c r="D392" s="369" t="inlineStr">
        <is>
          <t>ชาย</t>
        </is>
      </c>
      <c r="E392" s="369" t="inlineStr">
        <is>
          <t>รายเดือน</t>
        </is>
      </c>
      <c r="F392" s="369" t="inlineStr">
        <is>
          <t>ไทย</t>
        </is>
      </c>
      <c r="G392" s="369" t="inlineStr">
        <is>
          <t>4/20 ม.10 ต.ทุ่งสุขลา อ.ศรีราชา จ.ชลบุรี 20230</t>
        </is>
      </c>
      <c r="H392" s="396" t="n">
        <v>8</v>
      </c>
      <c r="I392" s="369" t="n"/>
      <c r="J392" s="369" t="inlineStr">
        <is>
          <t>รถกระบะบรรทุก</t>
        </is>
      </c>
      <c r="K392" s="410" t="inlineStr">
        <is>
          <t>ดีเซล</t>
        </is>
      </c>
      <c r="L392" s="396" t="n">
        <v>1</v>
      </c>
      <c r="M392" s="589" t="n"/>
      <c r="N392" s="257">
        <f>'[2]1.4 Septic'!$F$16</f>
        <v/>
      </c>
      <c r="O392" s="257" t="n">
        <v>6.369</v>
      </c>
      <c r="P392" s="1731">
        <f>H392*2*L392*N392/O392</f>
        <v/>
      </c>
      <c r="Q392" s="258" t="n"/>
    </row>
    <row r="393" ht="18" customHeight="1">
      <c r="A393" s="396">
        <f>+A392+1</f>
        <v/>
      </c>
      <c r="B393" s="396" t="n">
        <v>662607</v>
      </c>
      <c r="C393" s="369" t="inlineStr">
        <is>
          <t>นิธิศ สาคำไม</t>
        </is>
      </c>
      <c r="D393" s="369" t="inlineStr">
        <is>
          <t>คชยาพันธ์</t>
        </is>
      </c>
      <c r="E393" s="369" t="inlineStr">
        <is>
          <t>รายเดือน</t>
        </is>
      </c>
      <c r="F393" s="369" t="n"/>
      <c r="G393" s="369" t="inlineStr">
        <is>
          <t>166/4 ม.7 ต.ทุ่งสุขลา อ.ศรีราชา จ.ชลบุรี 20230</t>
        </is>
      </c>
      <c r="H393" s="396" t="n">
        <v>18</v>
      </c>
      <c r="I393" s="369" t="n"/>
      <c r="J393" s="369" t="inlineStr">
        <is>
          <t>รถกระบะบรรทุก</t>
        </is>
      </c>
      <c r="K393" s="410" t="inlineStr">
        <is>
          <t>ดีเซล</t>
        </is>
      </c>
      <c r="L393" s="396" t="n">
        <v>1</v>
      </c>
      <c r="M393" s="589" t="n"/>
      <c r="N393" s="257">
        <f>'[2]1.4 Septic'!$F$16</f>
        <v/>
      </c>
      <c r="O393" s="257" t="n">
        <v>6.369</v>
      </c>
      <c r="P393" s="1731">
        <f>H393*2*L393*N393/O393</f>
        <v/>
      </c>
      <c r="Q393" s="258" t="n"/>
    </row>
    <row r="394" ht="18" customHeight="1">
      <c r="A394" s="396">
        <f>+A393+1</f>
        <v/>
      </c>
      <c r="B394" s="396" t="n">
        <v>662609</v>
      </c>
      <c r="C394" s="369" t="inlineStr">
        <is>
          <t>นายรุ่งโรจน์ ศรีมุกดาห์</t>
        </is>
      </c>
      <c r="D394" s="369" t="n"/>
      <c r="E394" s="369" t="inlineStr">
        <is>
          <t>รายเดือน</t>
        </is>
      </c>
      <c r="F394" s="369" t="n"/>
      <c r="G394" s="369" t="inlineStr">
        <is>
          <t>456/239 ม.4 ต.สุรศักดิ์ อ.ศรีราชา จ.ชลบุรี 20110</t>
        </is>
      </c>
      <c r="H394" s="396" t="n">
        <v>20</v>
      </c>
      <c r="I394" s="369" t="n"/>
      <c r="J394" s="369" t="inlineStr">
        <is>
          <t>รถยนต์ขนาดกลาง (1800 cc)</t>
        </is>
      </c>
      <c r="K394" s="410" t="inlineStr">
        <is>
          <t>แก๊สโซฮอล์ 95</t>
        </is>
      </c>
      <c r="L394" s="396" t="n">
        <v>1</v>
      </c>
      <c r="M394" s="589" t="n"/>
      <c r="N394" s="257">
        <f>'[2]1.4 Septic'!$F$16</f>
        <v/>
      </c>
      <c r="O394" s="257">
        <f>$G$496</f>
        <v/>
      </c>
      <c r="P394" s="258" t="n"/>
      <c r="Q394" s="1731">
        <f>H394*2*L394*N394/O394</f>
        <v/>
      </c>
    </row>
    <row r="395" ht="18" customHeight="1">
      <c r="A395" s="396">
        <f>+A394+1</f>
        <v/>
      </c>
      <c r="B395" s="396" t="n">
        <v>662612</v>
      </c>
      <c r="C395" s="369" t="inlineStr">
        <is>
          <t>สุทธิดา คชยาพันธ์</t>
        </is>
      </c>
      <c r="D395" s="369" t="inlineStr">
        <is>
          <t>หญิง</t>
        </is>
      </c>
      <c r="E395" s="369" t="inlineStr">
        <is>
          <t>รายเดือน</t>
        </is>
      </c>
      <c r="F395" s="369" t="inlineStr">
        <is>
          <t>ไทย</t>
        </is>
      </c>
      <c r="G395" s="369" t="inlineStr">
        <is>
          <t>11/9 ม.9  ต.ทุ่งสุขลา อ.ศรีราชา จ.ชลบุรี 20230</t>
        </is>
      </c>
      <c r="H395" s="396" t="n">
        <v>5</v>
      </c>
      <c r="I395" s="369" t="n"/>
      <c r="J395" s="369" t="inlineStr">
        <is>
          <t>รถจักรยานยนต์ 4 จังหวะเครื่องยนต์ขนาดเล็กกว่า 125 cc</t>
        </is>
      </c>
      <c r="K395" s="410" t="inlineStr">
        <is>
          <t>แก๊สโซฮอล์ 91</t>
        </is>
      </c>
      <c r="L395" s="396" t="n">
        <v>1</v>
      </c>
      <c r="M395" s="589" t="n"/>
      <c r="N395" s="257">
        <f>'[2]1.4 Septic'!$F$16</f>
        <v/>
      </c>
      <c r="O395" s="257">
        <f>$G$492</f>
        <v/>
      </c>
      <c r="P395" s="258" t="n"/>
      <c r="Q395" s="1731">
        <f>H395*2*L395*N395/O395</f>
        <v/>
      </c>
    </row>
    <row r="396" ht="18" customHeight="1">
      <c r="A396" s="396">
        <f>+A395+1</f>
        <v/>
      </c>
      <c r="B396" s="396" t="n">
        <v>662613</v>
      </c>
      <c r="C396" s="369" t="inlineStr">
        <is>
          <t>พลวัต รัตนอนุชาติกมล</t>
        </is>
      </c>
      <c r="D396" s="369" t="inlineStr">
        <is>
          <t>ชาย</t>
        </is>
      </c>
      <c r="E396" s="369" t="inlineStr">
        <is>
          <t>รายเดือน</t>
        </is>
      </c>
      <c r="F396" s="369" t="inlineStr">
        <is>
          <t>ไทย</t>
        </is>
      </c>
      <c r="G396" s="369" t="inlineStr">
        <is>
          <t>144/24 ม.9 ต.ทุ่งสุขลา อ.ศรีราชา จ.ชลบุรี 20230</t>
        </is>
      </c>
      <c r="H396" s="396" t="n">
        <v>9</v>
      </c>
      <c r="I396" s="369" t="n"/>
      <c r="J396" s="369" t="inlineStr">
        <is>
          <t>รถจักรยานยนต์</t>
        </is>
      </c>
      <c r="K396" s="410" t="inlineStr">
        <is>
          <t>แก๊สโซฮอล์ 95</t>
        </is>
      </c>
      <c r="L396" s="396" t="n">
        <v>1</v>
      </c>
      <c r="M396" s="589" t="n"/>
      <c r="N396" s="257">
        <f>'[2]1.4 Septic'!$F$16</f>
        <v/>
      </c>
      <c r="O396" s="1754">
        <f>$G$491</f>
        <v/>
      </c>
      <c r="P396" s="258" t="n"/>
      <c r="Q396" s="258" t="n"/>
    </row>
    <row r="397" ht="18" customHeight="1">
      <c r="A397" s="396">
        <f>+A396+1</f>
        <v/>
      </c>
      <c r="B397" s="396" t="n">
        <v>662619</v>
      </c>
      <c r="C397" s="369" t="inlineStr">
        <is>
          <t>วิทวัฒน์ สายหล้า</t>
        </is>
      </c>
      <c r="D397" s="369" t="inlineStr">
        <is>
          <t>ชาย</t>
        </is>
      </c>
      <c r="E397" s="369" t="inlineStr">
        <is>
          <t>รายเดือน</t>
        </is>
      </c>
      <c r="F397" s="369" t="inlineStr">
        <is>
          <t>ไทย</t>
        </is>
      </c>
      <c r="G397" s="369" t="inlineStr">
        <is>
          <t>135/1 ม.10 ต.เวียงมอก อ.เถิน จ.ลำปาง 52160</t>
        </is>
      </c>
      <c r="H397" s="396" t="n">
        <v>7</v>
      </c>
      <c r="I397" s="369" t="n"/>
      <c r="J397" s="369" t="inlineStr">
        <is>
          <t>รถจักรยานยนต์ 4 จังหวะเครื่องยนต์ขนาดเล็กกว่า 125 cc</t>
        </is>
      </c>
      <c r="K397" s="410" t="inlineStr">
        <is>
          <t>แก๊สโซฮอล์ 95</t>
        </is>
      </c>
      <c r="L397" s="396" t="n">
        <v>1</v>
      </c>
      <c r="M397" s="589" t="n"/>
      <c r="N397" s="257">
        <f>'[2]1.4 Septic'!$F$16</f>
        <v/>
      </c>
      <c r="O397" s="257">
        <f>$G$492</f>
        <v/>
      </c>
      <c r="P397" s="258" t="n"/>
      <c r="Q397" s="1731">
        <f>H397*2*L397*N397/O397</f>
        <v/>
      </c>
    </row>
    <row r="398" ht="18" customHeight="1">
      <c r="A398" s="396">
        <f>+A397+1</f>
        <v/>
      </c>
      <c r="B398" s="396" t="n">
        <v>662620</v>
      </c>
      <c r="C398" s="369" t="inlineStr">
        <is>
          <t>เอกราช แก้วสอาด</t>
        </is>
      </c>
      <c r="D398" s="369" t="inlineStr">
        <is>
          <t>ชาย</t>
        </is>
      </c>
      <c r="E398" s="369" t="inlineStr">
        <is>
          <t>รายเดือน</t>
        </is>
      </c>
      <c r="F398" s="369" t="inlineStr">
        <is>
          <t>ไทย</t>
        </is>
      </c>
      <c r="G398" s="369" t="inlineStr">
        <is>
          <t>64/76 ม.1 ต.บึง อ.ศรีราชา จ.ชลบุรี 20230</t>
        </is>
      </c>
      <c r="H398" s="396" t="n">
        <v>15</v>
      </c>
      <c r="I398" s="369" t="n"/>
      <c r="J398" s="369" t="inlineStr">
        <is>
          <t>รถจักรยานยนต์ 4 จังหวะเครื่องยนต์ขนาดเล็กกว่า 125 cc</t>
        </is>
      </c>
      <c r="K398" s="410" t="inlineStr">
        <is>
          <t>แก๊สโซฮอล์ 91</t>
        </is>
      </c>
      <c r="L398" s="396" t="n">
        <v>1</v>
      </c>
      <c r="M398" s="589" t="n"/>
      <c r="N398" s="257">
        <f>'[2]1.4 Septic'!$F$16</f>
        <v/>
      </c>
      <c r="O398" s="257">
        <f>$G$492</f>
        <v/>
      </c>
      <c r="P398" s="258" t="n"/>
      <c r="Q398" s="1731">
        <f>H398*2*L398*N398/O398</f>
        <v/>
      </c>
    </row>
    <row r="399" ht="18" customHeight="1">
      <c r="A399" s="396">
        <f>+A398+1</f>
        <v/>
      </c>
      <c r="B399" s="396" t="n">
        <v>662621</v>
      </c>
      <c r="C399" s="369" t="inlineStr">
        <is>
          <t>กฤษณะ เบ้าที</t>
        </is>
      </c>
      <c r="D399" s="369" t="inlineStr">
        <is>
          <t>ชาย</t>
        </is>
      </c>
      <c r="E399" s="369" t="inlineStr">
        <is>
          <t>รายเดือน</t>
        </is>
      </c>
      <c r="F399" s="369" t="inlineStr">
        <is>
          <t>ไทย</t>
        </is>
      </c>
      <c r="G399" s="369" t="inlineStr">
        <is>
          <t>288/74 ม.5 ต.บึง อ.ศรีราชา จ.ชลบุรี 20230</t>
        </is>
      </c>
      <c r="H399" s="396" t="n">
        <v>15</v>
      </c>
      <c r="I399" s="369" t="n"/>
      <c r="J399" s="369" t="inlineStr">
        <is>
          <t>รถจักรยานยนต์ 2 จังหวะเครื่องยนต์ขนาด 120cc</t>
        </is>
      </c>
      <c r="K399" s="410" t="inlineStr">
        <is>
          <t>แก๊สโซฮอล์ 95</t>
        </is>
      </c>
      <c r="L399" s="396" t="n">
        <v>1</v>
      </c>
      <c r="M399" s="589" t="n"/>
      <c r="N399" s="257">
        <f>'[2]1.4 Septic'!$F$16</f>
        <v/>
      </c>
      <c r="O399" s="1754">
        <f>$G$491</f>
        <v/>
      </c>
      <c r="P399" s="258" t="n"/>
      <c r="Q399" s="1731">
        <f>H399*2*L399*N399/O399</f>
        <v/>
      </c>
    </row>
    <row r="400" ht="18" customHeight="1">
      <c r="A400" s="396">
        <f>+A399+1</f>
        <v/>
      </c>
      <c r="B400" s="396" t="n">
        <v>662623</v>
      </c>
      <c r="C400" s="369" t="inlineStr">
        <is>
          <t>ฐิติพงศ์ สิทธิคำ</t>
        </is>
      </c>
      <c r="D400" s="369" t="inlineStr">
        <is>
          <t>ชาย</t>
        </is>
      </c>
      <c r="E400" s="369" t="inlineStr">
        <is>
          <t>รายเดือน</t>
        </is>
      </c>
      <c r="F400" s="369" t="inlineStr">
        <is>
          <t>ไทย</t>
        </is>
      </c>
      <c r="G400" s="369" t="inlineStr">
        <is>
          <t>47/49 ม.10 ต.ทุ่งสุขลา อ.ศรีราชา จ.ชลบุรี 20230</t>
        </is>
      </c>
      <c r="H400" s="396" t="n">
        <v>5</v>
      </c>
      <c r="I400" s="369" t="n"/>
      <c r="J400" s="369" t="inlineStr">
        <is>
          <t>รถจักรยานยนต์ 4 จังหวะเครื่องยนต์ขนาดเล็กกว่า 125 cc</t>
        </is>
      </c>
      <c r="K400" s="410" t="inlineStr">
        <is>
          <t>แก๊สโซฮอล์ 95</t>
        </is>
      </c>
      <c r="L400" s="396" t="n">
        <v>1</v>
      </c>
      <c r="M400" s="589" t="n"/>
      <c r="N400" s="257">
        <f>'[2]1.4 Septic'!$F$16</f>
        <v/>
      </c>
      <c r="O400" s="257">
        <f>$G$492</f>
        <v/>
      </c>
      <c r="P400" s="258" t="n"/>
      <c r="Q400" s="1731">
        <f>H400*2*L400*N400/O400</f>
        <v/>
      </c>
    </row>
    <row r="401" ht="18" customHeight="1">
      <c r="A401" s="396">
        <f>+A400+1</f>
        <v/>
      </c>
      <c r="B401" s="396" t="n">
        <v>662624</v>
      </c>
      <c r="C401" s="369" t="inlineStr">
        <is>
          <t>อรรถพร ขันปล้อง</t>
        </is>
      </c>
      <c r="D401" s="369" t="inlineStr">
        <is>
          <t>ชาย</t>
        </is>
      </c>
      <c r="E401" s="369" t="inlineStr">
        <is>
          <t>รายเดือน</t>
        </is>
      </c>
      <c r="F401" s="369" t="inlineStr">
        <is>
          <t>ไทย</t>
        </is>
      </c>
      <c r="G401" s="369" t="inlineStr">
        <is>
          <t>95 ม.3 ต.ห้วยมุ่น อ.น้ำปาด จ.อุตรดิตถ์ 53110</t>
        </is>
      </c>
      <c r="H401" s="396" t="n">
        <v>6</v>
      </c>
      <c r="I401" s="369" t="n"/>
      <c r="J401" s="369" t="inlineStr">
        <is>
          <t>รถจักรยานยนต์ 4 จังหวะเครื่องยนต์ขนาด 125 cc</t>
        </is>
      </c>
      <c r="K401" s="410" t="inlineStr">
        <is>
          <t>แก๊สโซฮอล์ 95</t>
        </is>
      </c>
      <c r="L401" s="396" t="n">
        <v>1</v>
      </c>
      <c r="M401" s="589" t="n"/>
      <c r="N401" s="257">
        <f>'[2]1.4 Septic'!$F$16</f>
        <v/>
      </c>
      <c r="O401" s="257">
        <f>$G$492</f>
        <v/>
      </c>
      <c r="P401" s="258" t="n"/>
      <c r="Q401" s="1731">
        <f>H401*2*L401*N401/O401</f>
        <v/>
      </c>
    </row>
    <row r="402" ht="18" customHeight="1">
      <c r="A402" s="396">
        <f>+A401+1</f>
        <v/>
      </c>
      <c r="B402" s="396" t="n">
        <v>662625</v>
      </c>
      <c r="C402" s="369" t="inlineStr">
        <is>
          <t>สุริยา  สิงโสภา</t>
        </is>
      </c>
      <c r="D402" s="369" t="inlineStr">
        <is>
          <t>ชาย</t>
        </is>
      </c>
      <c r="E402" s="369" t="inlineStr">
        <is>
          <t>รายเดือน</t>
        </is>
      </c>
      <c r="F402" s="369" t="inlineStr">
        <is>
          <t>ไทย</t>
        </is>
      </c>
      <c r="G402" s="369" t="inlineStr">
        <is>
          <t>2/211 ม.10 ต.ทุ่งสุขลา อ.ศรีราชา จ.ชลบุรี 20230</t>
        </is>
      </c>
      <c r="H402" s="396" t="n">
        <v>8</v>
      </c>
      <c r="I402" s="369" t="n"/>
      <c r="J402" s="369" t="inlineStr">
        <is>
          <t>รถกระบะบรรทุก</t>
        </is>
      </c>
      <c r="K402" s="410" t="inlineStr">
        <is>
          <t>แก๊สโซฮอล์ 95</t>
        </is>
      </c>
      <c r="L402" s="396" t="n">
        <v>1</v>
      </c>
      <c r="M402" s="589" t="n"/>
      <c r="N402" s="257">
        <f>'[2]1.4 Septic'!$F$16</f>
        <v/>
      </c>
      <c r="O402" s="257" t="n">
        <v>6.369</v>
      </c>
      <c r="P402" s="1731">
        <f>H402*2*L402*N402/O402</f>
        <v/>
      </c>
      <c r="Q402" s="258" t="n"/>
    </row>
    <row r="403" ht="18" customHeight="1">
      <c r="A403" s="396">
        <f>+A402+1</f>
        <v/>
      </c>
      <c r="B403" s="396" t="n">
        <v>662626</v>
      </c>
      <c r="C403" s="369" t="inlineStr">
        <is>
          <t>ชาญวิทย์  จารัตน์</t>
        </is>
      </c>
      <c r="D403" s="369" t="inlineStr">
        <is>
          <t>ชาย</t>
        </is>
      </c>
      <c r="E403" s="369" t="inlineStr">
        <is>
          <t>รายเดือน</t>
        </is>
      </c>
      <c r="F403" s="369" t="inlineStr">
        <is>
          <t>ไทย</t>
        </is>
      </c>
      <c r="G403" s="369" t="inlineStr">
        <is>
          <t>213/17 หมู่บ้านเอื้ออาทรไร่กล้วย ต.สุรศักดิ์ อ.ศรีราชา  จ.ชลบุรี 20110</t>
        </is>
      </c>
      <c r="H403" s="396" t="n">
        <v>15</v>
      </c>
      <c r="I403" s="369" t="n"/>
      <c r="J403" s="369" t="inlineStr">
        <is>
          <t>รถจักรยานยนต์ 4 จังหวะเครื่องยนต์ขนาด 125 cc</t>
        </is>
      </c>
      <c r="K403" s="410" t="inlineStr">
        <is>
          <t>แก๊สโซฮอล์ 95</t>
        </is>
      </c>
      <c r="L403" s="396" t="n">
        <v>1</v>
      </c>
      <c r="M403" s="589" t="n"/>
      <c r="N403" s="257">
        <f>'[2]1.4 Septic'!$F$16</f>
        <v/>
      </c>
      <c r="O403" s="257">
        <f>$G$492</f>
        <v/>
      </c>
      <c r="P403" s="258" t="n"/>
      <c r="Q403" s="1731">
        <f>H403*2*L403*N403/O403</f>
        <v/>
      </c>
    </row>
    <row r="404" ht="18" customHeight="1">
      <c r="A404" s="396">
        <f>+A403+1</f>
        <v/>
      </c>
      <c r="B404" s="396" t="n">
        <v>672628</v>
      </c>
      <c r="C404" s="369" t="inlineStr">
        <is>
          <t>จิราภรณ์ ขันติรมย์</t>
        </is>
      </c>
      <c r="D404" s="369" t="inlineStr">
        <is>
          <t>หญิง</t>
        </is>
      </c>
      <c r="E404" s="369" t="inlineStr">
        <is>
          <t>รายเดือน</t>
        </is>
      </c>
      <c r="F404" s="369" t="inlineStr">
        <is>
          <t>ไทย</t>
        </is>
      </c>
      <c r="G404" s="369" t="inlineStr">
        <is>
          <t>90/6 ม.7 ต.บางละมุง อ.บางละมุง  จ.ชลบุรี 20150</t>
        </is>
      </c>
      <c r="H404" s="396" t="n">
        <v>9</v>
      </c>
      <c r="I404" s="369" t="n"/>
      <c r="J404" s="369" t="inlineStr">
        <is>
          <t>รถจักรยานยนต์ 4 จังหวะเครื่องยนต์ขนาดเล็กกว่า 125 cc</t>
        </is>
      </c>
      <c r="K404" s="410" t="inlineStr">
        <is>
          <t>แก๊สโซฮอล์ 95</t>
        </is>
      </c>
      <c r="L404" s="396" t="n">
        <v>1</v>
      </c>
      <c r="M404" s="589" t="n"/>
      <c r="N404" s="257">
        <f>'[2]1.4 Septic'!$F$16</f>
        <v/>
      </c>
      <c r="O404" s="257">
        <f>$G$492</f>
        <v/>
      </c>
      <c r="P404" s="258" t="n"/>
      <c r="Q404" s="1731">
        <f>H404*2*L404*N404/O404</f>
        <v/>
      </c>
    </row>
    <row r="405" ht="18" customHeight="1">
      <c r="A405" s="396">
        <f>+A404+1</f>
        <v/>
      </c>
      <c r="B405" s="396" t="n">
        <v>530722</v>
      </c>
      <c r="C405" s="369" t="inlineStr">
        <is>
          <t>เบญจวรรณ ธรรมวงษ์</t>
        </is>
      </c>
      <c r="D405" s="369" t="inlineStr">
        <is>
          <t>หญิง</t>
        </is>
      </c>
      <c r="E405" s="369" t="inlineStr">
        <is>
          <t>รายวัน</t>
        </is>
      </c>
      <c r="F405" s="369" t="inlineStr">
        <is>
          <t>ไทย</t>
        </is>
      </c>
      <c r="G405" s="369" t="inlineStr">
        <is>
          <t>99/9 ม.4 ต.สุรศักดิ์ อ.ศรีราชา จ.ชลบุรี 20230</t>
        </is>
      </c>
      <c r="H405" s="396" t="n">
        <v>8</v>
      </c>
      <c r="I405" s="369" t="n"/>
      <c r="J405" s="369" t="inlineStr">
        <is>
          <t>รถจักรยานยนต์ 2 จังหวะเครื่องยนต์ขนาด 150cc</t>
        </is>
      </c>
      <c r="K405" s="410" t="inlineStr">
        <is>
          <t>แก๊สโซฮอล์ 95</t>
        </is>
      </c>
      <c r="L405" s="396" t="n">
        <v>1</v>
      </c>
      <c r="M405" s="589" t="n"/>
      <c r="N405" s="257">
        <f>'[2]1.4 Septic'!$F$16</f>
        <v/>
      </c>
      <c r="O405" s="1754">
        <f>$G$491</f>
        <v/>
      </c>
      <c r="P405" s="258" t="n"/>
      <c r="Q405" s="1731">
        <f>H405*2*L405*N405/O405</f>
        <v/>
      </c>
    </row>
    <row r="406" ht="18" customHeight="1">
      <c r="A406" s="396">
        <f>+A405+1</f>
        <v/>
      </c>
      <c r="B406" s="396" t="n">
        <v>557068</v>
      </c>
      <c r="C406" s="369" t="inlineStr">
        <is>
          <t>เบญจพร พิศจาร</t>
        </is>
      </c>
      <c r="D406" s="369" t="inlineStr">
        <is>
          <t>หญิง</t>
        </is>
      </c>
      <c r="E406" s="369" t="inlineStr">
        <is>
          <t>รายวัน</t>
        </is>
      </c>
      <c r="F406" s="369" t="inlineStr">
        <is>
          <t>ไทย</t>
        </is>
      </c>
      <c r="G406" s="369" t="inlineStr">
        <is>
          <t>16/3 ต.ภูฟ้า อ.บ่อเกลือ จ.น่าน 55220</t>
        </is>
      </c>
      <c r="H406" s="396" t="n">
        <v>8</v>
      </c>
      <c r="I406" s="369" t="n"/>
      <c r="J406" s="369" t="inlineStr">
        <is>
          <t>รถจักรยานยนต์ 4 จังหวะเครื่องยนต์ขนาด 125 cc</t>
        </is>
      </c>
      <c r="K406" s="410" t="inlineStr">
        <is>
          <t>แก๊สโซฮอล์ 91</t>
        </is>
      </c>
      <c r="L406" s="396" t="n">
        <v>2</v>
      </c>
      <c r="M406" s="589" t="n"/>
      <c r="N406" s="257">
        <f>'[2]1.4 Septic'!$F$16</f>
        <v/>
      </c>
      <c r="O406" s="257">
        <f>$G$492</f>
        <v/>
      </c>
      <c r="P406" s="258" t="n"/>
      <c r="Q406" s="1731">
        <f>H406*2*L406*N406/O406</f>
        <v/>
      </c>
    </row>
    <row r="407" ht="18" customHeight="1">
      <c r="A407" s="396">
        <f>+A406+1</f>
        <v/>
      </c>
      <c r="B407" s="396" t="n">
        <v>587881</v>
      </c>
      <c r="C407" s="369" t="inlineStr">
        <is>
          <t>เบญจมาภรณ์ ทัศเทียม</t>
        </is>
      </c>
      <c r="D407" s="369" t="inlineStr">
        <is>
          <t>หญิง</t>
        </is>
      </c>
      <c r="E407" s="369" t="inlineStr">
        <is>
          <t>รายวัน</t>
        </is>
      </c>
      <c r="F407" s="369" t="inlineStr">
        <is>
          <t>ไทย</t>
        </is>
      </c>
      <c r="G407" s="367" t="inlineStr">
        <is>
          <t>เครือสหพัฒน์  ต.หนองขาม อ.ศรีราชา จ.ชลบุรี 20110</t>
        </is>
      </c>
      <c r="H407" s="396" t="n">
        <v>7</v>
      </c>
      <c r="I407" s="369" t="n"/>
      <c r="J407" s="369" t="inlineStr">
        <is>
          <t>รถจักรยานยนต์ 4 จังหวะเครื่องยนต์ขนาด 125 cc</t>
        </is>
      </c>
      <c r="K407" s="410" t="inlineStr">
        <is>
          <t>แก๊สโซฮอล์ 95</t>
        </is>
      </c>
      <c r="L407" s="396" t="n">
        <v>1</v>
      </c>
      <c r="M407" s="589" t="n"/>
      <c r="N407" s="257">
        <f>'[2]1.4 Septic'!$F$16</f>
        <v/>
      </c>
      <c r="O407" s="257">
        <f>$G$492</f>
        <v/>
      </c>
      <c r="P407" s="258" t="n"/>
      <c r="Q407" s="1731">
        <f>H407*2*L407*N407/O407</f>
        <v/>
      </c>
    </row>
    <row r="408" ht="18" customHeight="1">
      <c r="A408" s="396">
        <f>+A407+1</f>
        <v/>
      </c>
      <c r="B408" s="396" t="n">
        <v>598233</v>
      </c>
      <c r="C408" s="369" t="inlineStr">
        <is>
          <t>กัลยารัตน์ มะนาวหวาน</t>
        </is>
      </c>
      <c r="D408" s="369" t="inlineStr">
        <is>
          <t>หญิง</t>
        </is>
      </c>
      <c r="E408" s="369" t="inlineStr">
        <is>
          <t>รายวัน</t>
        </is>
      </c>
      <c r="F408" s="369" t="inlineStr">
        <is>
          <t>ไทย</t>
        </is>
      </c>
      <c r="G408" s="367" t="inlineStr">
        <is>
          <t>หมู่ที่ 6 ถ. สุขุมวิท ต.ทุ่งสุขลา อ.ศรีราชา จ.ชลบุรี 20230</t>
        </is>
      </c>
      <c r="H408" s="396" t="n">
        <v>5</v>
      </c>
      <c r="I408" s="369" t="n"/>
      <c r="J408" s="369" t="inlineStr">
        <is>
          <t>รถจักรยานยนต์ 4 จังหวะเครื่องยนต์ขนาดเล็กกว่า 125 cc</t>
        </is>
      </c>
      <c r="K408" s="410" t="inlineStr">
        <is>
          <t>แก๊สโซฮอล์ 95</t>
        </is>
      </c>
      <c r="L408" s="396" t="n">
        <v>2</v>
      </c>
      <c r="M408" s="589" t="n"/>
      <c r="N408" s="257">
        <f>'[2]1.4 Septic'!$F$16</f>
        <v/>
      </c>
      <c r="O408" s="257">
        <f>$G$492</f>
        <v/>
      </c>
      <c r="P408" s="258" t="n"/>
      <c r="Q408" s="1731">
        <f>H408*2*L408*N408/O408</f>
        <v/>
      </c>
    </row>
    <row r="409" ht="18" customHeight="1">
      <c r="A409" s="396">
        <f>+A408+1</f>
        <v/>
      </c>
      <c r="B409" s="396" t="n">
        <v>608370</v>
      </c>
      <c r="C409" s="369" t="inlineStr">
        <is>
          <t>กวินทิพย์ เป็นรัมย์</t>
        </is>
      </c>
      <c r="D409" s="369" t="inlineStr">
        <is>
          <t>หญิง</t>
        </is>
      </c>
      <c r="E409" s="369" t="inlineStr">
        <is>
          <t>รายวัน</t>
        </is>
      </c>
      <c r="F409" s="369" t="inlineStr">
        <is>
          <t>ไทย</t>
        </is>
      </c>
      <c r="G409" s="369" t="inlineStr">
        <is>
          <t>38/8-10 ม.6 ต.บางละมุง อ.บางละมุง จ.ชลบุรี 20150</t>
        </is>
      </c>
      <c r="H409" s="396" t="n">
        <v>4</v>
      </c>
      <c r="I409" s="369" t="n"/>
      <c r="J409" s="369" t="inlineStr">
        <is>
          <t>รถจักรยานยนต์ 4 จังหวะเครื่องยนต์ขนาดเล็กกว่า 125 cc</t>
        </is>
      </c>
      <c r="K409" s="410" t="inlineStr">
        <is>
          <t>แก๊สโซฮอล์ 95</t>
        </is>
      </c>
      <c r="L409" s="396" t="n">
        <v>1</v>
      </c>
      <c r="M409" s="589" t="n"/>
      <c r="N409" s="257">
        <f>'[2]1.4 Septic'!$F$16</f>
        <v/>
      </c>
      <c r="O409" s="257">
        <f>$G$492</f>
        <v/>
      </c>
      <c r="P409" s="258" t="n"/>
      <c r="Q409" s="1731">
        <f>H409*2*L409*N409/O409</f>
        <v/>
      </c>
    </row>
    <row r="410" ht="18" customHeight="1">
      <c r="A410" s="396">
        <f>+A409+1</f>
        <v/>
      </c>
      <c r="B410" s="396" t="n">
        <v>608422</v>
      </c>
      <c r="C410" s="369" t="inlineStr">
        <is>
          <t>ยลดา มีควร</t>
        </is>
      </c>
      <c r="D410" s="369" t="inlineStr">
        <is>
          <t>หญิง</t>
        </is>
      </c>
      <c r="E410" s="369" t="inlineStr">
        <is>
          <t>รายวัน</t>
        </is>
      </c>
      <c r="F410" s="369" t="inlineStr">
        <is>
          <t>ไทย</t>
        </is>
      </c>
      <c r="G410" s="369" t="inlineStr">
        <is>
          <t>144/39 ม.9 ต.ทุ่งสุขลา อ.ศรีราชา จ.ชลบุรี 20230</t>
        </is>
      </c>
      <c r="H410" s="396" t="n">
        <v>7</v>
      </c>
      <c r="I410" s="369" t="n"/>
      <c r="J410" s="369" t="inlineStr">
        <is>
          <t>รถจักรยานยนต์ 4 จังหวะเครื่องยนต์ขนาด 125 cc</t>
        </is>
      </c>
      <c r="K410" s="410" t="inlineStr">
        <is>
          <t>แก๊สโซฮอล์ 91</t>
        </is>
      </c>
      <c r="L410" s="396" t="n">
        <v>1</v>
      </c>
      <c r="M410" s="589" t="n"/>
      <c r="N410" s="257">
        <f>'[2]1.4 Septic'!$F$16</f>
        <v/>
      </c>
      <c r="O410" s="257">
        <f>$G$492</f>
        <v/>
      </c>
      <c r="P410" s="258" t="n"/>
      <c r="Q410" s="1731">
        <f>H410*2*L410*N410/O410</f>
        <v/>
      </c>
    </row>
    <row r="411" ht="18" customHeight="1">
      <c r="A411" s="396">
        <f>+A410+1</f>
        <v/>
      </c>
      <c r="B411" s="396" t="n">
        <v>608594</v>
      </c>
      <c r="C411" s="369" t="inlineStr">
        <is>
          <t>หวานใจ คงงาม</t>
        </is>
      </c>
      <c r="D411" s="369" t="inlineStr">
        <is>
          <t>หญิง</t>
        </is>
      </c>
      <c r="E411" s="369" t="inlineStr">
        <is>
          <t>รายวัน</t>
        </is>
      </c>
      <c r="F411" s="369" t="inlineStr">
        <is>
          <t>ไทย</t>
        </is>
      </c>
      <c r="G411" s="369" t="inlineStr">
        <is>
          <t>115/1 ม.2 ต.ทุ่งสุขลา อ.ศรีราชา จ.ชลบุรี 20230</t>
        </is>
      </c>
      <c r="H411" s="396" t="n">
        <v>4</v>
      </c>
      <c r="I411" s="369" t="n"/>
      <c r="J411" s="369" t="inlineStr">
        <is>
          <t>รถจักรยานยนต์ 4 จังหวะเครื่องยนต์ขนาดเล็กกว่า 125 cc</t>
        </is>
      </c>
      <c r="K411" s="410" t="inlineStr">
        <is>
          <t>แก๊สโซฮอล์ 95</t>
        </is>
      </c>
      <c r="L411" s="396" t="n">
        <v>1</v>
      </c>
      <c r="M411" s="589" t="n"/>
      <c r="N411" s="257">
        <f>'[2]1.4 Septic'!$F$16</f>
        <v/>
      </c>
      <c r="O411" s="257">
        <f>$G$492</f>
        <v/>
      </c>
      <c r="P411" s="258" t="n"/>
      <c r="Q411" s="1731">
        <f>H411*2*L411*N411/O411</f>
        <v/>
      </c>
    </row>
    <row r="412" ht="18" customHeight="1">
      <c r="A412" s="396">
        <f>+A411+1</f>
        <v/>
      </c>
      <c r="B412" s="396" t="n">
        <v>608610</v>
      </c>
      <c r="C412" s="369" t="inlineStr">
        <is>
          <t>มานิต ขำเนตร</t>
        </is>
      </c>
      <c r="D412" s="369" t="inlineStr">
        <is>
          <t>หญิง</t>
        </is>
      </c>
      <c r="E412" s="369" t="inlineStr">
        <is>
          <t>รายวัน</t>
        </is>
      </c>
      <c r="F412" s="369" t="inlineStr">
        <is>
          <t>ไทย</t>
        </is>
      </c>
      <c r="G412" s="369" t="inlineStr">
        <is>
          <t>79/80 ม.9 ต.ทุ่งสุขลา อ.ศรีราชา จ.ชลบุรี 20230</t>
        </is>
      </c>
      <c r="H412" s="396" t="n">
        <v>14</v>
      </c>
      <c r="I412" s="369" t="n"/>
      <c r="J412" s="369" t="inlineStr">
        <is>
          <t>รถจักรยานยนต์ 4 จังหวะเครื่องยนต์ขนาด 125 cc</t>
        </is>
      </c>
      <c r="K412" s="410" t="inlineStr">
        <is>
          <t>แก๊สโซฮอล์ 91</t>
        </is>
      </c>
      <c r="L412" s="396" t="n">
        <v>1</v>
      </c>
      <c r="M412" s="589" t="n"/>
      <c r="N412" s="257">
        <f>'[2]1.4 Septic'!$F$16</f>
        <v/>
      </c>
      <c r="O412" s="257">
        <f>$G$492</f>
        <v/>
      </c>
      <c r="P412" s="258" t="n"/>
      <c r="Q412" s="1731">
        <f>H412*2*L412*N412/O412</f>
        <v/>
      </c>
    </row>
    <row r="413" ht="18" customHeight="1">
      <c r="A413" s="396">
        <f>+A412+1</f>
        <v/>
      </c>
      <c r="B413" s="396" t="n">
        <v>618707</v>
      </c>
      <c r="C413" s="369" t="inlineStr">
        <is>
          <t>โฉมยงค์ ฉ่ำโต</t>
        </is>
      </c>
      <c r="D413" s="369" t="inlineStr">
        <is>
          <t>หญิง</t>
        </is>
      </c>
      <c r="E413" s="369" t="inlineStr">
        <is>
          <t>รายวัน</t>
        </is>
      </c>
      <c r="F413" s="369" t="inlineStr">
        <is>
          <t>ไทย</t>
        </is>
      </c>
      <c r="G413" s="367" t="inlineStr">
        <is>
          <t>การเคหะแหลมฉบัง  ม.6 ต.บางละมุง อ.บางละมุง จ.ชลบุรี</t>
        </is>
      </c>
      <c r="H413" s="396" t="n">
        <v>3</v>
      </c>
      <c r="I413" s="369" t="n"/>
      <c r="J413" s="369" t="inlineStr">
        <is>
          <t>รถจักรยานยนต์ 4 จังหวะเครื่องยนต์ขนาด 125 cc</t>
        </is>
      </c>
      <c r="K413" s="410" t="inlineStr">
        <is>
          <t>แก๊สโซฮอล์ 91</t>
        </is>
      </c>
      <c r="L413" s="396" t="n">
        <v>1</v>
      </c>
      <c r="M413" s="589" t="n"/>
      <c r="N413" s="257">
        <f>'[2]1.4 Septic'!$F$16</f>
        <v/>
      </c>
      <c r="O413" s="257">
        <f>$G$492</f>
        <v/>
      </c>
      <c r="P413" s="258" t="n"/>
      <c r="Q413" s="1731">
        <f>H413*2*L413*N413/O413</f>
        <v/>
      </c>
    </row>
    <row r="414" ht="18" customHeight="1">
      <c r="A414" s="396">
        <f>+A413+1</f>
        <v/>
      </c>
      <c r="B414" s="396" t="n">
        <v>628870</v>
      </c>
      <c r="C414" s="369" t="inlineStr">
        <is>
          <t>สุนทรี บุตรนัย</t>
        </is>
      </c>
      <c r="D414" s="369" t="inlineStr">
        <is>
          <t>หญิง</t>
        </is>
      </c>
      <c r="E414" s="369" t="inlineStr">
        <is>
          <t>รายวัน</t>
        </is>
      </c>
      <c r="F414" s="369" t="inlineStr">
        <is>
          <t>ไทย</t>
        </is>
      </c>
      <c r="G414" s="369" t="inlineStr">
        <is>
          <t>1/111 ม.8 ต.บางละมุง อ.บางละมุง จ.ชลบุรี 20150</t>
        </is>
      </c>
      <c r="H414" s="396" t="n">
        <v>5</v>
      </c>
      <c r="I414" s="369" t="n"/>
      <c r="J414" s="369" t="inlineStr">
        <is>
          <t>รถจักรยานยนต์ 2 จังหวะเครื่องยนต์ขนาด 150cc</t>
        </is>
      </c>
      <c r="K414" s="410" t="inlineStr">
        <is>
          <t>แก๊สโซฮอล์ 95</t>
        </is>
      </c>
      <c r="L414" s="396" t="n">
        <v>1</v>
      </c>
      <c r="M414" s="589" t="n"/>
      <c r="N414" s="257">
        <f>'[2]1.4 Septic'!$F$16</f>
        <v/>
      </c>
      <c r="O414" s="1754">
        <f>$G$491</f>
        <v/>
      </c>
      <c r="P414" s="258" t="n"/>
      <c r="Q414" s="1731">
        <f>H414*2*L414*N414/O414</f>
        <v/>
      </c>
    </row>
    <row r="415" ht="18" customHeight="1">
      <c r="A415" s="396">
        <f>+A414+1</f>
        <v/>
      </c>
      <c r="B415" s="396" t="n">
        <v>628942</v>
      </c>
      <c r="C415" s="369" t="inlineStr">
        <is>
          <t>พิชญ์สินี นิลรัตน์</t>
        </is>
      </c>
      <c r="D415" s="369" t="inlineStr">
        <is>
          <t>หญิง</t>
        </is>
      </c>
      <c r="E415" s="369" t="inlineStr">
        <is>
          <t>รายวัน</t>
        </is>
      </c>
      <c r="F415" s="369" t="inlineStr">
        <is>
          <t>ไทย</t>
        </is>
      </c>
      <c r="G415" s="369" t="inlineStr">
        <is>
          <t>272/14 ม.12 ต.ทุ่งสุขลา อ.ศรีราชา จ.ชลบุรี 20230</t>
        </is>
      </c>
      <c r="H415" s="396" t="n">
        <v>7</v>
      </c>
      <c r="I415" s="369" t="n"/>
      <c r="J415" s="369" t="inlineStr">
        <is>
          <t>รถจักรยานยนต์ 2 จังหวะเครื่องยนต์ขนาด 150cc</t>
        </is>
      </c>
      <c r="K415" s="410" t="inlineStr">
        <is>
          <t>แก๊สโซฮอล์ 91</t>
        </is>
      </c>
      <c r="L415" s="396" t="n">
        <v>1</v>
      </c>
      <c r="M415" s="589" t="n"/>
      <c r="N415" s="257">
        <f>'[2]1.4 Septic'!$F$16</f>
        <v/>
      </c>
      <c r="O415" s="1754">
        <f>$G$491</f>
        <v/>
      </c>
      <c r="P415" s="258" t="n"/>
      <c r="Q415" s="1731">
        <f>H415*2*L415*N415/O415</f>
        <v/>
      </c>
    </row>
    <row r="416" ht="18" customHeight="1">
      <c r="A416" s="396">
        <f>+A415+1</f>
        <v/>
      </c>
      <c r="B416" s="396" t="n">
        <v>628976</v>
      </c>
      <c r="C416" s="369" t="inlineStr">
        <is>
          <t>เอกรินทร์ หนูพุ่ม</t>
        </is>
      </c>
      <c r="D416" s="369" t="inlineStr">
        <is>
          <t>ชาย</t>
        </is>
      </c>
      <c r="E416" s="369" t="inlineStr">
        <is>
          <t>รายวัน</t>
        </is>
      </c>
      <c r="F416" s="369" t="inlineStr">
        <is>
          <t>ไทย</t>
        </is>
      </c>
      <c r="G416" s="367" t="inlineStr">
        <is>
          <t>การเคหะแหลมฉบัง  ม.6 ต.บางละมุง อ.บางละมุง จ.ชลบุรี</t>
        </is>
      </c>
      <c r="H416" s="396" t="n">
        <v>14</v>
      </c>
      <c r="I416" s="369" t="n"/>
      <c r="J416" s="369" t="inlineStr">
        <is>
          <t>รถจักรยานยนต์ 4 จังหวะเครื่องยนต์ขนาด 125 cc</t>
        </is>
      </c>
      <c r="K416" s="410" t="inlineStr">
        <is>
          <t>แก๊สโซฮอล์ 91</t>
        </is>
      </c>
      <c r="L416" s="396" t="n">
        <v>1</v>
      </c>
      <c r="M416" s="589" t="n"/>
      <c r="N416" s="257">
        <f>'[2]1.4 Septic'!$F$16</f>
        <v/>
      </c>
      <c r="O416" s="257">
        <f>$G$492</f>
        <v/>
      </c>
      <c r="P416" s="258" t="n"/>
      <c r="Q416" s="1731">
        <f>H416*2*L416*N416/O416</f>
        <v/>
      </c>
    </row>
    <row r="417" ht="18" customHeight="1">
      <c r="A417" s="396">
        <f>+A416+1</f>
        <v/>
      </c>
      <c r="B417" s="396" t="n">
        <v>628982</v>
      </c>
      <c r="C417" s="369" t="inlineStr">
        <is>
          <t>เสงียบ เกตกาญจน์</t>
        </is>
      </c>
      <c r="D417" s="369" t="inlineStr">
        <is>
          <t>หญิง</t>
        </is>
      </c>
      <c r="E417" s="369" t="inlineStr">
        <is>
          <t>รายวัน</t>
        </is>
      </c>
      <c r="F417" s="369" t="inlineStr">
        <is>
          <t>ไทย</t>
        </is>
      </c>
      <c r="G417" s="369" t="inlineStr">
        <is>
          <t>247/39 ม.2 ต.สุรศักดิ์ อ.ศรีราชา จ.ชลบุรี 20230</t>
        </is>
      </c>
      <c r="H417" s="396" t="n">
        <v>15</v>
      </c>
      <c r="I417" s="369" t="n"/>
      <c r="J417" s="369" t="inlineStr">
        <is>
          <t>รถจักรยานยนต์ 4 จังหวะเครื่องยนต์ขนาดเล็กกว่า 125 cc</t>
        </is>
      </c>
      <c r="K417" s="410" t="inlineStr">
        <is>
          <t>แก๊สโซฮอล์ 95</t>
        </is>
      </c>
      <c r="L417" s="396" t="n">
        <v>1</v>
      </c>
      <c r="M417" s="589" t="n"/>
      <c r="N417" s="257">
        <f>'[2]1.4 Septic'!$F$16</f>
        <v/>
      </c>
      <c r="O417" s="257">
        <f>$G$492</f>
        <v/>
      </c>
      <c r="P417" s="258" t="n"/>
      <c r="Q417" s="1731">
        <f>H417*2*L417*N417/O417</f>
        <v/>
      </c>
    </row>
    <row r="418" ht="18" customHeight="1">
      <c r="A418" s="396">
        <f>+A417+1</f>
        <v/>
      </c>
      <c r="B418" s="396" t="n">
        <v>628985</v>
      </c>
      <c r="C418" s="369" t="inlineStr">
        <is>
          <t>วิชุดา เพ็งแจ่ม</t>
        </is>
      </c>
      <c r="D418" s="369" t="inlineStr">
        <is>
          <t>หญิง</t>
        </is>
      </c>
      <c r="E418" s="369" t="inlineStr">
        <is>
          <t>รายวัน</t>
        </is>
      </c>
      <c r="F418" s="369" t="inlineStr">
        <is>
          <t>ไทย</t>
        </is>
      </c>
      <c r="G418" s="367" t="inlineStr">
        <is>
          <t>สี่มุมเมืองแหลมฉบัง ต.ทุ่งสุขลา อ.ศรีราชา จ.ชลบุรี 20230</t>
        </is>
      </c>
      <c r="H418" s="396" t="n">
        <v>4</v>
      </c>
      <c r="I418" s="369" t="n"/>
      <c r="J418" s="369" t="inlineStr">
        <is>
          <t>รถจักรยานยนต์ 4 จังหวะเครื่องยนต์ขนาด 125 cc</t>
        </is>
      </c>
      <c r="K418" s="410" t="inlineStr">
        <is>
          <t>แก๊สโซฮอล์ 91</t>
        </is>
      </c>
      <c r="L418" s="396" t="n">
        <v>2</v>
      </c>
      <c r="M418" s="589" t="n"/>
      <c r="N418" s="257">
        <f>'[2]1.4 Septic'!$F$16</f>
        <v/>
      </c>
      <c r="O418" s="257">
        <f>$G$492</f>
        <v/>
      </c>
      <c r="P418" s="258" t="n"/>
      <c r="Q418" s="1731">
        <f>H418*2*L418*N418/O418</f>
        <v/>
      </c>
    </row>
    <row r="419" ht="18" customHeight="1">
      <c r="A419" s="396">
        <f>+A418+1</f>
        <v/>
      </c>
      <c r="B419" s="396" t="n">
        <v>629004</v>
      </c>
      <c r="C419" s="369" t="inlineStr">
        <is>
          <t>สุนิสา จันทร์ธรรมา</t>
        </is>
      </c>
      <c r="D419" s="369" t="inlineStr">
        <is>
          <t>หญิง</t>
        </is>
      </c>
      <c r="E419" s="369" t="inlineStr">
        <is>
          <t>รายวัน</t>
        </is>
      </c>
      <c r="F419" s="369" t="inlineStr">
        <is>
          <t>ไทย</t>
        </is>
      </c>
      <c r="G419" s="367" t="inlineStr">
        <is>
          <t>สี่มุมเมืองแหลมฉบัง ต.ทุ่งสุขลา อ.ศรีราชา จ.ชลบุรี 20230</t>
        </is>
      </c>
      <c r="H419" s="396" t="n">
        <v>6</v>
      </c>
      <c r="I419" s="369" t="n"/>
      <c r="J419" s="369" t="inlineStr">
        <is>
          <t>รถจักรยานยนต์ 4 จังหวะเครื่องยนต์ขนาด 125 cc</t>
        </is>
      </c>
      <c r="K419" s="410" t="inlineStr">
        <is>
          <t>แก๊สโซฮอล์ 95</t>
        </is>
      </c>
      <c r="L419" s="396" t="n">
        <v>1</v>
      </c>
      <c r="M419" s="589" t="n"/>
      <c r="N419" s="257">
        <f>'[2]1.4 Septic'!$F$16</f>
        <v/>
      </c>
      <c r="O419" s="257">
        <f>$G$492</f>
        <v/>
      </c>
      <c r="P419" s="258" t="n"/>
      <c r="Q419" s="1731">
        <f>H419*2*L419*N419/O419</f>
        <v/>
      </c>
    </row>
    <row r="420" ht="18" customHeight="1">
      <c r="A420" s="396">
        <f>+A419+1</f>
        <v/>
      </c>
      <c r="B420" s="396" t="n">
        <v>629030</v>
      </c>
      <c r="C420" s="369" t="inlineStr">
        <is>
          <t>รุ่งรัตน์ ชุ่มดอนไพร</t>
        </is>
      </c>
      <c r="D420" s="369" t="inlineStr">
        <is>
          <t>หญิง</t>
        </is>
      </c>
      <c r="E420" s="369" t="inlineStr">
        <is>
          <t>รายวัน</t>
        </is>
      </c>
      <c r="F420" s="369" t="inlineStr">
        <is>
          <t>ไทย</t>
        </is>
      </c>
      <c r="G420" s="369" t="inlineStr">
        <is>
          <t>55 ม.4 ต.กระตีบ อ.กำแพงแสน จ.นครปฐม 73180</t>
        </is>
      </c>
      <c r="H420" s="396" t="n">
        <v>4</v>
      </c>
      <c r="I420" s="369" t="n"/>
      <c r="J420" s="369" t="inlineStr">
        <is>
          <t>รถจักรยานยนต์ 4 จังหวะเครื่องยนต์ขนาดเล็กกว่า 125 cc</t>
        </is>
      </c>
      <c r="K420" s="410" t="inlineStr">
        <is>
          <t>แก๊สโซฮอล์ 91</t>
        </is>
      </c>
      <c r="L420" s="396" t="n">
        <v>1</v>
      </c>
      <c r="M420" s="589" t="n"/>
      <c r="N420" s="257">
        <f>'[2]1.4 Septic'!$F$16</f>
        <v/>
      </c>
      <c r="O420" s="257">
        <f>$G$492</f>
        <v/>
      </c>
      <c r="P420" s="258" t="n"/>
      <c r="Q420" s="1731">
        <f>H420*2*L420*N420/O420</f>
        <v/>
      </c>
    </row>
    <row r="421" ht="18" customHeight="1">
      <c r="A421" s="396">
        <f>+A420+1</f>
        <v/>
      </c>
      <c r="B421" s="396" t="n">
        <v>629107</v>
      </c>
      <c r="C421" s="369" t="inlineStr">
        <is>
          <t>วัชรี ชินวงศ์</t>
        </is>
      </c>
      <c r="D421" s="369" t="inlineStr">
        <is>
          <t>หญิง</t>
        </is>
      </c>
      <c r="E421" s="369" t="inlineStr">
        <is>
          <t>รายวัน</t>
        </is>
      </c>
      <c r="F421" s="369" t="inlineStr">
        <is>
          <t>ไทย</t>
        </is>
      </c>
      <c r="G421" s="369" t="inlineStr">
        <is>
          <t>23/65 ม.6 ต.บางละมุง อ.บางละมุง จ.ชลบุรี 20150</t>
        </is>
      </c>
      <c r="H421" s="396" t="n">
        <v>4</v>
      </c>
      <c r="I421" s="369" t="n"/>
      <c r="J421" s="369" t="inlineStr">
        <is>
          <t>รถจักรยานยนต์ 4 จังหวะเครื่องยนต์ขนาด 125 cc</t>
        </is>
      </c>
      <c r="K421" s="410" t="inlineStr">
        <is>
          <t>แก๊สโซฮอล์ 95</t>
        </is>
      </c>
      <c r="L421" s="396" t="n">
        <v>1</v>
      </c>
      <c r="M421" s="589" t="n"/>
      <c r="N421" s="257">
        <f>'[2]1.4 Septic'!$F$16</f>
        <v/>
      </c>
      <c r="O421" s="257">
        <f>$G$492</f>
        <v/>
      </c>
      <c r="P421" s="258" t="n"/>
      <c r="Q421" s="1731">
        <f>H421*2*L421*N421/O421</f>
        <v/>
      </c>
    </row>
    <row r="422" ht="18" customHeight="1">
      <c r="A422" s="396">
        <f>+A421+1</f>
        <v/>
      </c>
      <c r="B422" s="396" t="n">
        <v>639121</v>
      </c>
      <c r="C422" s="369" t="inlineStr">
        <is>
          <t>ถาวร มะสิการะเต</t>
        </is>
      </c>
      <c r="D422" s="369" t="inlineStr">
        <is>
          <t>ชาย</t>
        </is>
      </c>
      <c r="E422" s="369" t="inlineStr">
        <is>
          <t>รายวัน</t>
        </is>
      </c>
      <c r="F422" s="369" t="inlineStr">
        <is>
          <t>ไทย</t>
        </is>
      </c>
      <c r="G422" s="369" t="inlineStr">
        <is>
          <t>33/30 ม.4 ต.บางละมุง อ.บางละมุง จ.ชลบุรี 20150</t>
        </is>
      </c>
      <c r="H422" s="396" t="n">
        <v>8</v>
      </c>
      <c r="I422" s="369" t="n"/>
      <c r="J422" s="369" t="inlineStr">
        <is>
          <t>รถยนต์ขนาดกลาง (1800 cc)</t>
        </is>
      </c>
      <c r="K422" s="410" t="inlineStr">
        <is>
          <t>แก๊สโซฮอล์ 95</t>
        </is>
      </c>
      <c r="L422" s="396" t="n">
        <v>2</v>
      </c>
      <c r="M422" s="589" t="n"/>
      <c r="N422" s="257">
        <f>'[2]1.4 Septic'!$F$16</f>
        <v/>
      </c>
      <c r="O422" s="257">
        <f>$G$496</f>
        <v/>
      </c>
      <c r="P422" s="258" t="n"/>
      <c r="Q422" s="1731">
        <f>H422*2*L422*N422/O422</f>
        <v/>
      </c>
    </row>
    <row r="423" ht="18" customHeight="1">
      <c r="A423" s="396">
        <f>+A422+1</f>
        <v/>
      </c>
      <c r="B423" s="396" t="n">
        <v>639122</v>
      </c>
      <c r="C423" s="369" t="inlineStr">
        <is>
          <t>จตุรวิทย์ นิลทะราช</t>
        </is>
      </c>
      <c r="D423" s="369" t="inlineStr">
        <is>
          <t>ชาย</t>
        </is>
      </c>
      <c r="E423" s="369" t="inlineStr">
        <is>
          <t>รายวัน</t>
        </is>
      </c>
      <c r="F423" s="369" t="inlineStr">
        <is>
          <t>ไทย</t>
        </is>
      </c>
      <c r="G423" s="367" t="inlineStr">
        <is>
          <t>การเคหะแหลมฉบัง  ม.6 ต.บางละมุง อ.บางละมุง จ.ชลบุรี</t>
        </is>
      </c>
      <c r="H423" s="396" t="n">
        <v>6</v>
      </c>
      <c r="I423" s="369" t="n"/>
      <c r="J423" s="369" t="inlineStr">
        <is>
          <t>รถจักรยานยนต์ 2 จังหวะเครื่องยนต์ขนาด 150cc</t>
        </is>
      </c>
      <c r="K423" s="410" t="inlineStr">
        <is>
          <t>แก๊สโซฮอล์ 95</t>
        </is>
      </c>
      <c r="L423" s="396" t="n">
        <v>1</v>
      </c>
      <c r="M423" s="589" t="n"/>
      <c r="N423" s="257">
        <f>'[2]1.4 Septic'!$F$16</f>
        <v/>
      </c>
      <c r="O423" s="1754">
        <f>$G$491</f>
        <v/>
      </c>
      <c r="P423" s="258" t="n"/>
      <c r="Q423" s="1731">
        <f>H423*2*L423*N423/O423</f>
        <v/>
      </c>
    </row>
    <row r="424" ht="18" customHeight="1">
      <c r="A424" s="396">
        <f>+A423+1</f>
        <v/>
      </c>
      <c r="B424" s="396" t="n">
        <v>639124</v>
      </c>
      <c r="C424" s="369" t="inlineStr">
        <is>
          <t>สุวรรณี คัมภีระ</t>
        </is>
      </c>
      <c r="D424" s="369" t="inlineStr">
        <is>
          <t>หญิง</t>
        </is>
      </c>
      <c r="E424" s="369" t="inlineStr">
        <is>
          <t>รายวัน</t>
        </is>
      </c>
      <c r="F424" s="369" t="inlineStr">
        <is>
          <t>ไทย</t>
        </is>
      </c>
      <c r="G424" s="369" t="inlineStr">
        <is>
          <t>43 ม.6 ต.บัวขาว อ.กุฉินารายณ์ จ.กาฬสินธุ์ 46110</t>
        </is>
      </c>
      <c r="H424" s="396" t="n">
        <v>5</v>
      </c>
      <c r="I424" s="369" t="n"/>
      <c r="J424" s="369" t="inlineStr">
        <is>
          <t>รถจักรยานยนต์ 4 จังหวะเครื่องยนต์ขนาดเล็กกว่า 125 cc</t>
        </is>
      </c>
      <c r="K424" s="410" t="inlineStr">
        <is>
          <t>แก๊สโซฮอล์ 95</t>
        </is>
      </c>
      <c r="L424" s="396" t="n">
        <v>2</v>
      </c>
      <c r="M424" s="589" t="n"/>
      <c r="N424" s="257">
        <f>'[2]1.4 Septic'!$F$16</f>
        <v/>
      </c>
      <c r="O424" s="257">
        <f>$G$492</f>
        <v/>
      </c>
      <c r="P424" s="258" t="n"/>
      <c r="Q424" s="1731">
        <f>H424*2*L424*N424/O424</f>
        <v/>
      </c>
    </row>
    <row r="425" ht="18" customHeight="1">
      <c r="A425" s="396">
        <f>+A424+1</f>
        <v/>
      </c>
      <c r="B425" s="396" t="n">
        <v>639138</v>
      </c>
      <c r="C425" s="369" t="inlineStr">
        <is>
          <t>จันทนี ศิริบุตร</t>
        </is>
      </c>
      <c r="D425" s="369" t="inlineStr">
        <is>
          <t>หญิง</t>
        </is>
      </c>
      <c r="E425" s="369" t="inlineStr">
        <is>
          <t>รายวัน</t>
        </is>
      </c>
      <c r="F425" s="369" t="inlineStr">
        <is>
          <t>ไทย</t>
        </is>
      </c>
      <c r="G425" s="369" t="inlineStr">
        <is>
          <t>66/12 ม.8 ต.บางละมุง อ.บางละมุง จ.ชลบุรี 20150</t>
        </is>
      </c>
      <c r="H425" s="396" t="n">
        <v>7</v>
      </c>
      <c r="I425" s="369" t="n"/>
      <c r="J425" s="369" t="inlineStr">
        <is>
          <t>รถจักรยานยนต์ 4 จังหวะเครื่องยนต์ขนาด 125 cc</t>
        </is>
      </c>
      <c r="K425" s="410" t="inlineStr">
        <is>
          <t>แก๊สโซฮอล์ 91</t>
        </is>
      </c>
      <c r="L425" s="396" t="n">
        <v>1</v>
      </c>
      <c r="M425" s="589" t="n"/>
      <c r="N425" s="257">
        <f>'[2]1.4 Septic'!$F$16</f>
        <v/>
      </c>
      <c r="O425" s="257">
        <f>$G$492</f>
        <v/>
      </c>
      <c r="P425" s="258" t="n"/>
      <c r="Q425" s="1731">
        <f>H425*2*L425*N425/O425</f>
        <v/>
      </c>
    </row>
    <row r="426" ht="18" customHeight="1">
      <c r="A426" s="396">
        <f>+A425+1</f>
        <v/>
      </c>
      <c r="B426" s="396" t="n">
        <v>639183</v>
      </c>
      <c r="C426" s="369" t="inlineStr">
        <is>
          <t>ชนินาถ ศรีจันทรสอน</t>
        </is>
      </c>
      <c r="D426" s="369" t="inlineStr">
        <is>
          <t>หญิง</t>
        </is>
      </c>
      <c r="E426" s="369" t="inlineStr">
        <is>
          <t>รายวัน</t>
        </is>
      </c>
      <c r="F426" s="369" t="inlineStr">
        <is>
          <t>ไทย</t>
        </is>
      </c>
      <c r="G426" s="369" t="inlineStr">
        <is>
          <t>194/58 หมู่ 8 ต.ทุ่งสุขลา อ.ศรีราชา จ.ชลบุรี 20230</t>
        </is>
      </c>
      <c r="H426" s="396" t="n">
        <v>8</v>
      </c>
      <c r="I426" s="369" t="n"/>
      <c r="J426" s="369" t="inlineStr">
        <is>
          <t>รถจักรยานยนต์ 4 จังหวะเครื่องยนต์ขนาด 125 cc</t>
        </is>
      </c>
      <c r="K426" s="410" t="inlineStr">
        <is>
          <t>แก๊สโซฮอล์ 95</t>
        </is>
      </c>
      <c r="L426" s="396" t="n">
        <v>2</v>
      </c>
      <c r="M426" s="589" t="n"/>
      <c r="N426" s="257">
        <f>'[2]1.4 Septic'!$F$16</f>
        <v/>
      </c>
      <c r="O426" s="257">
        <f>$G$492</f>
        <v/>
      </c>
      <c r="P426" s="258" t="n"/>
      <c r="Q426" s="1731">
        <f>H426*2*L426*N426/O426</f>
        <v/>
      </c>
    </row>
    <row r="427" ht="18" customHeight="1">
      <c r="A427" s="396">
        <f>+A426+1</f>
        <v/>
      </c>
      <c r="B427" s="396" t="n">
        <v>639203</v>
      </c>
      <c r="C427" s="369" t="inlineStr">
        <is>
          <t>สุภาวดี คำพันธ์</t>
        </is>
      </c>
      <c r="D427" s="369" t="inlineStr">
        <is>
          <t>หญิง</t>
        </is>
      </c>
      <c r="E427" s="369" t="inlineStr">
        <is>
          <t>รายวัน</t>
        </is>
      </c>
      <c r="F427" s="369" t="inlineStr">
        <is>
          <t>ไทย</t>
        </is>
      </c>
      <c r="G427" s="369" t="inlineStr">
        <is>
          <t>79/9 ม.2 ต.ทุ่งสุขลา อ.ศรีราชา จ.ชลบุรี 20230</t>
        </is>
      </c>
      <c r="H427" s="396" t="n">
        <v>7</v>
      </c>
      <c r="I427" s="369" t="n"/>
      <c r="J427" s="369" t="inlineStr">
        <is>
          <t>รถจักรยานยนต์ 4 จังหวะเครื่องยนต์ขนาดเล็กกว่า 125 cc</t>
        </is>
      </c>
      <c r="K427" s="410" t="inlineStr">
        <is>
          <t>แก๊สโซฮอล์ 91</t>
        </is>
      </c>
      <c r="L427" s="396" t="n">
        <v>2</v>
      </c>
      <c r="M427" s="589" t="n"/>
      <c r="N427" s="257">
        <f>'[2]1.4 Septic'!$F$16</f>
        <v/>
      </c>
      <c r="O427" s="257">
        <f>$G$492</f>
        <v/>
      </c>
      <c r="P427" s="258" t="n"/>
      <c r="Q427" s="1731">
        <f>H427*2*L427*N427/O427</f>
        <v/>
      </c>
    </row>
    <row r="428" ht="18" customHeight="1">
      <c r="A428" s="396">
        <f>+A427+1</f>
        <v/>
      </c>
      <c r="B428" s="396" t="n">
        <v>639226</v>
      </c>
      <c r="C428" s="369" t="inlineStr">
        <is>
          <t>สุกัญญา จักราช</t>
        </is>
      </c>
      <c r="D428" s="369" t="inlineStr">
        <is>
          <t>หญิง</t>
        </is>
      </c>
      <c r="E428" s="369" t="inlineStr">
        <is>
          <t>รายวัน</t>
        </is>
      </c>
      <c r="F428" s="369" t="inlineStr">
        <is>
          <t>ไทย</t>
        </is>
      </c>
      <c r="G428" s="369" t="inlineStr">
        <is>
          <t>125/32-34 ม.10 ต.ทุ่งสุขลา อ.ศรีราชา จ.ชลบุรี 20230</t>
        </is>
      </c>
      <c r="H428" s="396" t="n">
        <v>6</v>
      </c>
      <c r="I428" s="369" t="n"/>
      <c r="J428" s="369" t="inlineStr">
        <is>
          <t>รถจักรยานยนต์ 4 จังหวะเครื่องยนต์ขนาด 125 cc</t>
        </is>
      </c>
      <c r="K428" s="410" t="inlineStr">
        <is>
          <t>แก๊สโซฮอล์ 91</t>
        </is>
      </c>
      <c r="L428" s="396" t="n">
        <v>1</v>
      </c>
      <c r="M428" s="589" t="n"/>
      <c r="N428" s="257">
        <f>'[2]1.4 Septic'!$F$16</f>
        <v/>
      </c>
      <c r="O428" s="257">
        <f>$G$492</f>
        <v/>
      </c>
      <c r="P428" s="258" t="n"/>
      <c r="Q428" s="1731">
        <f>H428*2*L428*N428/O428</f>
        <v/>
      </c>
    </row>
    <row r="429" ht="18" customHeight="1">
      <c r="A429" s="396">
        <f>+A428+1</f>
        <v/>
      </c>
      <c r="B429" s="396" t="n">
        <v>639278</v>
      </c>
      <c r="C429" s="369" t="inlineStr">
        <is>
          <t>อุทัยวรรณ ฦาเวทย์</t>
        </is>
      </c>
      <c r="D429" s="369" t="inlineStr">
        <is>
          <t>หญิง</t>
        </is>
      </c>
      <c r="E429" s="369" t="inlineStr">
        <is>
          <t>รายวัน</t>
        </is>
      </c>
      <c r="F429" s="369" t="inlineStr">
        <is>
          <t>ไทย</t>
        </is>
      </c>
      <c r="G429" s="369" t="inlineStr">
        <is>
          <t>158/81 ม.12 ต.ทุ่งสุขลา อ.ศรีราชา จ.ชลบุรี 20230</t>
        </is>
      </c>
      <c r="H429" s="396" t="n">
        <v>4.5</v>
      </c>
      <c r="I429" s="369" t="n"/>
      <c r="J429" s="369" t="inlineStr">
        <is>
          <t>รถจักรยานยนต์ 4 จังหวะเครื่องยนต์ขนาดเล็กกว่า 125 cc</t>
        </is>
      </c>
      <c r="K429" s="410" t="inlineStr">
        <is>
          <t>แก๊สโซฮอล์ 91</t>
        </is>
      </c>
      <c r="L429" s="396" t="n">
        <v>1</v>
      </c>
      <c r="M429" s="589" t="n"/>
      <c r="N429" s="257">
        <f>'[2]1.4 Septic'!$F$16</f>
        <v/>
      </c>
      <c r="O429" s="257">
        <f>$G$492</f>
        <v/>
      </c>
      <c r="P429" s="258" t="n"/>
      <c r="Q429" s="1731">
        <f>H429*2*L429*N429/O429</f>
        <v/>
      </c>
    </row>
    <row r="430" ht="18" customHeight="1">
      <c r="A430" s="396">
        <f>+A429+1</f>
        <v/>
      </c>
      <c r="B430" s="396" t="n">
        <v>639321</v>
      </c>
      <c r="C430" s="369" t="inlineStr">
        <is>
          <t>เจนจิรา แพงคำอ้วน</t>
        </is>
      </c>
      <c r="D430" s="369" t="inlineStr">
        <is>
          <t>หญิง</t>
        </is>
      </c>
      <c r="E430" s="369" t="inlineStr">
        <is>
          <t>รายวัน</t>
        </is>
      </c>
      <c r="F430" s="369" t="inlineStr">
        <is>
          <t>ไทย</t>
        </is>
      </c>
      <c r="G430" s="369" t="inlineStr">
        <is>
          <t>21 ม.4 ต.บางละมุง อ.บางละมุง จ.ชลบุรี 20150</t>
        </is>
      </c>
      <c r="H430" s="396" t="n">
        <v>5</v>
      </c>
      <c r="I430" s="369" t="n"/>
      <c r="J430" s="369" t="inlineStr">
        <is>
          <t>รถจักรยานยนต์ 4 จังหวะเครื่องยนต์ขนาด 125 cc</t>
        </is>
      </c>
      <c r="K430" s="410" t="inlineStr">
        <is>
          <t>แก๊สโซฮอล์ 95</t>
        </is>
      </c>
      <c r="L430" s="396" t="n">
        <v>1</v>
      </c>
      <c r="M430" s="589" t="n"/>
      <c r="N430" s="257">
        <f>'[2]1.4 Septic'!$F$16</f>
        <v/>
      </c>
      <c r="O430" s="257">
        <f>$G$492</f>
        <v/>
      </c>
      <c r="P430" s="258" t="n"/>
      <c r="Q430" s="1731">
        <f>H430*2*L430*N430/O430</f>
        <v/>
      </c>
    </row>
    <row r="431" ht="18" customHeight="1">
      <c r="A431" s="396">
        <f>+A430+1</f>
        <v/>
      </c>
      <c r="B431" s="396" t="n">
        <v>639371</v>
      </c>
      <c r="C431" s="369" t="inlineStr">
        <is>
          <t>วิสุทธิณี เศษมาก</t>
        </is>
      </c>
      <c r="D431" s="369" t="inlineStr">
        <is>
          <t>หญิง</t>
        </is>
      </c>
      <c r="E431" s="369" t="inlineStr">
        <is>
          <t>รายวัน</t>
        </is>
      </c>
      <c r="F431" s="369" t="inlineStr">
        <is>
          <t>ไทย</t>
        </is>
      </c>
      <c r="G431" s="369" t="inlineStr">
        <is>
          <t>114/70 หมู่ 2 ต.ทุ่งสุขลา อ.ศรีราชา จ.ชลบุรี 20230</t>
        </is>
      </c>
      <c r="H431" s="396" t="n">
        <v>6</v>
      </c>
      <c r="I431" s="369" t="n"/>
      <c r="J431" s="369" t="inlineStr">
        <is>
          <t>รถจักรยานยนต์ 4 จังหวะเครื่องยนต์ขนาดเล็กกว่า 125 cc</t>
        </is>
      </c>
      <c r="K431" s="410" t="inlineStr">
        <is>
          <t>แก๊สโซฮอล์ 91</t>
        </is>
      </c>
      <c r="L431" s="396" t="n">
        <v>2</v>
      </c>
      <c r="M431" s="589" t="n"/>
      <c r="N431" s="257">
        <f>'[2]1.4 Septic'!$F$16</f>
        <v/>
      </c>
      <c r="O431" s="257">
        <f>$G$492</f>
        <v/>
      </c>
      <c r="P431" s="258" t="n"/>
      <c r="Q431" s="1731">
        <f>H431*2*L431*N431/O431</f>
        <v/>
      </c>
    </row>
    <row r="432" ht="18" customHeight="1">
      <c r="A432" s="396">
        <f>+A431+1</f>
        <v/>
      </c>
      <c r="B432" s="396" t="n">
        <v>639396</v>
      </c>
      <c r="C432" s="369" t="inlineStr">
        <is>
          <t>จุฑารัตน์ ปาเส</t>
        </is>
      </c>
      <c r="D432" s="369" t="inlineStr">
        <is>
          <t>หญิง</t>
        </is>
      </c>
      <c r="E432" s="369" t="inlineStr">
        <is>
          <t>รายวัน</t>
        </is>
      </c>
      <c r="F432" s="369" t="inlineStr">
        <is>
          <t>ไทย</t>
        </is>
      </c>
      <c r="G432" s="369" t="inlineStr">
        <is>
          <t>222/55 หมู่10 ต.ทุ่งสุขลา อ.ศรีราชา จ.ชลบุรี 20230</t>
        </is>
      </c>
      <c r="H432" s="396" t="n">
        <v>6</v>
      </c>
      <c r="I432" s="369" t="n"/>
      <c r="J432" s="369" t="inlineStr">
        <is>
          <t>รถจักรยานยนต์ 4 จังหวะเครื่องยนต์ขนาดเล็กกว่า 125 cc</t>
        </is>
      </c>
      <c r="K432" s="410" t="inlineStr">
        <is>
          <t>แก๊สโซฮอล์ 91</t>
        </is>
      </c>
      <c r="L432" s="396" t="n">
        <v>1</v>
      </c>
      <c r="M432" s="589" t="n"/>
      <c r="N432" s="257">
        <f>'[2]1.4 Septic'!$F$16</f>
        <v/>
      </c>
      <c r="O432" s="257">
        <f>$G$492</f>
        <v/>
      </c>
      <c r="P432" s="258" t="n"/>
      <c r="Q432" s="1731">
        <f>H432*2*L432*N432/O432</f>
        <v/>
      </c>
    </row>
    <row r="433" ht="18" customHeight="1">
      <c r="A433" s="396">
        <f>+A432+1</f>
        <v/>
      </c>
      <c r="B433" s="396" t="n">
        <v>639411</v>
      </c>
      <c r="C433" s="369" t="inlineStr">
        <is>
          <t>แสงเดือน คุ้มเขว้า</t>
        </is>
      </c>
      <c r="D433" s="369" t="inlineStr">
        <is>
          <t>หญิง</t>
        </is>
      </c>
      <c r="E433" s="369" t="inlineStr">
        <is>
          <t>รายวัน</t>
        </is>
      </c>
      <c r="F433" s="369" t="inlineStr">
        <is>
          <t>ไทย</t>
        </is>
      </c>
      <c r="G433" s="369" t="inlineStr">
        <is>
          <t>83/24 ม.2 ต.ทุ่งสุขลา อ.ศรีราชา จ.ชลบุรี 20230</t>
        </is>
      </c>
      <c r="H433" s="396" t="n">
        <v>15</v>
      </c>
      <c r="I433" s="369" t="n"/>
      <c r="J433" s="369" t="inlineStr">
        <is>
          <t>รถจักรยานยนต์ 4 จังหวะเครื่องยนต์ขนาดเล็กกว่า 125 cc</t>
        </is>
      </c>
      <c r="K433" s="410" t="inlineStr">
        <is>
          <t>แก๊สโซฮอล์ 95</t>
        </is>
      </c>
      <c r="L433" s="396" t="n">
        <v>1</v>
      </c>
      <c r="M433" s="589" t="n"/>
      <c r="N433" s="257">
        <f>'[2]1.4 Septic'!$F$16</f>
        <v/>
      </c>
      <c r="O433" s="257">
        <f>$G$492</f>
        <v/>
      </c>
      <c r="P433" s="258" t="n"/>
      <c r="Q433" s="1731">
        <f>H433*2*L433*N433/O433</f>
        <v/>
      </c>
    </row>
    <row r="434" ht="18" customHeight="1">
      <c r="A434" s="396">
        <f>+A433+1</f>
        <v/>
      </c>
      <c r="B434" s="396" t="n">
        <v>639413</v>
      </c>
      <c r="C434" s="369" t="inlineStr">
        <is>
          <t>ศรีสุวรรณ เทียมทัศน์</t>
        </is>
      </c>
      <c r="D434" s="369" t="inlineStr">
        <is>
          <t>ชาย</t>
        </is>
      </c>
      <c r="E434" s="369" t="inlineStr">
        <is>
          <t>รายวัน</t>
        </is>
      </c>
      <c r="F434" s="369" t="inlineStr">
        <is>
          <t>ไทย</t>
        </is>
      </c>
      <c r="G434" s="369" t="inlineStr">
        <is>
          <t>46/84ม.1 ต.บึง อ.ศรีราชา จ.ชลบุรี 20230</t>
        </is>
      </c>
      <c r="H434" s="396" t="n">
        <v>10</v>
      </c>
      <c r="I434" s="369" t="n"/>
      <c r="J434" s="369" t="inlineStr">
        <is>
          <t>รถจักรยานยนต์ 2 จังหวะเครื่องยนต์ขนาด 150cc</t>
        </is>
      </c>
      <c r="K434" s="410" t="inlineStr">
        <is>
          <t>เบนซิน</t>
        </is>
      </c>
      <c r="L434" s="396" t="n">
        <v>1</v>
      </c>
      <c r="M434" s="589" t="n"/>
      <c r="N434" s="257">
        <f>'[2]1.4 Septic'!$F$16</f>
        <v/>
      </c>
      <c r="O434" s="1754">
        <f>$G$491</f>
        <v/>
      </c>
      <c r="P434" s="258" t="n"/>
      <c r="Q434" s="1731">
        <f>H434*2*L434*N434/O434</f>
        <v/>
      </c>
    </row>
    <row r="435" ht="18" customHeight="1">
      <c r="A435" s="396">
        <f>+A434+1</f>
        <v/>
      </c>
      <c r="B435" s="396" t="n">
        <v>639429</v>
      </c>
      <c r="C435" s="369" t="inlineStr">
        <is>
          <t>อรนภา เฉื่อยกลาง</t>
        </is>
      </c>
      <c r="D435" s="369" t="inlineStr">
        <is>
          <t>หญิง</t>
        </is>
      </c>
      <c r="E435" s="369" t="inlineStr">
        <is>
          <t>รายวัน</t>
        </is>
      </c>
      <c r="F435" s="369" t="inlineStr">
        <is>
          <t>ไทย</t>
        </is>
      </c>
      <c r="G435" s="369" t="inlineStr">
        <is>
          <t>49/6 ม.4 ต.บางละมุง อ.บางละมุง จ.ชลบุรี 20150</t>
        </is>
      </c>
      <c r="H435" s="396" t="n">
        <v>3</v>
      </c>
      <c r="I435" s="369" t="n"/>
      <c r="J435" s="369" t="inlineStr">
        <is>
          <t>รถจักรยานยนต์ 4 จังหวะเครื่องยนต์ขนาด 125 cc</t>
        </is>
      </c>
      <c r="K435" s="410" t="inlineStr">
        <is>
          <t>แก๊สโซฮอล์ 91</t>
        </is>
      </c>
      <c r="L435" s="396" t="n">
        <v>1</v>
      </c>
      <c r="M435" s="589" t="n"/>
      <c r="N435" s="257">
        <f>'[2]1.4 Septic'!$F$16</f>
        <v/>
      </c>
      <c r="O435" s="257">
        <f>$G$492</f>
        <v/>
      </c>
      <c r="P435" s="258" t="n"/>
      <c r="Q435" s="1731">
        <f>H435*2*L435*N435/O435</f>
        <v/>
      </c>
    </row>
    <row r="436" ht="18" customHeight="1">
      <c r="A436" s="396">
        <f>+A435+1</f>
        <v/>
      </c>
      <c r="B436" s="396" t="n">
        <v>649525</v>
      </c>
      <c r="C436" s="369" t="inlineStr">
        <is>
          <t>รัตติกาล กองพรมฤทธิ์</t>
        </is>
      </c>
      <c r="D436" s="369" t="inlineStr">
        <is>
          <t>หญิง</t>
        </is>
      </c>
      <c r="E436" s="369" t="inlineStr">
        <is>
          <t>รายวัน</t>
        </is>
      </c>
      <c r="F436" s="369" t="inlineStr">
        <is>
          <t>ไทย</t>
        </is>
      </c>
      <c r="G436" s="369" t="inlineStr">
        <is>
          <t>38/4 ม.8 ต.บางละมุง อ.บางละมุง จ.ชลบุรี 20150</t>
        </is>
      </c>
      <c r="H436" s="396" t="n">
        <v>7</v>
      </c>
      <c r="I436" s="369" t="n"/>
      <c r="J436" s="369" t="inlineStr">
        <is>
          <t>รถจักรยานยนต์ 4 จังหวะเครื่องยนต์ขนาดเล็กกว่า 125 cc</t>
        </is>
      </c>
      <c r="K436" s="410" t="inlineStr">
        <is>
          <t>แก๊สโซฮอล์ 95</t>
        </is>
      </c>
      <c r="L436" s="396" t="n">
        <v>1</v>
      </c>
      <c r="M436" s="589" t="n"/>
      <c r="N436" s="257">
        <f>'[2]1.4 Septic'!$F$16</f>
        <v/>
      </c>
      <c r="O436" s="257">
        <f>$G$492</f>
        <v/>
      </c>
      <c r="P436" s="258" t="n"/>
      <c r="Q436" s="1731">
        <f>H436*2*L436*N436/O436</f>
        <v/>
      </c>
    </row>
    <row r="437" ht="18" customHeight="1">
      <c r="A437" s="396">
        <f>+A436+1</f>
        <v/>
      </c>
      <c r="B437" s="396" t="n">
        <v>649527</v>
      </c>
      <c r="C437" s="369" t="inlineStr">
        <is>
          <t>เกศชรินทร์ สันโดษ</t>
        </is>
      </c>
      <c r="D437" s="369" t="inlineStr">
        <is>
          <t>หญิง</t>
        </is>
      </c>
      <c r="E437" s="369" t="inlineStr">
        <is>
          <t>รายวัน</t>
        </is>
      </c>
      <c r="F437" s="369" t="inlineStr">
        <is>
          <t>ไทย</t>
        </is>
      </c>
      <c r="G437" s="369" t="inlineStr">
        <is>
          <t>66/4 ม.10 ต.ทุ่งสุขลา อ.ศรีราชา จ.ชลบุรี 20230</t>
        </is>
      </c>
      <c r="H437" s="396" t="n">
        <v>5</v>
      </c>
      <c r="I437" s="369" t="n"/>
      <c r="J437" s="369" t="inlineStr">
        <is>
          <t>รถกระบะบรรทุก</t>
        </is>
      </c>
      <c r="K437" s="410" t="inlineStr">
        <is>
          <t>ดีเซล</t>
        </is>
      </c>
      <c r="L437" s="396" t="n">
        <v>1</v>
      </c>
      <c r="M437" s="589" t="n"/>
      <c r="N437" s="257">
        <f>'[2]1.4 Septic'!$F$16</f>
        <v/>
      </c>
      <c r="O437" s="257" t="n">
        <v>6.369</v>
      </c>
      <c r="P437" s="1731">
        <f>H437*2*L437*N437/O437</f>
        <v/>
      </c>
      <c r="Q437" s="258" t="n"/>
    </row>
    <row r="438" ht="18" customHeight="1">
      <c r="A438" s="396">
        <f>+A437+1</f>
        <v/>
      </c>
      <c r="B438" s="396" t="n">
        <v>649538</v>
      </c>
      <c r="C438" s="369" t="inlineStr">
        <is>
          <t>ปราโมทย์ สิงหะทัต</t>
        </is>
      </c>
      <c r="D438" s="369" t="inlineStr">
        <is>
          <t>ชาย</t>
        </is>
      </c>
      <c r="E438" s="369" t="inlineStr">
        <is>
          <t>รายวัน</t>
        </is>
      </c>
      <c r="F438" s="369" t="inlineStr">
        <is>
          <t>ไทย</t>
        </is>
      </c>
      <c r="G438" s="369" t="inlineStr">
        <is>
          <t>106/48 ม.10 ต.หนองปรือ อ.บางละมุง จ.ชลบุรี 20150</t>
        </is>
      </c>
      <c r="H438" s="396" t="n">
        <v>16</v>
      </c>
      <c r="I438" s="369" t="n"/>
      <c r="J438" s="369" t="inlineStr">
        <is>
          <t>รถจักรยานยนต์ 2 จังหวะเครื่องยนต์ขนาด 150cc</t>
        </is>
      </c>
      <c r="K438" s="410" t="inlineStr">
        <is>
          <t>แก๊สโซฮอล์ 95</t>
        </is>
      </c>
      <c r="L438" s="396" t="n">
        <v>1</v>
      </c>
      <c r="M438" s="589" t="n"/>
      <c r="N438" s="257">
        <f>'[2]1.4 Septic'!$F$16</f>
        <v/>
      </c>
      <c r="O438" s="1754">
        <f>$G$491</f>
        <v/>
      </c>
      <c r="P438" s="258" t="n"/>
      <c r="Q438" s="1731">
        <f>H438*2*L438*N438/O438</f>
        <v/>
      </c>
    </row>
    <row r="439" ht="18" customHeight="1">
      <c r="A439" s="396">
        <f>+A438+1</f>
        <v/>
      </c>
      <c r="B439" s="396" t="n">
        <v>649544</v>
      </c>
      <c r="C439" s="369" t="inlineStr">
        <is>
          <t>อัฉราภรณ์ เชียดรัมย์</t>
        </is>
      </c>
      <c r="D439" s="369" t="inlineStr">
        <is>
          <t>หญิง</t>
        </is>
      </c>
      <c r="E439" s="369" t="inlineStr">
        <is>
          <t>รายวัน</t>
        </is>
      </c>
      <c r="F439" s="369" t="inlineStr">
        <is>
          <t>ไทย</t>
        </is>
      </c>
      <c r="G439" s="369" t="inlineStr">
        <is>
          <t>29/1 ต.บางละมุง อ.บางละมุง จ.ชลบุรี 20150</t>
        </is>
      </c>
      <c r="H439" s="396" t="n">
        <v>4</v>
      </c>
      <c r="I439" s="369" t="n"/>
      <c r="J439" s="369" t="inlineStr">
        <is>
          <t>รถจักรยานยนต์ 4 จังหวะเครื่องยนต์ขนาดเล็กกว่า 125 cc</t>
        </is>
      </c>
      <c r="K439" s="410" t="inlineStr">
        <is>
          <t>แก๊สโซฮอล์ 95</t>
        </is>
      </c>
      <c r="L439" s="396" t="n">
        <v>1</v>
      </c>
      <c r="M439" s="589" t="n"/>
      <c r="N439" s="257">
        <f>'[2]1.4 Septic'!$F$16</f>
        <v/>
      </c>
      <c r="O439" s="257">
        <f>$G$492</f>
        <v/>
      </c>
      <c r="P439" s="258" t="n"/>
      <c r="Q439" s="1731">
        <f>H439*2*L439*N439/O439</f>
        <v/>
      </c>
    </row>
    <row r="440" ht="18" customHeight="1">
      <c r="A440" s="396">
        <f>+A439+1</f>
        <v/>
      </c>
      <c r="B440" s="396" t="n">
        <v>649545</v>
      </c>
      <c r="C440" s="369" t="inlineStr">
        <is>
          <t>เกศริน เทวะเส</t>
        </is>
      </c>
      <c r="D440" s="369" t="inlineStr">
        <is>
          <t>หญิง</t>
        </is>
      </c>
      <c r="E440" s="369" t="inlineStr">
        <is>
          <t>รายวัน</t>
        </is>
      </c>
      <c r="F440" s="369" t="inlineStr">
        <is>
          <t>ไทย</t>
        </is>
      </c>
      <c r="G440" s="369" t="inlineStr">
        <is>
          <t>62/5 หมู่9 ต.ทุ่งสุขลา อ.ศรีราชา จ.ชลบุรี 20230</t>
        </is>
      </c>
      <c r="H440" s="396" t="n">
        <v>5</v>
      </c>
      <c r="I440" s="369" t="n"/>
      <c r="J440" s="369" t="inlineStr">
        <is>
          <t>รถจักรยานยนต์ 2 จังหวะเครื่องยนต์ขนาด 150cc</t>
        </is>
      </c>
      <c r="K440" s="410" t="inlineStr">
        <is>
          <t>แก๊สโซฮอล์ 95</t>
        </is>
      </c>
      <c r="L440" s="396" t="n">
        <v>1</v>
      </c>
      <c r="M440" s="589" t="n"/>
      <c r="N440" s="257">
        <f>'[2]1.4 Septic'!$F$16</f>
        <v/>
      </c>
      <c r="O440" s="1754">
        <f>$G$491</f>
        <v/>
      </c>
      <c r="P440" s="258" t="n"/>
      <c r="Q440" s="1731">
        <f>H440*2*L440*N440/O440</f>
        <v/>
      </c>
    </row>
    <row r="441" ht="18" customHeight="1">
      <c r="A441" s="396">
        <f>+A440+1</f>
        <v/>
      </c>
      <c r="B441" s="396" t="n">
        <v>649552</v>
      </c>
      <c r="C441" s="369" t="inlineStr">
        <is>
          <t>ลำไย ภูทองดี</t>
        </is>
      </c>
      <c r="D441" s="369" t="inlineStr">
        <is>
          <t>หญิง</t>
        </is>
      </c>
      <c r="E441" s="369" t="inlineStr">
        <is>
          <t>รายวัน</t>
        </is>
      </c>
      <c r="F441" s="369" t="inlineStr">
        <is>
          <t>ไทย</t>
        </is>
      </c>
      <c r="G441" s="369" t="inlineStr">
        <is>
          <t>582/221 ม.11 ต.หนองขาม อ.ศรีราชา จ.ชลบุรี 20230</t>
        </is>
      </c>
      <c r="H441" s="396" t="n">
        <v>5</v>
      </c>
      <c r="I441" s="369" t="n"/>
      <c r="J441" s="369" t="inlineStr">
        <is>
          <t>รถจักรยานยนต์ 4 จังหวะเครื่องยนต์ขนาดเล็กกว่า 125 cc</t>
        </is>
      </c>
      <c r="K441" s="410" t="inlineStr">
        <is>
          <t>แก๊สโซฮอล์ 95</t>
        </is>
      </c>
      <c r="L441" s="396" t="n">
        <v>1</v>
      </c>
      <c r="M441" s="589" t="n"/>
      <c r="N441" s="257">
        <f>'[2]1.4 Septic'!$F$16</f>
        <v/>
      </c>
      <c r="O441" s="257">
        <f>$G$492</f>
        <v/>
      </c>
      <c r="P441" s="258" t="n"/>
      <c r="Q441" s="1731">
        <f>H441*2*L441*N441/O441</f>
        <v/>
      </c>
    </row>
    <row r="442" ht="18" customHeight="1">
      <c r="A442" s="396">
        <f>+A441+1</f>
        <v/>
      </c>
      <c r="B442" s="396" t="n">
        <v>649561</v>
      </c>
      <c r="C442" s="369" t="inlineStr">
        <is>
          <t>วาสนา ธิบดี</t>
        </is>
      </c>
      <c r="D442" s="369" t="inlineStr">
        <is>
          <t>หญิง</t>
        </is>
      </c>
      <c r="E442" s="369" t="inlineStr">
        <is>
          <t>รายวัน</t>
        </is>
      </c>
      <c r="F442" s="369" t="inlineStr">
        <is>
          <t>ไทย</t>
        </is>
      </c>
      <c r="G442" s="369" t="inlineStr">
        <is>
          <t>84/10 ม.12 ต.หนองปรือ อ.บางละมุง จ.ชลบุรี 20150</t>
        </is>
      </c>
      <c r="H442" s="396" t="n">
        <v>20</v>
      </c>
      <c r="I442" s="369" t="n"/>
      <c r="J442" s="369" t="inlineStr">
        <is>
          <t>รถจักรยานยนต์ 2 จังหวะเครื่องยนต์ขนาด 150cc</t>
        </is>
      </c>
      <c r="K442" s="410" t="inlineStr">
        <is>
          <t>แก๊สโซฮอล์ 95</t>
        </is>
      </c>
      <c r="L442" s="396" t="n">
        <v>1</v>
      </c>
      <c r="M442" s="589" t="n"/>
      <c r="N442" s="257">
        <f>'[2]1.4 Septic'!$F$16</f>
        <v/>
      </c>
      <c r="O442" s="1754">
        <f>$G$491</f>
        <v/>
      </c>
      <c r="P442" s="258" t="n"/>
      <c r="Q442" s="1731">
        <f>H442*2*L442*N442/O442</f>
        <v/>
      </c>
    </row>
    <row r="443" ht="18" customHeight="1">
      <c r="A443" s="396">
        <f>+A442+1</f>
        <v/>
      </c>
      <c r="B443" s="396" t="n">
        <v>649568</v>
      </c>
      <c r="C443" s="369" t="inlineStr">
        <is>
          <t>กนกพร ดีโสม</t>
        </is>
      </c>
      <c r="D443" s="369" t="inlineStr">
        <is>
          <t>หญิง</t>
        </is>
      </c>
      <c r="E443" s="369" t="inlineStr">
        <is>
          <t>รายวัน</t>
        </is>
      </c>
      <c r="F443" s="369" t="inlineStr">
        <is>
          <t>ไทย</t>
        </is>
      </c>
      <c r="G443" s="369" t="inlineStr">
        <is>
          <t>567/13 ม.10 ต.ทุ่งสุขลา อ.ศรีราชา จ.ชลบุรี 20230</t>
        </is>
      </c>
      <c r="H443" s="396" t="n">
        <v>4</v>
      </c>
      <c r="I443" s="369" t="n"/>
      <c r="J443" s="369" t="inlineStr">
        <is>
          <t>รถจักรยานยนต์ 2 จังหวะเครื่องยนต์ขนาด 150cc</t>
        </is>
      </c>
      <c r="K443" s="410" t="inlineStr">
        <is>
          <t>แก๊สโซฮอล์ 91</t>
        </is>
      </c>
      <c r="L443" s="396" t="n">
        <v>1</v>
      </c>
      <c r="M443" s="589" t="n"/>
      <c r="N443" s="257">
        <f>'[2]1.4 Septic'!$F$16</f>
        <v/>
      </c>
      <c r="O443" s="1754">
        <f>$G$491</f>
        <v/>
      </c>
      <c r="P443" s="258" t="n"/>
      <c r="Q443" s="1731">
        <f>H443*2*L443*N443/O443</f>
        <v/>
      </c>
    </row>
    <row r="444" ht="18" customHeight="1">
      <c r="A444" s="396">
        <f>+A443+1</f>
        <v/>
      </c>
      <c r="B444" s="396" t="n">
        <v>649571</v>
      </c>
      <c r="C444" s="369" t="inlineStr">
        <is>
          <t>วรรณพร พลขุนทด</t>
        </is>
      </c>
      <c r="D444" s="369" t="inlineStr">
        <is>
          <t>หญิง</t>
        </is>
      </c>
      <c r="E444" s="369" t="inlineStr">
        <is>
          <t>รายวัน</t>
        </is>
      </c>
      <c r="F444" s="369" t="inlineStr">
        <is>
          <t>ไทย</t>
        </is>
      </c>
      <c r="G444" s="369" t="inlineStr">
        <is>
          <t xml:space="preserve">72/12 ม.8 ต.บางละมุง อ.บางละมุง จ.ชลบุรี 20150 </t>
        </is>
      </c>
      <c r="H444" s="396" t="n">
        <v>7</v>
      </c>
      <c r="I444" s="369" t="n"/>
      <c r="J444" s="369" t="inlineStr">
        <is>
          <t>รถจักรยานยนต์ 4 จังหวะเครื่องยนต์ขนาด 125 cc</t>
        </is>
      </c>
      <c r="K444" s="410" t="inlineStr">
        <is>
          <t>แก๊สโซฮอล์ 95</t>
        </is>
      </c>
      <c r="L444" s="396" t="n">
        <v>1</v>
      </c>
      <c r="M444" s="589" t="n"/>
      <c r="N444" s="257">
        <f>'[2]1.4 Septic'!$F$16</f>
        <v/>
      </c>
      <c r="O444" s="257">
        <f>$G$492</f>
        <v/>
      </c>
      <c r="P444" s="258" t="n"/>
      <c r="Q444" s="1731">
        <f>H444*2*L444*N444/O444</f>
        <v/>
      </c>
    </row>
    <row r="445" ht="18" customHeight="1">
      <c r="A445" s="396">
        <f>+A444+1</f>
        <v/>
      </c>
      <c r="B445" s="396" t="n">
        <v>649572</v>
      </c>
      <c r="C445" s="369" t="inlineStr">
        <is>
          <t>วรรณภา อรัญทอง</t>
        </is>
      </c>
      <c r="D445" s="369" t="inlineStr">
        <is>
          <t>หญิง</t>
        </is>
      </c>
      <c r="E445" s="369" t="inlineStr">
        <is>
          <t>รายวัน</t>
        </is>
      </c>
      <c r="F445" s="369" t="inlineStr">
        <is>
          <t>ไทย</t>
        </is>
      </c>
      <c r="G445" s="369" t="inlineStr">
        <is>
          <t>183/15-16 ม.2 ซ.12 ต.บางละมุง อ.บางละมุง  จ.ชลบุรี 20150</t>
        </is>
      </c>
      <c r="H445" s="396" t="n">
        <v>10</v>
      </c>
      <c r="I445" s="369" t="n"/>
      <c r="J445" s="369" t="inlineStr">
        <is>
          <t>รถจักรยานยนต์ 4 จังหวะเครื่องยนต์ขนาด 125 cc</t>
        </is>
      </c>
      <c r="K445" s="410" t="inlineStr">
        <is>
          <t>แก๊สโซฮอล์ 95</t>
        </is>
      </c>
      <c r="L445" s="396" t="n">
        <v>1</v>
      </c>
      <c r="M445" s="589" t="n"/>
      <c r="N445" s="257">
        <f>'[2]1.4 Septic'!$F$16</f>
        <v/>
      </c>
      <c r="O445" s="257">
        <f>$G$492</f>
        <v/>
      </c>
      <c r="P445" s="258" t="n"/>
      <c r="Q445" s="1731">
        <f>H445*2*L445*N445/O445</f>
        <v/>
      </c>
    </row>
    <row r="446" ht="18" customHeight="1">
      <c r="A446" s="396">
        <f>+A445+1</f>
        <v/>
      </c>
      <c r="B446" s="396" t="n">
        <v>649574</v>
      </c>
      <c r="C446" s="369" t="inlineStr">
        <is>
          <t>ณัชชา ธิบดี</t>
        </is>
      </c>
      <c r="D446" s="369" t="inlineStr">
        <is>
          <t>หญิง</t>
        </is>
      </c>
      <c r="E446" s="369" t="inlineStr">
        <is>
          <t>รายวัน</t>
        </is>
      </c>
      <c r="F446" s="369" t="inlineStr">
        <is>
          <t>ไทย</t>
        </is>
      </c>
      <c r="G446" s="369" t="inlineStr">
        <is>
          <t>26/16 ม.8 ต.โป่ง อ.บางละมุง จ.ชลบุรี 20150</t>
        </is>
      </c>
      <c r="H446" s="396" t="n">
        <v>22</v>
      </c>
      <c r="I446" s="369" t="n"/>
      <c r="J446" s="369" t="inlineStr">
        <is>
          <t>รถจักรยานยนต์ 4 จังหวะเครื่องยนต์ขนาด 125 cc</t>
        </is>
      </c>
      <c r="K446" s="410" t="inlineStr">
        <is>
          <t>แก๊สโซฮอล์ 91</t>
        </is>
      </c>
      <c r="L446" s="396" t="n">
        <v>1</v>
      </c>
      <c r="M446" s="589" t="n"/>
      <c r="N446" s="257">
        <f>'[2]1.4 Septic'!$F$16</f>
        <v/>
      </c>
      <c r="O446" s="257">
        <f>$G$492</f>
        <v/>
      </c>
      <c r="P446" s="258" t="n"/>
      <c r="Q446" s="1731">
        <f>H446*2*L446*N446/O446</f>
        <v/>
      </c>
    </row>
    <row r="447" ht="18" customHeight="1">
      <c r="A447" s="396">
        <f>+A446+1</f>
        <v/>
      </c>
      <c r="B447" s="396" t="n">
        <v>649619</v>
      </c>
      <c r="C447" s="369" t="inlineStr">
        <is>
          <t>จิรสุดา ประสงค์</t>
        </is>
      </c>
      <c r="D447" s="369" t="inlineStr">
        <is>
          <t>หญิง</t>
        </is>
      </c>
      <c r="E447" s="369" t="inlineStr">
        <is>
          <t>รายวัน</t>
        </is>
      </c>
      <c r="F447" s="369" t="inlineStr">
        <is>
          <t>ไทย</t>
        </is>
      </c>
      <c r="G447" s="369" t="inlineStr">
        <is>
          <t>888/28 ต.บางละมุง อ.บางละมุง จ.ชลบุรี 20150</t>
        </is>
      </c>
      <c r="H447" s="396" t="n">
        <v>3</v>
      </c>
      <c r="I447" s="369" t="n"/>
      <c r="J447" s="369" t="inlineStr">
        <is>
          <t>รถจักรยานยนต์ 4 จังหวะเครื่องยนต์ขนาด 125 cc</t>
        </is>
      </c>
      <c r="K447" s="410" t="inlineStr">
        <is>
          <t>แก๊สโซฮอล์ 95</t>
        </is>
      </c>
      <c r="L447" s="396" t="n">
        <v>1</v>
      </c>
      <c r="M447" s="589" t="n"/>
      <c r="N447" s="257">
        <f>'[2]1.4 Septic'!$F$16</f>
        <v/>
      </c>
      <c r="O447" s="257">
        <f>$G$492</f>
        <v/>
      </c>
      <c r="P447" s="258" t="n"/>
      <c r="Q447" s="1731">
        <f>H447*2*L447*N447/O447</f>
        <v/>
      </c>
    </row>
    <row r="448" ht="18" customHeight="1">
      <c r="A448" s="396">
        <f>+A447+1</f>
        <v/>
      </c>
      <c r="B448" s="396" t="n">
        <v>649628</v>
      </c>
      <c r="C448" s="369" t="inlineStr">
        <is>
          <t>รพีพรรณ เทนอิสระ</t>
        </is>
      </c>
      <c r="D448" s="369" t="inlineStr">
        <is>
          <t>หญิง</t>
        </is>
      </c>
      <c r="E448" s="369" t="inlineStr">
        <is>
          <t>รายวัน</t>
        </is>
      </c>
      <c r="F448" s="369" t="inlineStr">
        <is>
          <t>ไทย</t>
        </is>
      </c>
      <c r="G448" s="369" t="inlineStr">
        <is>
          <t>หมู่บ้านลภัสรดา 5 ม.2 ต.ตะเตียนเตี้ย อ.บางละมุง จ.ชลบุรี 20150</t>
        </is>
      </c>
      <c r="H448" s="396" t="n">
        <v>20</v>
      </c>
      <c r="I448" s="369" t="n"/>
      <c r="J448" s="369" t="inlineStr">
        <is>
          <t>รถยนต์เฉลี่ยทุกขนาด</t>
        </is>
      </c>
      <c r="K448" s="410" t="inlineStr">
        <is>
          <t>แก๊สโซฮอล์ E20</t>
        </is>
      </c>
      <c r="L448" s="396" t="n">
        <v>2</v>
      </c>
      <c r="M448" s="589" t="n"/>
      <c r="N448" s="257">
        <f>'[2]1.4 Septic'!$F$16</f>
        <v/>
      </c>
      <c r="O448" s="257">
        <f>$G$487</f>
        <v/>
      </c>
      <c r="P448" s="258" t="n"/>
      <c r="Q448" s="1731">
        <f>H448*2*L448*N448/O448</f>
        <v/>
      </c>
    </row>
    <row r="449" ht="18" customHeight="1">
      <c r="A449" s="396">
        <f>+A448+1</f>
        <v/>
      </c>
      <c r="B449" s="396" t="n">
        <v>649630</v>
      </c>
      <c r="C449" s="369" t="inlineStr">
        <is>
          <t>บุษกร คำนาค</t>
        </is>
      </c>
      <c r="D449" s="369" t="inlineStr">
        <is>
          <t>หญิง</t>
        </is>
      </c>
      <c r="E449" s="369" t="inlineStr">
        <is>
          <t>รายวัน</t>
        </is>
      </c>
      <c r="F449" s="369" t="inlineStr">
        <is>
          <t>ไทย</t>
        </is>
      </c>
      <c r="G449" s="369" t="inlineStr">
        <is>
          <t>61 ม.7 ต.ตะเฆ่ อ.หนองบัวระเหว จ.ชัยภูมิ 36250</t>
        </is>
      </c>
      <c r="H449" s="396" t="n">
        <v>5</v>
      </c>
      <c r="I449" s="369" t="n"/>
      <c r="J449" s="369" t="inlineStr">
        <is>
          <t>รถจักรยานยนต์ 4 จังหวะเครื่องยนต์ขนาดเล็กกว่า 125 cc</t>
        </is>
      </c>
      <c r="K449" s="410" t="inlineStr">
        <is>
          <t>แก๊สโซฮอล์ 95</t>
        </is>
      </c>
      <c r="L449" s="396" t="n">
        <v>1</v>
      </c>
      <c r="M449" s="589" t="n"/>
      <c r="N449" s="257">
        <f>'[2]1.4 Septic'!$F$16</f>
        <v/>
      </c>
      <c r="O449" s="257">
        <f>$G$492</f>
        <v/>
      </c>
      <c r="P449" s="258" t="n"/>
      <c r="Q449" s="1731">
        <f>H449*2*L449*N449/O449</f>
        <v/>
      </c>
    </row>
    <row r="450" ht="18" customHeight="1">
      <c r="A450" s="396">
        <f>+A449+1</f>
        <v/>
      </c>
      <c r="B450" s="396" t="n">
        <v>649632</v>
      </c>
      <c r="C450" s="369" t="inlineStr">
        <is>
          <t>พรทิพา สัตย์รัมย์</t>
        </is>
      </c>
      <c r="D450" s="369" t="inlineStr">
        <is>
          <t>หญิง</t>
        </is>
      </c>
      <c r="E450" s="369" t="inlineStr">
        <is>
          <t>รายวัน</t>
        </is>
      </c>
      <c r="F450" s="369" t="inlineStr">
        <is>
          <t>ไทย</t>
        </is>
      </c>
      <c r="G450" s="369" t="inlineStr">
        <is>
          <t>115/292 ม.5 ต.สุรศักดิ์ อ.ศรีราชา จ.ชลบุรี 20110</t>
        </is>
      </c>
      <c r="H450" s="396" t="n">
        <v>8</v>
      </c>
      <c r="I450" s="369" t="n"/>
      <c r="J450" s="369" t="inlineStr">
        <is>
          <t>รถจักรยานยนต์ 2 จังหวะเครื่องยนต์ขนาด 150cc</t>
        </is>
      </c>
      <c r="K450" s="410" t="inlineStr">
        <is>
          <t>แก๊สโซฮอล์ 95</t>
        </is>
      </c>
      <c r="L450" s="396" t="n">
        <v>1</v>
      </c>
      <c r="M450" s="589" t="n"/>
      <c r="N450" s="257">
        <f>'[2]1.4 Septic'!$F$16</f>
        <v/>
      </c>
      <c r="O450" s="1754">
        <f>$G$491</f>
        <v/>
      </c>
      <c r="P450" s="258" t="n"/>
      <c r="Q450" s="1731">
        <f>H450*2*L450*N450/O450</f>
        <v/>
      </c>
    </row>
    <row r="451" ht="18" customHeight="1">
      <c r="A451" s="396">
        <f>+A450+1</f>
        <v/>
      </c>
      <c r="B451" s="396" t="n">
        <v>659679</v>
      </c>
      <c r="C451" s="369" t="inlineStr">
        <is>
          <t>สุนิสา แก้วนงนุช</t>
        </is>
      </c>
      <c r="D451" s="369" t="inlineStr">
        <is>
          <t>หญิง</t>
        </is>
      </c>
      <c r="E451" s="369" t="inlineStr">
        <is>
          <t>รายวัน</t>
        </is>
      </c>
      <c r="F451" s="369" t="inlineStr">
        <is>
          <t>ไทย</t>
        </is>
      </c>
      <c r="G451" s="369" t="inlineStr">
        <is>
          <t>ทุ่งกราด ต.บางละมุง อ.บางละมุง จ.ชลบุรี 20150</t>
        </is>
      </c>
      <c r="H451" s="396" t="n">
        <v>4</v>
      </c>
      <c r="I451" s="369" t="n"/>
      <c r="J451" s="369" t="inlineStr">
        <is>
          <t>รถจักรยานยนต์ 4 จังหวะเครื่องยนต์ขนาดเล็กกว่า 125 cc</t>
        </is>
      </c>
      <c r="K451" s="410" t="inlineStr">
        <is>
          <t>แก๊สโซฮอล์ 91</t>
        </is>
      </c>
      <c r="L451" s="396" t="n">
        <v>1</v>
      </c>
      <c r="M451" s="589" t="n"/>
      <c r="N451" s="257">
        <f>'[2]1.4 Septic'!$F$16</f>
        <v/>
      </c>
      <c r="O451" s="257">
        <f>$G$492</f>
        <v/>
      </c>
      <c r="P451" s="258" t="n"/>
      <c r="Q451" s="1731">
        <f>H451*2*L451*N451/O451</f>
        <v/>
      </c>
    </row>
    <row r="452" ht="18" customHeight="1">
      <c r="A452" s="396">
        <f>+A451+1</f>
        <v/>
      </c>
      <c r="B452" s="396" t="n">
        <v>659685</v>
      </c>
      <c r="C452" s="369" t="inlineStr">
        <is>
          <t>อาทิตยา คำสุพรม</t>
        </is>
      </c>
      <c r="D452" s="369" t="inlineStr">
        <is>
          <t>หญิง</t>
        </is>
      </c>
      <c r="E452" s="369" t="inlineStr">
        <is>
          <t>รายวัน</t>
        </is>
      </c>
      <c r="F452" s="369" t="inlineStr">
        <is>
          <t>ไทย</t>
        </is>
      </c>
      <c r="G452" s="369" t="inlineStr">
        <is>
          <t>135/33 ม.9 ต.ทุ่งสุขลา อ.ศรีราชา จ.ชลบุรี 20230</t>
        </is>
      </c>
      <c r="H452" s="396" t="n">
        <v>2</v>
      </c>
      <c r="I452" s="369" t="n"/>
      <c r="J452" s="369" t="inlineStr">
        <is>
          <t>รถจักรยานยนต์ 4 จังหวะเครื่องยนต์ขนาด 125 cc</t>
        </is>
      </c>
      <c r="K452" s="410" t="inlineStr">
        <is>
          <t>แก๊สโซฮอล์ 91</t>
        </is>
      </c>
      <c r="L452" s="396" t="n">
        <v>1</v>
      </c>
      <c r="M452" s="589" t="n"/>
      <c r="N452" s="257">
        <f>'[2]1.4 Septic'!$F$16</f>
        <v/>
      </c>
      <c r="O452" s="257">
        <f>$G$492</f>
        <v/>
      </c>
      <c r="P452" s="258" t="n"/>
      <c r="Q452" s="1731">
        <f>H452*2*L452*N452/O452</f>
        <v/>
      </c>
    </row>
    <row r="453" ht="18" customHeight="1">
      <c r="A453" s="396">
        <f>+A452+1</f>
        <v/>
      </c>
      <c r="B453" s="396" t="n">
        <v>659689</v>
      </c>
      <c r="C453" s="369" t="inlineStr">
        <is>
          <t>วาสนา วงระบำ</t>
        </is>
      </c>
      <c r="D453" s="369" t="inlineStr">
        <is>
          <t>หญิง</t>
        </is>
      </c>
      <c r="E453" s="369" t="inlineStr">
        <is>
          <t>รายวัน</t>
        </is>
      </c>
      <c r="F453" s="369" t="inlineStr">
        <is>
          <t>ไทย</t>
        </is>
      </c>
      <c r="G453" s="369" t="inlineStr">
        <is>
          <t>106/2 ม.4 ต.บึง อ.ศรีราชา จ.ชลบุรี 20230</t>
        </is>
      </c>
      <c r="H453" s="396" t="n">
        <v>5</v>
      </c>
      <c r="I453" s="369" t="n"/>
      <c r="J453" s="369" t="inlineStr">
        <is>
          <t>รถจักรยานยนต์ 4 จังหวะเครื่องยนต์ขนาดเล็กกว่า 125 cc</t>
        </is>
      </c>
      <c r="K453" s="410" t="inlineStr">
        <is>
          <t>แก๊สโซฮอล์ 91</t>
        </is>
      </c>
      <c r="L453" s="396" t="n">
        <v>1</v>
      </c>
      <c r="M453" s="589" t="n"/>
      <c r="N453" s="257">
        <f>'[2]1.4 Septic'!$F$16</f>
        <v/>
      </c>
      <c r="O453" s="257">
        <f>$G$492</f>
        <v/>
      </c>
      <c r="P453" s="258" t="n"/>
      <c r="Q453" s="1731">
        <f>H453*2*L453*N453/O453</f>
        <v/>
      </c>
    </row>
    <row r="454" ht="18" customHeight="1">
      <c r="A454" s="396">
        <f>+A453+1</f>
        <v/>
      </c>
      <c r="B454" s="396" t="n">
        <v>659690</v>
      </c>
      <c r="C454" s="369" t="inlineStr">
        <is>
          <t>ชนิดา สุขฟู</t>
        </is>
      </c>
      <c r="D454" s="369" t="inlineStr">
        <is>
          <t>หญิง</t>
        </is>
      </c>
      <c r="E454" s="369" t="inlineStr">
        <is>
          <t>รายวัน</t>
        </is>
      </c>
      <c r="F454" s="369" t="inlineStr">
        <is>
          <t>ไทย</t>
        </is>
      </c>
      <c r="G454" s="369" t="inlineStr">
        <is>
          <t>144 ม.9 ต.นาจารย์ อ.เมือง จ.กาฬสินธุ์ 46000</t>
        </is>
      </c>
      <c r="H454" s="396" t="n">
        <v>6</v>
      </c>
      <c r="I454" s="369" t="n"/>
      <c r="J454" s="369" t="inlineStr">
        <is>
          <t>รถจักรยานยนต์ 4 จังหวะเครื่องยนต์ขนาดเล็กกว่า 125 cc</t>
        </is>
      </c>
      <c r="K454" s="410" t="inlineStr">
        <is>
          <t>แก๊สโซฮอล์ 91</t>
        </is>
      </c>
      <c r="L454" s="396" t="n">
        <v>1</v>
      </c>
      <c r="M454" s="589" t="n"/>
      <c r="N454" s="257">
        <f>'[2]1.4 Septic'!$F$16</f>
        <v/>
      </c>
      <c r="O454" s="257">
        <f>$G$492</f>
        <v/>
      </c>
      <c r="P454" s="258" t="n"/>
      <c r="Q454" s="1731">
        <f>H454*2*L454*N454/O454</f>
        <v/>
      </c>
    </row>
    <row r="455" ht="18" customHeight="1">
      <c r="A455" s="396">
        <f>+A454+1</f>
        <v/>
      </c>
      <c r="B455" s="396" t="n">
        <v>659696</v>
      </c>
      <c r="C455" s="369" t="inlineStr">
        <is>
          <t>สตรีรัตน์ ปานจิตร์</t>
        </is>
      </c>
      <c r="D455" s="369" t="inlineStr">
        <is>
          <t>หญิง</t>
        </is>
      </c>
      <c r="E455" s="369" t="inlineStr">
        <is>
          <t>รายวัน</t>
        </is>
      </c>
      <c r="F455" s="369" t="inlineStr">
        <is>
          <t>ไทย</t>
        </is>
      </c>
      <c r="G455" s="369" t="inlineStr">
        <is>
          <t>5/16 ม.6 ต.หนองปลาไหล อ.บางละมุง จ.ชลบุรี 20150</t>
        </is>
      </c>
      <c r="H455" s="396" t="n">
        <v>16</v>
      </c>
      <c r="I455" s="369" t="n"/>
      <c r="J455" s="369" t="inlineStr">
        <is>
          <t>รถจักรยานยนต์ 4 จังหวะเครื่องยนต์ขนาด 125 cc</t>
        </is>
      </c>
      <c r="K455" s="410" t="inlineStr">
        <is>
          <t>แก๊สโซฮอล์ 95</t>
        </is>
      </c>
      <c r="L455" s="396" t="n">
        <v>1</v>
      </c>
      <c r="M455" s="589" t="n"/>
      <c r="N455" s="257">
        <f>'[2]1.4 Septic'!$F$16</f>
        <v/>
      </c>
      <c r="O455" s="257">
        <f>$G$492</f>
        <v/>
      </c>
      <c r="P455" s="258" t="n"/>
      <c r="Q455" s="1731">
        <f>H455*2*L455*N455/O455</f>
        <v/>
      </c>
    </row>
    <row r="456" ht="18" customHeight="1">
      <c r="A456" s="396">
        <f>+A455+1</f>
        <v/>
      </c>
      <c r="B456" s="396" t="n">
        <v>659701</v>
      </c>
      <c r="C456" s="369" t="inlineStr">
        <is>
          <t>จิราวรรณ ดวงจันทร์</t>
        </is>
      </c>
      <c r="D456" s="369" t="inlineStr">
        <is>
          <t>หญิง</t>
        </is>
      </c>
      <c r="E456" s="369" t="inlineStr">
        <is>
          <t>รายวัน</t>
        </is>
      </c>
      <c r="F456" s="369" t="inlineStr">
        <is>
          <t>ไทย</t>
        </is>
      </c>
      <c r="G456" s="369" t="inlineStr">
        <is>
          <t>89 ม.10 ต.ทุ่งสุขลา อ.ศรีราชา จ.ชลบุรี 20230</t>
        </is>
      </c>
      <c r="H456" s="396" t="n">
        <v>5</v>
      </c>
      <c r="I456" s="369" t="n"/>
      <c r="J456" s="369" t="inlineStr">
        <is>
          <t>รถจักรยานยนต์ 4 จังหวะเครื่องยนต์ขนาดเล็กกว่า 125 cc</t>
        </is>
      </c>
      <c r="K456" s="410" t="inlineStr">
        <is>
          <t>แก๊สโซฮอล์ 91</t>
        </is>
      </c>
      <c r="L456" s="396" t="n">
        <v>1</v>
      </c>
      <c r="M456" s="589" t="n"/>
      <c r="N456" s="257">
        <f>'[2]1.4 Septic'!$F$16</f>
        <v/>
      </c>
      <c r="O456" s="257">
        <f>$G$492</f>
        <v/>
      </c>
      <c r="P456" s="258" t="n"/>
      <c r="Q456" s="1731">
        <f>H456*2*L456*N456/O456</f>
        <v/>
      </c>
    </row>
    <row r="457" ht="18" customHeight="1">
      <c r="A457" s="396">
        <f>+A456+1</f>
        <v/>
      </c>
      <c r="B457" s="396" t="n">
        <v>659712</v>
      </c>
      <c r="C457" s="369" t="inlineStr">
        <is>
          <t>เกวรินทร์ ประสงค์ดี</t>
        </is>
      </c>
      <c r="D457" s="369" t="inlineStr">
        <is>
          <t>หญิง</t>
        </is>
      </c>
      <c r="E457" s="369" t="inlineStr">
        <is>
          <t>รายวัน</t>
        </is>
      </c>
      <c r="F457" s="369" t="inlineStr">
        <is>
          <t>ไทย</t>
        </is>
      </c>
      <c r="G457" s="369" t="inlineStr">
        <is>
          <t>221/033 ต.บางละมุง อ.บางละมุง จ.ชลบุรี 20150</t>
        </is>
      </c>
      <c r="H457" s="396" t="n">
        <v>7</v>
      </c>
      <c r="I457" s="369" t="n"/>
      <c r="J457" s="369" t="inlineStr">
        <is>
          <t>รถจักรยานยนต์ 4 จังหวะเครื่องยนต์ขนาดเล็กกว่า 125 cc</t>
        </is>
      </c>
      <c r="K457" s="410" t="inlineStr">
        <is>
          <t>แก๊สโซฮอล์ 91</t>
        </is>
      </c>
      <c r="L457" s="396" t="n">
        <v>2</v>
      </c>
      <c r="M457" s="589" t="n"/>
      <c r="N457" s="257">
        <f>'[2]1.4 Septic'!$F$16</f>
        <v/>
      </c>
      <c r="O457" s="257">
        <f>$G$492</f>
        <v/>
      </c>
      <c r="P457" s="258" t="n"/>
      <c r="Q457" s="1731">
        <f>H457*2*L457*N457/O457</f>
        <v/>
      </c>
    </row>
    <row r="458" ht="18" customHeight="1">
      <c r="A458" s="396">
        <f>+A457+1</f>
        <v/>
      </c>
      <c r="B458" s="396" t="n">
        <v>659718</v>
      </c>
      <c r="C458" s="369" t="inlineStr">
        <is>
          <t>บุษบา จันทร์หงษา</t>
        </is>
      </c>
      <c r="D458" s="369" t="inlineStr">
        <is>
          <t>หญิง</t>
        </is>
      </c>
      <c r="E458" s="369" t="inlineStr">
        <is>
          <t>รายวัน</t>
        </is>
      </c>
      <c r="F458" s="369" t="inlineStr">
        <is>
          <t>ไทย</t>
        </is>
      </c>
      <c r="G458" s="369" t="inlineStr">
        <is>
          <t>63/61 ม.2 ต.ตะเคียนเตี้ย อ.บางละมุง จ.ชลบุรี 20150</t>
        </is>
      </c>
      <c r="H458" s="396" t="n">
        <v>7</v>
      </c>
      <c r="I458" s="369" t="n"/>
      <c r="J458" s="369" t="inlineStr">
        <is>
          <t>รถจักรยานยนต์ 4 จังหวะเครื่องยนต์ขนาดเล็กกว่า 125 cc</t>
        </is>
      </c>
      <c r="K458" s="410" t="inlineStr">
        <is>
          <t>แก๊สโซฮอล์ 91</t>
        </is>
      </c>
      <c r="L458" s="396" t="n">
        <v>1</v>
      </c>
      <c r="M458" s="589" t="n"/>
      <c r="N458" s="257">
        <f>'[2]1.4 Septic'!$F$16</f>
        <v/>
      </c>
      <c r="O458" s="257">
        <f>$G$492</f>
        <v/>
      </c>
      <c r="P458" s="258" t="n"/>
      <c r="Q458" s="1731">
        <f>H458*2*L458*N458/O458</f>
        <v/>
      </c>
    </row>
    <row r="459" ht="18" customHeight="1">
      <c r="A459" s="396">
        <f>+A458+1</f>
        <v/>
      </c>
      <c r="B459" s="396" t="n">
        <v>659730</v>
      </c>
      <c r="C459" s="369" t="inlineStr">
        <is>
          <t>จิราพร โสภิรักษ์</t>
        </is>
      </c>
      <c r="D459" s="369" t="inlineStr">
        <is>
          <t>หญิง</t>
        </is>
      </c>
      <c r="E459" s="369" t="inlineStr">
        <is>
          <t>รายวัน</t>
        </is>
      </c>
      <c r="F459" s="369" t="inlineStr">
        <is>
          <t>ไทย</t>
        </is>
      </c>
      <c r="G459" s="369" t="inlineStr">
        <is>
          <t>219/207 ม.6 ต.บางละมุง อ.บางละมุง จ.ชลบุรี 20150</t>
        </is>
      </c>
      <c r="H459" s="396" t="n">
        <v>10</v>
      </c>
      <c r="I459" s="369" t="n"/>
      <c r="J459" s="369" t="inlineStr">
        <is>
          <t>รถยนต์เฉลี่ยทุกขนาด</t>
        </is>
      </c>
      <c r="K459" s="410" t="inlineStr">
        <is>
          <t>แก๊สโซฮอล์ 91</t>
        </is>
      </c>
      <c r="L459" s="396" t="n">
        <v>1</v>
      </c>
      <c r="M459" s="589" t="n"/>
      <c r="N459" s="257">
        <f>'[2]1.4 Septic'!$F$16</f>
        <v/>
      </c>
      <c r="O459" s="257">
        <f>$G$487</f>
        <v/>
      </c>
      <c r="P459" s="258" t="n"/>
      <c r="Q459" s="1731">
        <f>H459*2*L459*N459/O459</f>
        <v/>
      </c>
    </row>
    <row r="460" ht="18" customHeight="1">
      <c r="A460" s="396">
        <f>+A459+1</f>
        <v/>
      </c>
      <c r="B460" s="396" t="n">
        <v>659736</v>
      </c>
      <c r="C460" s="369" t="inlineStr">
        <is>
          <t>อริสา เพ็ญโคกสูง</t>
        </is>
      </c>
      <c r="D460" s="369" t="inlineStr">
        <is>
          <t>หญิง</t>
        </is>
      </c>
      <c r="E460" s="369" t="inlineStr">
        <is>
          <t>รายวัน</t>
        </is>
      </c>
      <c r="F460" s="369" t="inlineStr">
        <is>
          <t>ไทย</t>
        </is>
      </c>
      <c r="G460" s="369" t="inlineStr">
        <is>
          <t>กวินทิพย์แพาทเม้นท์ ซ.ไพเราะ ต.ทุ่งสุขลา อ.ศรีราชา จ.ชลบุรี 20230</t>
        </is>
      </c>
      <c r="H460" s="396" t="n">
        <v>6.4</v>
      </c>
      <c r="I460" s="369" t="n"/>
      <c r="J460" s="369" t="inlineStr">
        <is>
          <t>รถจักรยานยนต์ 4 จังหวะเครื่องยนต์ขนาดเล็กกว่า 125 cc</t>
        </is>
      </c>
      <c r="K460" s="410" t="inlineStr">
        <is>
          <t>แก๊สโซฮอล์ 95</t>
        </is>
      </c>
      <c r="L460" s="396" t="n">
        <v>1</v>
      </c>
      <c r="M460" s="589" t="n"/>
      <c r="N460" s="257">
        <f>'[2]1.4 Septic'!$F$16</f>
        <v/>
      </c>
      <c r="O460" s="257">
        <f>$G$492</f>
        <v/>
      </c>
      <c r="P460" s="258" t="n"/>
      <c r="Q460" s="1731">
        <f>H460*2*L460*N460/O460</f>
        <v/>
      </c>
    </row>
    <row r="461" ht="18" customHeight="1">
      <c r="A461" s="396">
        <f>+A460+1</f>
        <v/>
      </c>
      <c r="B461" s="396" t="n">
        <v>659750</v>
      </c>
      <c r="C461" s="369" t="inlineStr">
        <is>
          <t>อาทร พิมนาม</t>
        </is>
      </c>
      <c r="D461" s="369" t="inlineStr">
        <is>
          <t>ชาย</t>
        </is>
      </c>
      <c r="E461" s="369" t="inlineStr">
        <is>
          <t>รายวัน</t>
        </is>
      </c>
      <c r="F461" s="369" t="inlineStr">
        <is>
          <t>ไทย</t>
        </is>
      </c>
      <c r="G461" s="367" t="inlineStr">
        <is>
          <t>178/20 ม.8 ต.บางละมุง อ.บางละมุง จ.ชลบุรี</t>
        </is>
      </c>
      <c r="H461" s="396" t="n">
        <v>6</v>
      </c>
      <c r="I461" s="369" t="n"/>
      <c r="J461" s="369" t="inlineStr">
        <is>
          <t>รถจักรยานยนต์ 4 จังหวะเครื่องยนต์ขนาดเล็กกว่า 125 cc</t>
        </is>
      </c>
      <c r="K461" s="410" t="inlineStr">
        <is>
          <t>แก๊สโซฮอล์ 91</t>
        </is>
      </c>
      <c r="L461" s="396" t="n">
        <v>1</v>
      </c>
      <c r="M461" s="589" t="n"/>
      <c r="N461" s="257">
        <f>'[2]1.4 Septic'!$F$16</f>
        <v/>
      </c>
      <c r="O461" s="257">
        <f>$G$492</f>
        <v/>
      </c>
      <c r="P461" s="258" t="n"/>
      <c r="Q461" s="1731">
        <f>H461*2*L461*N461/O461</f>
        <v/>
      </c>
    </row>
    <row r="462" ht="18" customHeight="1">
      <c r="A462" s="396">
        <f>+A461+1</f>
        <v/>
      </c>
      <c r="B462" s="396" t="n">
        <v>659755</v>
      </c>
      <c r="C462" s="369" t="inlineStr">
        <is>
          <t>นงลักษณ์ ศรีเกษ</t>
        </is>
      </c>
      <c r="D462" s="369" t="inlineStr">
        <is>
          <t>หญิง</t>
        </is>
      </c>
      <c r="E462" s="369" t="inlineStr">
        <is>
          <t>รายวัน</t>
        </is>
      </c>
      <c r="F462" s="369" t="inlineStr">
        <is>
          <t>ไทย</t>
        </is>
      </c>
      <c r="G462" s="369" t="inlineStr">
        <is>
          <t>178/20 ม.8 ต.บางละมุง อ.บางละมุง จ.ชลบุรี 20150</t>
        </is>
      </c>
      <c r="H462" s="396" t="n">
        <v>5</v>
      </c>
      <c r="I462" s="369" t="n"/>
      <c r="J462" s="369" t="inlineStr">
        <is>
          <t>รถจักรยานยนต์ 4 จังหวะเครื่องยนต์ขนาด 125 cc</t>
        </is>
      </c>
      <c r="K462" s="410" t="inlineStr">
        <is>
          <t>แก๊สโซฮอล์ 91</t>
        </is>
      </c>
      <c r="L462" s="396" t="n">
        <v>1</v>
      </c>
      <c r="M462" s="589" t="n"/>
      <c r="N462" s="257">
        <f>'[2]1.4 Septic'!$F$16</f>
        <v/>
      </c>
      <c r="O462" s="257">
        <f>$G$492</f>
        <v/>
      </c>
      <c r="P462" s="258" t="n"/>
      <c r="Q462" s="1731">
        <f>H462*2*L462*N462/O462</f>
        <v/>
      </c>
    </row>
    <row r="463" ht="18" customHeight="1">
      <c r="A463" s="396">
        <f>+A462+1</f>
        <v/>
      </c>
      <c r="B463" s="396" t="n">
        <v>659761</v>
      </c>
      <c r="C463" s="369" t="inlineStr">
        <is>
          <t>วรรณษา บุตรตาภักดี</t>
        </is>
      </c>
      <c r="D463" s="369" t="inlineStr">
        <is>
          <t>หญิง</t>
        </is>
      </c>
      <c r="E463" s="369" t="inlineStr">
        <is>
          <t>รายวัน</t>
        </is>
      </c>
      <c r="F463" s="369" t="inlineStr">
        <is>
          <t>ไทย</t>
        </is>
      </c>
      <c r="G463" s="369" t="inlineStr">
        <is>
          <t>345/42 ม.3 ต.สุรศักดิ์ อ.ศรีราชา จ.ชลบุรี 20110</t>
        </is>
      </c>
      <c r="H463" s="396" t="n">
        <v>5</v>
      </c>
      <c r="I463" s="369" t="n"/>
      <c r="J463" s="369" t="inlineStr">
        <is>
          <t>รถจักรยานยนต์ 2 จังหวะเครื่องยนต์ขนาด 150cc</t>
        </is>
      </c>
      <c r="K463" s="410" t="inlineStr">
        <is>
          <t>แก๊สโซฮอล์ 95</t>
        </is>
      </c>
      <c r="L463" s="396" t="n">
        <v>1</v>
      </c>
      <c r="M463" s="589" t="n"/>
      <c r="N463" s="257">
        <f>'[2]1.4 Septic'!$F$16</f>
        <v/>
      </c>
      <c r="O463" s="1754">
        <f>$G$491</f>
        <v/>
      </c>
      <c r="P463" s="258" t="n"/>
      <c r="Q463" s="1731">
        <f>H463*2*L463*N463/O463</f>
        <v/>
      </c>
    </row>
    <row r="464" ht="18" customHeight="1">
      <c r="A464" s="396">
        <f>+A463+1</f>
        <v/>
      </c>
      <c r="B464" s="396" t="n">
        <v>659766</v>
      </c>
      <c r="C464" s="369" t="inlineStr">
        <is>
          <t>สุดา ดอนเส</t>
        </is>
      </c>
      <c r="D464" s="369" t="inlineStr">
        <is>
          <t>หญิง</t>
        </is>
      </c>
      <c r="E464" s="369" t="inlineStr">
        <is>
          <t>รายวัน</t>
        </is>
      </c>
      <c r="F464" s="369" t="inlineStr">
        <is>
          <t>ไทย</t>
        </is>
      </c>
      <c r="G464" s="369" t="inlineStr">
        <is>
          <t>570/140 ม.11 ต.หนองขาม อ.ศรีราชา จ.ชลบุรี 20230</t>
        </is>
      </c>
      <c r="H464" s="396" t="n">
        <v>7</v>
      </c>
      <c r="I464" s="369" t="n"/>
      <c r="J464" s="369" t="inlineStr">
        <is>
          <t>รถจักรยานยนต์ 4 จังหวะเครื่องยนต์ขนาดเล็กกว่า 125 cc</t>
        </is>
      </c>
      <c r="K464" s="410" t="inlineStr">
        <is>
          <t>แก๊สโซฮอล์ 91</t>
        </is>
      </c>
      <c r="L464" s="396" t="n">
        <v>1</v>
      </c>
      <c r="M464" s="589" t="n"/>
      <c r="N464" s="257">
        <f>'[2]1.4 Septic'!$F$16</f>
        <v/>
      </c>
      <c r="O464" s="257">
        <f>$G$492</f>
        <v/>
      </c>
      <c r="P464" s="258" t="n"/>
      <c r="Q464" s="1731">
        <f>H464*2*L464*N464/O464</f>
        <v/>
      </c>
    </row>
    <row r="465" ht="18" customHeight="1">
      <c r="A465" s="396">
        <f>+A464+1</f>
        <v/>
      </c>
      <c r="B465" s="396" t="n">
        <v>659767</v>
      </c>
      <c r="C465" s="369" t="inlineStr">
        <is>
          <t>อรทัย ฝ่ายอาสา</t>
        </is>
      </c>
      <c r="D465" s="369" t="inlineStr">
        <is>
          <t>หญิง</t>
        </is>
      </c>
      <c r="E465" s="369" t="inlineStr">
        <is>
          <t>รายวัน</t>
        </is>
      </c>
      <c r="F465" s="369" t="inlineStr">
        <is>
          <t>ไทย</t>
        </is>
      </c>
      <c r="G465" s="369" t="inlineStr">
        <is>
          <t>219/076 ม.6 ต.บางละมุง อ.บางละมุง จ.ชลบุรี 20150</t>
        </is>
      </c>
      <c r="H465" s="396" t="n">
        <v>3</v>
      </c>
      <c r="I465" s="369" t="n"/>
      <c r="J465" s="369" t="inlineStr">
        <is>
          <t>รถจักรยานยนต์ 2 จังหวะเครื่องยนต์ขนาด 120cc</t>
        </is>
      </c>
      <c r="K465" s="410" t="inlineStr">
        <is>
          <t>แก๊สโซฮอล์ 95</t>
        </is>
      </c>
      <c r="L465" s="396" t="n">
        <v>1</v>
      </c>
      <c r="M465" s="589" t="n"/>
      <c r="N465" s="257">
        <f>'[2]1.4 Septic'!$F$16</f>
        <v/>
      </c>
      <c r="O465" s="1754">
        <f>$G$491</f>
        <v/>
      </c>
      <c r="P465" s="258" t="n"/>
      <c r="Q465" s="1731">
        <f>H465*2*L465*N465/O465</f>
        <v/>
      </c>
    </row>
    <row r="466" ht="18" customHeight="1">
      <c r="A466" s="396">
        <f>+A465+1</f>
        <v/>
      </c>
      <c r="B466" s="396" t="n">
        <v>659786</v>
      </c>
      <c r="C466" s="369" t="inlineStr">
        <is>
          <t>วุฒินันท์ แสงจันทร์</t>
        </is>
      </c>
      <c r="D466" s="369" t="inlineStr">
        <is>
          <t>ชาย</t>
        </is>
      </c>
      <c r="E466" s="369" t="inlineStr">
        <is>
          <t>รายวัน</t>
        </is>
      </c>
      <c r="F466" s="369" t="inlineStr">
        <is>
          <t>ไทย</t>
        </is>
      </c>
      <c r="G466" s="369" t="inlineStr">
        <is>
          <t>1/8 ม.8 ต.บางละมุง อ.บางละมุง  จ.ชลบุรี 20150</t>
        </is>
      </c>
      <c r="H466" s="396" t="n">
        <v>3</v>
      </c>
      <c r="I466" s="369" t="n"/>
      <c r="J466" s="369" t="inlineStr">
        <is>
          <t>รถจักรยานยนต์ 4 จังหวะเครื่องยนต์ขนาดเล็กกว่า 125 cc</t>
        </is>
      </c>
      <c r="K466" s="410" t="inlineStr">
        <is>
          <t>แก๊สโซฮอล์ 91</t>
        </is>
      </c>
      <c r="L466" s="396" t="n">
        <v>1</v>
      </c>
      <c r="M466" s="589" t="n"/>
      <c r="N466" s="257">
        <f>'[2]1.4 Septic'!$F$16</f>
        <v/>
      </c>
      <c r="O466" s="257">
        <f>$G$492</f>
        <v/>
      </c>
      <c r="P466" s="258" t="n"/>
      <c r="Q466" s="1731">
        <f>H466*2*L466*N466/O466</f>
        <v/>
      </c>
    </row>
    <row r="467" ht="18" customHeight="1">
      <c r="A467" s="396">
        <f>+A466+1</f>
        <v/>
      </c>
      <c r="B467" s="396" t="n">
        <v>659791</v>
      </c>
      <c r="C467" s="369" t="inlineStr">
        <is>
          <t>เกศกนก สีนาวงษ์</t>
        </is>
      </c>
      <c r="D467" s="369" t="inlineStr">
        <is>
          <t>หญิง</t>
        </is>
      </c>
      <c r="E467" s="369" t="inlineStr">
        <is>
          <t>รายวัน</t>
        </is>
      </c>
      <c r="F467" s="369" t="inlineStr">
        <is>
          <t>ไทย</t>
        </is>
      </c>
      <c r="G467" s="369" t="inlineStr">
        <is>
          <t>114/107 ม.2 ต.ทุ่งสุขลา อ.ศรีราชา จ.ชลบุรี 20230</t>
        </is>
      </c>
      <c r="H467" s="396" t="n">
        <v>4</v>
      </c>
      <c r="I467" s="369" t="n"/>
      <c r="J467" s="369" t="inlineStr">
        <is>
          <t>รถจักรยานยนต์ 4 จังหวะเครื่องยนต์ขนาดเล็กกว่า 125 cc</t>
        </is>
      </c>
      <c r="K467" s="410" t="inlineStr">
        <is>
          <t>แก๊สโซฮอล์ 91</t>
        </is>
      </c>
      <c r="L467" s="396" t="n">
        <v>1</v>
      </c>
      <c r="M467" s="589" t="n"/>
      <c r="N467" s="257">
        <f>'[2]1.4 Septic'!$F$16</f>
        <v/>
      </c>
      <c r="O467" s="257">
        <f>$G$492</f>
        <v/>
      </c>
      <c r="P467" s="258" t="n"/>
      <c r="Q467" s="1731">
        <f>H467*2*L467*N467/O467</f>
        <v/>
      </c>
    </row>
    <row r="468" ht="18" customHeight="1">
      <c r="A468" s="396">
        <f>+A467+1</f>
        <v/>
      </c>
      <c r="B468" s="396" t="n">
        <v>659805</v>
      </c>
      <c r="C468" s="369" t="inlineStr">
        <is>
          <t>วิทวัส แก้วศรีรัตน์</t>
        </is>
      </c>
      <c r="D468" s="369" t="inlineStr">
        <is>
          <t>ชาย</t>
        </is>
      </c>
      <c r="E468" s="369" t="inlineStr">
        <is>
          <t>รายวัน</t>
        </is>
      </c>
      <c r="F468" s="369" t="inlineStr">
        <is>
          <t>ไทย</t>
        </is>
      </c>
      <c r="G468" s="369" t="inlineStr">
        <is>
          <t>113/143 หมู่ที่ 2 ซ.ตะเคียนเตรี้ย8 ต.ตะเคียนเตี้ย อ.บางละมุง จ.ชลบุรี 20150</t>
        </is>
      </c>
      <c r="H468" s="396" t="n">
        <v>22</v>
      </c>
      <c r="I468" s="369" t="n"/>
      <c r="J468" s="369" t="inlineStr">
        <is>
          <t>รถจักรยานยนต์ 4 จังหวะเครื่องยนต์ขนาดเล็กกว่า 125 cc</t>
        </is>
      </c>
      <c r="K468" s="410" t="inlineStr">
        <is>
          <t>แก๊สโซฮอล์ 95</t>
        </is>
      </c>
      <c r="L468" s="396" t="n">
        <v>1</v>
      </c>
      <c r="M468" s="589" t="n"/>
      <c r="N468" s="257">
        <f>'[2]1.4 Septic'!$F$16</f>
        <v/>
      </c>
      <c r="O468" s="257">
        <f>$G$492</f>
        <v/>
      </c>
      <c r="P468" s="258" t="n"/>
      <c r="Q468" s="1731">
        <f>H468*2*L468*N468/O468</f>
        <v/>
      </c>
    </row>
    <row r="469" ht="18" customHeight="1">
      <c r="A469" s="396">
        <f>+A468+1</f>
        <v/>
      </c>
      <c r="B469" s="396" t="n">
        <v>659806</v>
      </c>
      <c r="C469" s="369" t="inlineStr">
        <is>
          <t>อรัญ วงษ์ลคร</t>
        </is>
      </c>
      <c r="D469" s="369" t="inlineStr">
        <is>
          <t>ชาย</t>
        </is>
      </c>
      <c r="E469" s="369" t="inlineStr">
        <is>
          <t>รายวัน</t>
        </is>
      </c>
      <c r="F469" s="369" t="inlineStr">
        <is>
          <t>ไทย</t>
        </is>
      </c>
      <c r="G469" s="369" t="inlineStr">
        <is>
          <t>221 ม.6 ต.บางละมุง อ.บางละมุง จ.ชลบุรี 20150</t>
        </is>
      </c>
      <c r="H469" s="396" t="n">
        <v>3</v>
      </c>
      <c r="I469" s="369" t="n"/>
      <c r="J469" s="369" t="inlineStr">
        <is>
          <t>รถจักรยานยนต์ 4 จังหวะเครื่องยนต์ขนาด 125 cc</t>
        </is>
      </c>
      <c r="K469" s="410" t="inlineStr">
        <is>
          <t>แก๊สโซฮอล์ 95</t>
        </is>
      </c>
      <c r="L469" s="396" t="n">
        <v>1</v>
      </c>
      <c r="M469" s="589" t="n"/>
      <c r="N469" s="257">
        <f>'[2]1.4 Septic'!$F$16</f>
        <v/>
      </c>
      <c r="O469" s="257">
        <f>$G$492</f>
        <v/>
      </c>
      <c r="P469" s="258" t="n"/>
      <c r="Q469" s="1731">
        <f>H469*2*L469*N469/O469</f>
        <v/>
      </c>
    </row>
    <row r="470" ht="18" customHeight="1">
      <c r="A470" s="396">
        <f>+A469+1</f>
        <v/>
      </c>
      <c r="B470" s="396" t="n">
        <v>659828</v>
      </c>
      <c r="C470" s="369" t="inlineStr">
        <is>
          <t>กรวรรณ เคนทรภักดิ์</t>
        </is>
      </c>
      <c r="D470" s="369" t="inlineStr">
        <is>
          <t>หญิง</t>
        </is>
      </c>
      <c r="E470" s="369" t="inlineStr">
        <is>
          <t>รายวัน</t>
        </is>
      </c>
      <c r="F470" s="369" t="inlineStr">
        <is>
          <t>ไทย</t>
        </is>
      </c>
      <c r="G470" s="369" t="inlineStr">
        <is>
          <t>135/42 ม.10 ต.ทุ่งสุขลา อ.ศรีราชา จ.ชลบุรี 20230</t>
        </is>
      </c>
      <c r="H470" s="396" t="n">
        <v>3.5</v>
      </c>
      <c r="I470" s="369" t="n"/>
      <c r="J470" s="369" t="inlineStr">
        <is>
          <t>รถจักรยานยนต์ 4 จังหวะเครื่องยนต์ขนาด 125 cc</t>
        </is>
      </c>
      <c r="K470" s="410" t="inlineStr">
        <is>
          <t>แก๊สโซฮอล์ 95</t>
        </is>
      </c>
      <c r="L470" s="396" t="n">
        <v>1</v>
      </c>
      <c r="M470" s="589" t="n"/>
      <c r="N470" s="257">
        <f>'[2]1.4 Septic'!$F$16</f>
        <v/>
      </c>
      <c r="O470" s="257">
        <f>$G$492</f>
        <v/>
      </c>
      <c r="P470" s="258" t="n"/>
      <c r="Q470" s="1731">
        <f>H470*2*L470*N470/O470</f>
        <v/>
      </c>
    </row>
    <row r="471" ht="18" customHeight="1">
      <c r="A471" s="396">
        <f>+A470+1</f>
        <v/>
      </c>
      <c r="B471" s="396" t="n">
        <v>659911</v>
      </c>
      <c r="C471" s="369" t="inlineStr">
        <is>
          <t>รัฐพล สายโงน</t>
        </is>
      </c>
      <c r="D471" s="369" t="inlineStr">
        <is>
          <t>ชาย</t>
        </is>
      </c>
      <c r="E471" s="369" t="inlineStr">
        <is>
          <t>รายวัน</t>
        </is>
      </c>
      <c r="F471" s="369" t="inlineStr">
        <is>
          <t>ไทย</t>
        </is>
      </c>
      <c r="G471" s="369" t="inlineStr">
        <is>
          <t>221/125 เคหะแหลมฉบัง ม.6 ต.บางละมุง อ.บางละมุง จ.ชลบุรี 20150</t>
        </is>
      </c>
      <c r="H471" s="396" t="n">
        <v>14</v>
      </c>
      <c r="I471" s="369" t="n"/>
      <c r="J471" s="369" t="inlineStr">
        <is>
          <t>รถจักรยานยนต์ 4 จังหวะเครื่องยนต์ขนาดเล็กกว่า 125 cc</t>
        </is>
      </c>
      <c r="K471" s="410" t="inlineStr">
        <is>
          <t>แก๊สโซฮอล์ 91</t>
        </is>
      </c>
      <c r="L471" s="396" t="n">
        <v>1</v>
      </c>
      <c r="M471" s="589" t="n"/>
      <c r="N471" s="257">
        <f>'[2]1.4 Septic'!$F$16</f>
        <v/>
      </c>
      <c r="O471" s="257">
        <f>$G$492</f>
        <v/>
      </c>
      <c r="P471" s="258" t="n"/>
      <c r="Q471" s="1731">
        <f>H471*2*L471*N471/O471</f>
        <v/>
      </c>
    </row>
    <row r="472" ht="18" customHeight="1">
      <c r="A472" s="396">
        <f>+A471+1</f>
        <v/>
      </c>
      <c r="B472" s="396" t="n">
        <v>659926</v>
      </c>
      <c r="C472" s="369" t="inlineStr">
        <is>
          <t>สุชาดา ยมรัมย์</t>
        </is>
      </c>
      <c r="D472" s="369" t="inlineStr">
        <is>
          <t>หญิง</t>
        </is>
      </c>
      <c r="E472" s="369" t="inlineStr">
        <is>
          <t>รายวัน</t>
        </is>
      </c>
      <c r="F472" s="369" t="inlineStr">
        <is>
          <t>ไทย</t>
        </is>
      </c>
      <c r="G472" s="369" t="inlineStr">
        <is>
          <t>102/72 ม.10 ต.ทุ่งสุขลา อ.ศรีราชา จ.ชลบุรี 20230</t>
        </is>
      </c>
      <c r="H472" s="396" t="n">
        <v>6</v>
      </c>
      <c r="I472" s="369" t="n"/>
      <c r="J472" s="369" t="inlineStr">
        <is>
          <t>รถจักรยานยนต์ 4 จังหวะเครื่องยนต์ขนาดเล็กกว่า 125 cc</t>
        </is>
      </c>
      <c r="K472" s="410" t="inlineStr">
        <is>
          <t>แก๊สโซฮอล์ 91</t>
        </is>
      </c>
      <c r="L472" s="396" t="n">
        <v>1</v>
      </c>
      <c r="M472" s="589" t="n"/>
      <c r="N472" s="257">
        <f>'[2]1.4 Septic'!$F$16</f>
        <v/>
      </c>
      <c r="O472" s="257">
        <f>$G$492</f>
        <v/>
      </c>
      <c r="P472" s="258" t="n"/>
      <c r="Q472" s="1731">
        <f>H472*2*L472*N472/O472</f>
        <v/>
      </c>
    </row>
    <row r="473" ht="18" customHeight="1">
      <c r="A473" s="396">
        <f>+A472+1</f>
        <v/>
      </c>
      <c r="B473" s="396" t="n">
        <v>659947</v>
      </c>
      <c r="C473" s="369" t="inlineStr">
        <is>
          <t>ช่อผกา กลุ่มยา</t>
        </is>
      </c>
      <c r="D473" s="369" t="inlineStr">
        <is>
          <t>หญิง</t>
        </is>
      </c>
      <c r="E473" s="369" t="inlineStr">
        <is>
          <t>รายวัน</t>
        </is>
      </c>
      <c r="F473" s="369" t="inlineStr">
        <is>
          <t>ไทย</t>
        </is>
      </c>
      <c r="G473" s="369" t="inlineStr">
        <is>
          <t xml:space="preserve">190/49 ม.6 ต.บางละมุง อ.บางละมุง จ.ชลบุรี 20150 </t>
        </is>
      </c>
      <c r="H473" s="396" t="n">
        <v>4</v>
      </c>
      <c r="I473" s="369" t="n"/>
      <c r="J473" s="369" t="inlineStr">
        <is>
          <t>รถจักรยานยนต์ 4 จังหวะเครื่องยนต์ขนาดเล็กกว่า 125 cc</t>
        </is>
      </c>
      <c r="K473" s="410" t="inlineStr">
        <is>
          <t>แก๊สโซฮอล์ 91</t>
        </is>
      </c>
      <c r="L473" s="396" t="n">
        <v>2</v>
      </c>
      <c r="M473" s="589" t="n"/>
      <c r="N473" s="257">
        <f>'[2]1.4 Septic'!$F$16</f>
        <v/>
      </c>
      <c r="O473" s="257">
        <f>$G$492</f>
        <v/>
      </c>
      <c r="P473" s="258" t="n"/>
      <c r="Q473" s="1731">
        <f>H473*2*L473*N473/O473</f>
        <v/>
      </c>
    </row>
    <row r="474" ht="18" customHeight="1">
      <c r="A474" s="396">
        <f>+A473+1</f>
        <v/>
      </c>
      <c r="B474" s="396" t="n">
        <v>659995</v>
      </c>
      <c r="C474" s="369" t="inlineStr">
        <is>
          <t>อำพัน แก้วเกิด</t>
        </is>
      </c>
      <c r="D474" s="369" t="inlineStr">
        <is>
          <t>หญิง</t>
        </is>
      </c>
      <c r="E474" s="369" t="inlineStr">
        <is>
          <t>รายวัน</t>
        </is>
      </c>
      <c r="F474" s="369" t="inlineStr">
        <is>
          <t>ไทย</t>
        </is>
      </c>
      <c r="G474" s="369" t="inlineStr">
        <is>
          <t>66/1 ม.6 ต.บางละมุง อ.บางละมุง จ.ชลบุรี 20150</t>
        </is>
      </c>
      <c r="H474" s="396" t="n">
        <v>3</v>
      </c>
      <c r="I474" s="369" t="n"/>
      <c r="J474" s="369" t="inlineStr">
        <is>
          <t>รถจักรยานยนต์ 2 จังหวะเครื่องยนต์ขนาด 150cc</t>
        </is>
      </c>
      <c r="K474" s="410" t="inlineStr">
        <is>
          <t>แก๊สโซฮอล์ 91</t>
        </is>
      </c>
      <c r="L474" s="396" t="n">
        <v>1</v>
      </c>
      <c r="M474" s="589" t="n"/>
      <c r="N474" s="257">
        <f>'[2]1.4 Septic'!$F$16</f>
        <v/>
      </c>
      <c r="O474" s="1754">
        <f>$G$491</f>
        <v/>
      </c>
      <c r="P474" s="258" t="n"/>
      <c r="Q474" s="1731">
        <f>H474*2*L474*N474/O474</f>
        <v/>
      </c>
    </row>
    <row r="475" ht="18" customHeight="1">
      <c r="A475" s="396">
        <f>+A474+1</f>
        <v/>
      </c>
      <c r="B475" s="396" t="n">
        <v>660001</v>
      </c>
      <c r="C475" s="369" t="inlineStr">
        <is>
          <t>วราภรณ์ อินทสุข</t>
        </is>
      </c>
      <c r="D475" s="369" t="inlineStr">
        <is>
          <t>หญิง</t>
        </is>
      </c>
      <c r="E475" s="369" t="inlineStr">
        <is>
          <t>รายวัน</t>
        </is>
      </c>
      <c r="F475" s="369" t="inlineStr">
        <is>
          <t>ไทย</t>
        </is>
      </c>
      <c r="G475" s="369" t="inlineStr">
        <is>
          <t>121/407 มบ.พฤกษา ม.1 ต.ทุ่งสุขลา อ.ศรีราชา จ.ชลบุรี 20230</t>
        </is>
      </c>
      <c r="H475" s="396" t="n">
        <v>8</v>
      </c>
      <c r="I475" s="369" t="n"/>
      <c r="J475" s="369" t="inlineStr">
        <is>
          <t>รถจักรยานยนต์</t>
        </is>
      </c>
      <c r="K475" s="410" t="inlineStr">
        <is>
          <t>แก๊สโซฮอล์ 91</t>
        </is>
      </c>
      <c r="L475" s="396" t="n">
        <v>1</v>
      </c>
      <c r="M475" s="589" t="n"/>
      <c r="N475" s="257">
        <f>'[2]1.4 Septic'!$F$16</f>
        <v/>
      </c>
      <c r="O475" s="1754">
        <f>$G$491</f>
        <v/>
      </c>
      <c r="P475" s="258" t="n"/>
      <c r="Q475" s="258" t="n"/>
    </row>
    <row r="476" ht="18" customHeight="1">
      <c r="A476" s="396">
        <f>+A475+1</f>
        <v/>
      </c>
      <c r="B476" s="385" t="n">
        <v>660002</v>
      </c>
      <c r="C476" s="369" t="inlineStr">
        <is>
          <t>ภัทราวดี ลาดบัวขาว</t>
        </is>
      </c>
      <c r="D476" s="369" t="inlineStr">
        <is>
          <t>หญิง</t>
        </is>
      </c>
      <c r="E476" s="369" t="inlineStr">
        <is>
          <t>รายวัน</t>
        </is>
      </c>
      <c r="F476" s="369" t="inlineStr">
        <is>
          <t>ไทย</t>
        </is>
      </c>
      <c r="G476" s="369" t="inlineStr">
        <is>
          <t>241/109 ม.5 ต.บึง อ.ศรีราชา จ.ชลบุรี 20230</t>
        </is>
      </c>
      <c r="H476" s="396" t="n">
        <v>10</v>
      </c>
      <c r="I476" s="369" t="n"/>
      <c r="J476" s="369" t="inlineStr">
        <is>
          <t>รถจักรยานยนต์ 4 จังหวะเครื่องยนต์ขนาดเล็กกว่า 125 cc</t>
        </is>
      </c>
      <c r="K476" s="410" t="inlineStr">
        <is>
          <t>แก๊สโซฮอล์ 91</t>
        </is>
      </c>
      <c r="L476" s="396" t="n">
        <v>1</v>
      </c>
      <c r="M476" s="589" t="n"/>
      <c r="N476" s="257">
        <f>'[2]1.4 Septic'!$F$16</f>
        <v/>
      </c>
      <c r="O476" s="257">
        <f>$G$492</f>
        <v/>
      </c>
      <c r="P476" s="258" t="n"/>
      <c r="Q476" s="1731">
        <f>H476*2*L476*N476/O476</f>
        <v/>
      </c>
    </row>
    <row r="477" ht="18" customHeight="1">
      <c r="A477" s="396">
        <f>+A476+1</f>
        <v/>
      </c>
      <c r="B477" s="396" t="n">
        <v>660004</v>
      </c>
      <c r="C477" s="369" t="inlineStr">
        <is>
          <t>วิลัยพร จันทะคาม</t>
        </is>
      </c>
      <c r="D477" s="369" t="inlineStr">
        <is>
          <t>หญิง</t>
        </is>
      </c>
      <c r="E477" s="369" t="inlineStr">
        <is>
          <t>รายวัน</t>
        </is>
      </c>
      <c r="F477" s="369" t="inlineStr">
        <is>
          <t>ไทย</t>
        </is>
      </c>
      <c r="G477" s="369" t="inlineStr">
        <is>
          <t>322/2 ม.9 ต.จีกแดก อ.พนมดงรัก จ.สุรินทร์ 32140</t>
        </is>
      </c>
      <c r="H477" s="396" t="n">
        <v>6</v>
      </c>
      <c r="I477" s="369" t="n"/>
      <c r="J477" s="369" t="inlineStr">
        <is>
          <t>รถจักรยานยนต์ 4 จังหวะเครื่องยนต์ขนาดเล็กกว่า 125 cc</t>
        </is>
      </c>
      <c r="K477" s="410" t="inlineStr">
        <is>
          <t>แก๊สโซฮอล์ 95</t>
        </is>
      </c>
      <c r="L477" s="396" t="n">
        <v>1</v>
      </c>
      <c r="M477" s="589" t="n"/>
      <c r="N477" s="257">
        <f>'[2]1.4 Septic'!$F$16</f>
        <v/>
      </c>
      <c r="O477" s="257">
        <f>$G$492</f>
        <v/>
      </c>
      <c r="P477" s="258" t="n"/>
      <c r="Q477" s="1731">
        <f>H477*2*L477*N477/O477</f>
        <v/>
      </c>
    </row>
    <row r="478" ht="18" customHeight="1">
      <c r="A478" s="396">
        <f>+A477+1</f>
        <v/>
      </c>
      <c r="B478" s="396" t="n">
        <v>660006</v>
      </c>
      <c r="C478" s="369" t="inlineStr">
        <is>
          <t>แพรทอง กลิ่นขจร</t>
        </is>
      </c>
      <c r="D478" s="369" t="inlineStr">
        <is>
          <t>หญิง</t>
        </is>
      </c>
      <c r="E478" s="369" t="inlineStr">
        <is>
          <t>รายวัน</t>
        </is>
      </c>
      <c r="F478" s="369" t="inlineStr">
        <is>
          <t>ไทย</t>
        </is>
      </c>
      <c r="G478" s="369" t="inlineStr">
        <is>
          <t>11 ม.10 ต.ทุ่งสุขลา อ.ศรีราชา จ.ชลบุรี 20230</t>
        </is>
      </c>
      <c r="H478" s="396" t="n">
        <v>2.2</v>
      </c>
      <c r="I478" s="369" t="n"/>
      <c r="J478" s="369" t="inlineStr">
        <is>
          <t>รถจักรยานยนต์</t>
        </is>
      </c>
      <c r="K478" s="228" t="inlineStr">
        <is>
          <t>แก๊สโซฮอล์ 95</t>
        </is>
      </c>
      <c r="L478" s="396" t="n">
        <v>1</v>
      </c>
      <c r="M478" s="589" t="n"/>
      <c r="N478" s="257">
        <f>'[2]1.4 Septic'!$F$16</f>
        <v/>
      </c>
      <c r="O478" s="1754">
        <f>$G$491</f>
        <v/>
      </c>
      <c r="P478" s="258" t="n"/>
      <c r="Q478" s="258" t="n"/>
    </row>
    <row r="479" ht="18" customHeight="1">
      <c r="A479" s="396">
        <f>+A478+1</f>
        <v/>
      </c>
      <c r="B479" s="396" t="n">
        <v>660008</v>
      </c>
      <c r="C479" s="369" t="inlineStr">
        <is>
          <t>ศักดิ์สิทธิ์ ศรีบุญเรือง</t>
        </is>
      </c>
      <c r="D479" s="369" t="inlineStr">
        <is>
          <t>ชาย</t>
        </is>
      </c>
      <c r="E479" s="369" t="inlineStr">
        <is>
          <t>รายวัน</t>
        </is>
      </c>
      <c r="F479" s="369" t="inlineStr">
        <is>
          <t>ไทย</t>
        </is>
      </c>
      <c r="G479" s="369" t="inlineStr">
        <is>
          <t>219/154 การเคหะแหลมฉบัง ต.บางละมุง อ.บางละมุง จ.ชลบุรี 20150</t>
        </is>
      </c>
      <c r="H479" s="396" t="n">
        <v>5</v>
      </c>
      <c r="I479" s="369" t="n"/>
      <c r="J479" s="369" t="inlineStr">
        <is>
          <t>รถจักรยานยนต์ 2 จังหวะเครื่องยนต์ขนาด 150cc</t>
        </is>
      </c>
      <c r="K479" s="410" t="inlineStr">
        <is>
          <t>แก๊สโซฮอล์ 91</t>
        </is>
      </c>
      <c r="L479" s="396" t="n">
        <v>1</v>
      </c>
      <c r="M479" s="589" t="n"/>
      <c r="N479" s="257">
        <f>'[2]1.4 Septic'!$F$16</f>
        <v/>
      </c>
      <c r="O479" s="1754">
        <f>$G$491</f>
        <v/>
      </c>
      <c r="P479" s="258" t="n"/>
      <c r="Q479" s="1731">
        <f>H479*2*L479*N479/O479</f>
        <v/>
      </c>
    </row>
    <row r="480" ht="18" customHeight="1">
      <c r="A480" s="396">
        <f>+A479+1</f>
        <v/>
      </c>
      <c r="B480" s="396" t="n">
        <v>660009</v>
      </c>
      <c r="C480" s="369" t="inlineStr">
        <is>
          <t>สุริญัณ  อรัญโสตร</t>
        </is>
      </c>
      <c r="D480" s="369" t="inlineStr">
        <is>
          <t>ชาย</t>
        </is>
      </c>
      <c r="E480" s="369" t="inlineStr">
        <is>
          <t>รายวัน</t>
        </is>
      </c>
      <c r="F480" s="369" t="inlineStr">
        <is>
          <t>ไทย</t>
        </is>
      </c>
      <c r="G480" s="369" t="inlineStr">
        <is>
          <t>97 ม.7 ต.ไม้เค็ด อ.เมือง จ.ปราจีนบุรี 25230</t>
        </is>
      </c>
      <c r="H480" s="396" t="n">
        <v>4</v>
      </c>
      <c r="I480" s="369" t="n"/>
      <c r="J480" s="369" t="inlineStr">
        <is>
          <t>รถจักรยานยนต์ 2 จังหวะเครื่องยนต์ขนาด 120cc</t>
        </is>
      </c>
      <c r="K480" s="594" t="inlineStr">
        <is>
          <t>แก๊สโซฮอล์ 95</t>
        </is>
      </c>
      <c r="L480" s="581" t="n">
        <v>1</v>
      </c>
      <c r="M480" s="595" t="n"/>
      <c r="N480" s="257">
        <f>'[2]1.4 Septic'!$F$16</f>
        <v/>
      </c>
      <c r="O480" s="1754">
        <f>$G$491</f>
        <v/>
      </c>
      <c r="P480" s="258" t="n"/>
      <c r="Q480" s="1731">
        <f>H480*2*L480*N480/O480</f>
        <v/>
      </c>
    </row>
    <row r="481" ht="18" customHeight="1">
      <c r="A481" s="396">
        <f>+A480+1</f>
        <v/>
      </c>
      <c r="B481" s="396" t="n">
        <v>660010</v>
      </c>
      <c r="C481" s="369" t="inlineStr">
        <is>
          <t>รพีภัทธ์  สนิทชัย</t>
        </is>
      </c>
      <c r="D481" s="369" t="inlineStr">
        <is>
          <t>ชาย</t>
        </is>
      </c>
      <c r="E481" s="369" t="inlineStr">
        <is>
          <t>รายวัน</t>
        </is>
      </c>
      <c r="F481" s="369" t="inlineStr">
        <is>
          <t>ไทย</t>
        </is>
      </c>
      <c r="G481" s="369" t="inlineStr">
        <is>
          <t>126/153 ม.7 ต.สุรศักดิ์ อ.ศรีราชา จ.ชลบุรี 20110</t>
        </is>
      </c>
      <c r="H481" s="396" t="n">
        <v>24</v>
      </c>
      <c r="I481" s="369" t="n"/>
      <c r="J481" s="410" t="inlineStr">
        <is>
          <t>รถจักรยานยนต์ 2 จังหวะเครื่องยนต์ขนาด 120cc</t>
        </is>
      </c>
      <c r="K481" s="258" t="inlineStr">
        <is>
          <t>แก๊สโซฮอล์ 91</t>
        </is>
      </c>
      <c r="L481" s="257" t="n">
        <v>1</v>
      </c>
      <c r="M481" s="257" t="n"/>
      <c r="N481" s="257">
        <f>'[2]1.4 Septic'!$F$16</f>
        <v/>
      </c>
      <c r="O481" s="1754">
        <f>$G$491</f>
        <v/>
      </c>
      <c r="P481" s="258" t="n"/>
      <c r="Q481" s="1731">
        <f>H481*2*L481*N481/O481</f>
        <v/>
      </c>
    </row>
    <row r="482" ht="18" customHeight="1">
      <c r="A482" s="396">
        <f>+A481+1</f>
        <v/>
      </c>
      <c r="B482" s="396" t="n">
        <v>662614</v>
      </c>
      <c r="C482" s="369" t="inlineStr">
        <is>
          <t>วิชิต ขำเนตร</t>
        </is>
      </c>
      <c r="D482" s="369" t="inlineStr">
        <is>
          <t>ชาย</t>
        </is>
      </c>
      <c r="E482" s="369" t="inlineStr">
        <is>
          <t>รายวัน</t>
        </is>
      </c>
      <c r="F482" s="369" t="inlineStr">
        <is>
          <t>ไทย</t>
        </is>
      </c>
      <c r="G482" s="369" t="inlineStr">
        <is>
          <t>การเคหะแหลมฉบัง ม.6 ต.บางละมุง อ.บางละมุง จ.ชลบุรี 20150</t>
        </is>
      </c>
      <c r="H482" s="396" t="n">
        <v>14</v>
      </c>
      <c r="I482" s="369" t="n"/>
      <c r="J482" s="369" t="inlineStr">
        <is>
          <t>รถจักรยานยนต์ 4 จังหวะเครื่องยนต์ขนาด 125 cc</t>
        </is>
      </c>
      <c r="K482" s="586" t="inlineStr">
        <is>
          <t>แก๊สโซฮอล์ 91</t>
        </is>
      </c>
      <c r="L482" s="596" t="n">
        <v>1</v>
      </c>
      <c r="M482" s="596" t="n"/>
      <c r="N482" s="257">
        <f>'[2]1.4 Septic'!$F$16</f>
        <v/>
      </c>
      <c r="O482" s="257">
        <f>$G$492</f>
        <v/>
      </c>
      <c r="P482" s="258" t="n"/>
      <c r="Q482" s="1731">
        <f>H482*2*L482*N482/O482</f>
        <v/>
      </c>
    </row>
    <row r="483" ht="18" customHeight="1">
      <c r="A483" s="385" t="n"/>
      <c r="B483" s="385" t="n"/>
      <c r="H483" s="385" t="n"/>
      <c r="L483" s="257">
        <f>SUM(L5:L482)</f>
        <v/>
      </c>
      <c r="M483" s="257" t="n"/>
      <c r="N483" s="385" t="n"/>
      <c r="O483" s="385" t="n"/>
    </row>
    <row r="484" ht="18" customHeight="1">
      <c r="A484" s="401" t="inlineStr">
        <is>
          <t>หมายเหตุ: พนักงานที่เดินทางด้วยรถรับ-ส่งของบริษัท จำนวน 139 คน</t>
        </is>
      </c>
      <c r="B484" s="385" t="n"/>
      <c r="H484" s="385" t="n"/>
      <c r="L484" s="385" t="n"/>
      <c r="M484" s="385" t="n"/>
      <c r="N484" s="385" t="n"/>
      <c r="O484" s="385" t="n"/>
    </row>
    <row r="485" ht="18" customHeight="1">
      <c r="A485" s="385" t="n"/>
      <c r="B485" s="385" t="n"/>
      <c r="H485" s="385" t="n"/>
      <c r="L485" s="385" t="n"/>
      <c r="M485" s="385" t="n"/>
      <c r="N485" s="385" t="n"/>
      <c r="O485" s="385" t="n"/>
    </row>
    <row r="486" ht="18" customHeight="1">
      <c r="A486" s="1397" t="inlineStr">
        <is>
          <t>ประเภทรถ</t>
        </is>
      </c>
      <c r="B486" s="1415" t="n"/>
      <c r="C486" s="1415" t="n"/>
      <c r="D486" s="1416" t="n"/>
      <c r="E486" s="1397" t="inlineStr">
        <is>
          <t xml:space="preserve">เชื้อเพลิง </t>
        </is>
      </c>
      <c r="F486" s="1397" t="inlineStr">
        <is>
          <t>หน่วย</t>
        </is>
      </c>
      <c r="G486" s="290" t="inlineStr">
        <is>
          <t xml:space="preserve">อัตราการสิ้นเปลืองเชื้อเพลิง </t>
        </is>
      </c>
      <c r="H486" s="1397" t="inlineStr">
        <is>
          <t>แหล่งข้อมูลอ้างอิง</t>
        </is>
      </c>
      <c r="I486" s="1416" t="n"/>
      <c r="L486" s="385" t="n"/>
      <c r="M486" s="385" t="n"/>
      <c r="N486" s="385" t="n"/>
      <c r="O486" s="385" t="n"/>
    </row>
    <row r="487" ht="18" customHeight="1">
      <c r="A487" s="1300" t="inlineStr">
        <is>
          <t>รถยนต์เฉลี่ยทุกขนาด</t>
        </is>
      </c>
      <c r="B487" s="1415" t="n"/>
      <c r="C487" s="1415" t="n"/>
      <c r="D487" s="1416" t="n"/>
      <c r="E487" s="1397" t="inlineStr">
        <is>
          <t>เบนซิน</t>
        </is>
      </c>
      <c r="F487" s="1397" t="inlineStr">
        <is>
          <t xml:space="preserve">km/L </t>
        </is>
      </c>
      <c r="G487" s="1397" t="n">
        <v>14.763</v>
      </c>
      <c r="H487" s="1393" t="inlineStr">
        <is>
          <t>กรมควบคุมมลพิษ, 2551</t>
        </is>
      </c>
      <c r="I487" s="1416" t="n"/>
      <c r="L487" s="385" t="n"/>
      <c r="M487" s="385" t="n"/>
      <c r="N487" s="385" t="n"/>
      <c r="O487" s="385" t="n"/>
    </row>
    <row r="488" ht="18" customHeight="1">
      <c r="A488" s="1300" t="inlineStr">
        <is>
          <t>รถกระบะบรรทุกเฉลี่ย</t>
        </is>
      </c>
      <c r="B488" s="1415" t="n"/>
      <c r="C488" s="1415" t="n"/>
      <c r="D488" s="1416" t="n"/>
      <c r="E488" s="1397" t="inlineStr">
        <is>
          <t>ดีเซล</t>
        </is>
      </c>
      <c r="F488" s="1397" t="inlineStr">
        <is>
          <t xml:space="preserve">km/L </t>
        </is>
      </c>
      <c r="G488" s="1397" t="n">
        <v>6.369</v>
      </c>
      <c r="H488" s="1393" t="inlineStr">
        <is>
          <t>American petroleum institute, 2004</t>
        </is>
      </c>
      <c r="I488" s="1416" t="n"/>
      <c r="L488" s="385" t="n"/>
      <c r="M488" s="385" t="n"/>
      <c r="N488" s="385" t="n"/>
      <c r="O488" s="385" t="n"/>
    </row>
    <row r="489" ht="18" customHeight="1">
      <c r="A489" s="1300" t="inlineStr">
        <is>
          <t>รถตู้โดยสาร</t>
        </is>
      </c>
      <c r="B489" s="1415" t="n"/>
      <c r="C489" s="1415" t="n"/>
      <c r="D489" s="1416" t="n"/>
      <c r="E489" s="1397" t="inlineStr">
        <is>
          <t>ดีเซล</t>
        </is>
      </c>
      <c r="F489" s="1397" t="inlineStr">
        <is>
          <t xml:space="preserve">km/L </t>
        </is>
      </c>
      <c r="G489" s="1397" t="n">
        <v>10.204</v>
      </c>
      <c r="H489" s="1393" t="inlineStr">
        <is>
          <t>American petroleum institute, 2004</t>
        </is>
      </c>
      <c r="I489" s="1416" t="n"/>
      <c r="L489" s="385" t="n"/>
      <c r="M489" s="385" t="n"/>
      <c r="N489" s="385" t="n"/>
      <c r="O489" s="385" t="n"/>
    </row>
    <row r="490" ht="18" customHeight="1">
      <c r="A490" s="1300" t="inlineStr">
        <is>
          <t>รถโดยสารประจำทาง</t>
        </is>
      </c>
      <c r="B490" s="1415" t="n"/>
      <c r="C490" s="1415" t="n"/>
      <c r="D490" s="1416" t="n"/>
      <c r="E490" s="1397" t="inlineStr">
        <is>
          <t>ดีเซล</t>
        </is>
      </c>
      <c r="F490" s="1397" t="inlineStr">
        <is>
          <t xml:space="preserve">km/L </t>
        </is>
      </c>
      <c r="G490" s="1755" t="n">
        <v>2.85</v>
      </c>
      <c r="H490" s="1393" t="inlineStr">
        <is>
          <t>American petroleum institute, 2004</t>
        </is>
      </c>
      <c r="I490" s="1416" t="n"/>
      <c r="L490" s="385" t="n"/>
      <c r="M490" s="385" t="n"/>
      <c r="N490" s="385" t="n"/>
      <c r="O490" s="385" t="n"/>
    </row>
    <row r="491" ht="18" customHeight="1">
      <c r="A491" s="1300" t="inlineStr">
        <is>
          <t>รถจักรยานยนต์ 2 จังหวะเฉลี่ยทุกขนาด</t>
        </is>
      </c>
      <c r="B491" s="1415" t="n"/>
      <c r="C491" s="1415" t="n"/>
      <c r="D491" s="1416" t="n"/>
      <c r="E491" s="1397" t="inlineStr">
        <is>
          <t>เบนซิน</t>
        </is>
      </c>
      <c r="F491" s="1397" t="inlineStr">
        <is>
          <t xml:space="preserve">km/L </t>
        </is>
      </c>
      <c r="G491" s="1755" t="n">
        <v>32.435</v>
      </c>
      <c r="H491" s="1393" t="inlineStr">
        <is>
          <t>กรมควบคุมมลพิษ, 2551</t>
        </is>
      </c>
      <c r="I491" s="1416" t="n"/>
      <c r="L491" s="385" t="n"/>
      <c r="M491" s="385" t="n"/>
      <c r="N491" s="385" t="n"/>
      <c r="O491" s="385" t="n"/>
    </row>
    <row r="492" ht="18" customHeight="1">
      <c r="A492" s="1392" t="inlineStr">
        <is>
          <t xml:space="preserve">รถจักรยานยนต์4 จังหวะเฉลี่ยทุกขนาด </t>
        </is>
      </c>
      <c r="B492" s="1415" t="n"/>
      <c r="C492" s="1415" t="n"/>
      <c r="D492" s="1416" t="n"/>
      <c r="E492" s="598" t="inlineStr">
        <is>
          <t xml:space="preserve">เบนซิน </t>
        </is>
      </c>
      <c r="F492" s="598" t="inlineStr">
        <is>
          <t xml:space="preserve">km/L </t>
        </is>
      </c>
      <c r="G492" s="598" t="n">
        <v>37.64</v>
      </c>
      <c r="H492" s="1392" t="inlineStr">
        <is>
          <t>กรมควบคุมมลพิษ, 2551</t>
        </is>
      </c>
      <c r="I492" s="1416" t="n"/>
      <c r="L492" s="385" t="n"/>
      <c r="M492" s="385" t="n"/>
      <c r="N492" s="385" t="n"/>
      <c r="O492" s="385" t="n"/>
    </row>
    <row r="493" ht="18" customHeight="1">
      <c r="A493" s="1300" t="inlineStr">
        <is>
          <t>รถไฟฟ้า</t>
        </is>
      </c>
      <c r="B493" s="1415" t="n"/>
      <c r="C493" s="1415" t="n"/>
      <c r="D493" s="1416" t="n"/>
      <c r="E493" s="1397" t="inlineStr">
        <is>
          <t>ไฟฟ้า</t>
        </is>
      </c>
      <c r="F493" s="1397" t="inlineStr">
        <is>
          <t>kwh/km</t>
        </is>
      </c>
      <c r="G493" s="1397" t="n">
        <v>0.0067</v>
      </c>
      <c r="H493" s="1393" t="inlineStr">
        <is>
          <t>Siemens. 2012. High speed from Siemens: Velaro E Model. [Online]. Available: http://www.siemens.com</t>
        </is>
      </c>
      <c r="I493" s="1416" t="n"/>
      <c r="L493" s="385" t="n"/>
      <c r="M493" s="385" t="n"/>
      <c r="N493" s="385" t="n"/>
      <c r="O493" s="385" t="n"/>
    </row>
    <row r="494" ht="18" customHeight="1">
      <c r="A494" s="1300" t="inlineStr">
        <is>
          <t>เรือความเร็วสูง (200 แรงม้า 2 จังหวะ) ผู้โดยสารไม่เกิน 15 ท่าน</t>
        </is>
      </c>
      <c r="B494" s="1415" t="n"/>
      <c r="C494" s="1415" t="n"/>
      <c r="D494" s="1416" t="n"/>
      <c r="E494" s="1397" t="inlineStr">
        <is>
          <t>เบนซิน</t>
        </is>
      </c>
      <c r="F494" s="1397" t="inlineStr">
        <is>
          <t xml:space="preserve">km/L </t>
        </is>
      </c>
      <c r="G494" s="1397" t="n">
        <v>1.05</v>
      </c>
      <c r="H494" s="1393" t="inlineStr">
        <is>
          <t>PCR บริการการท่องเที่ยว, 2566</t>
        </is>
      </c>
      <c r="I494" s="1416" t="n"/>
      <c r="L494" s="385" t="n"/>
      <c r="M494" s="385" t="n"/>
      <c r="N494" s="385" t="n"/>
      <c r="O494" s="385" t="n"/>
    </row>
    <row r="495" ht="18" customHeight="1">
      <c r="A495" s="1300" t="inlineStr">
        <is>
          <t xml:space="preserve">รถยนต์ขนาดใหญ่(2000 cc) </t>
        </is>
      </c>
      <c r="B495" s="1415" t="n"/>
      <c r="C495" s="1415" t="n"/>
      <c r="D495" s="1416" t="n"/>
      <c r="E495" s="1397" t="inlineStr">
        <is>
          <t xml:space="preserve">เบนซิน </t>
        </is>
      </c>
      <c r="F495" s="1397" t="inlineStr">
        <is>
          <t xml:space="preserve">km/L </t>
        </is>
      </c>
      <c r="G495" s="1397" t="n">
        <v>12.248</v>
      </c>
      <c r="H495" s="1300" t="inlineStr">
        <is>
          <t>กรมควบคุมมลพิษ, 2551</t>
        </is>
      </c>
      <c r="I495" s="1416" t="n"/>
      <c r="L495" s="385" t="n"/>
      <c r="M495" s="385" t="n"/>
      <c r="N495" s="385" t="n"/>
      <c r="O495" s="385" t="n"/>
    </row>
    <row r="496" ht="18" customHeight="1">
      <c r="A496" s="1300" t="inlineStr">
        <is>
          <t xml:space="preserve">รถยนต์ขนาดกลาง (1800 cc) </t>
        </is>
      </c>
      <c r="B496" s="1415" t="n"/>
      <c r="C496" s="1415" t="n"/>
      <c r="D496" s="1416" t="n"/>
      <c r="E496" s="1397" t="inlineStr">
        <is>
          <t xml:space="preserve">เบนซิน </t>
        </is>
      </c>
      <c r="F496" s="1397" t="inlineStr">
        <is>
          <t xml:space="preserve">km/L </t>
        </is>
      </c>
      <c r="G496" s="1397" t="n">
        <v>13.796</v>
      </c>
      <c r="H496" s="1300" t="inlineStr">
        <is>
          <t>กรมควบคุมมลพิษ, 2551</t>
        </is>
      </c>
      <c r="I496" s="1416" t="n"/>
      <c r="L496" s="385" t="n"/>
      <c r="M496" s="385" t="n"/>
      <c r="N496" s="385" t="n"/>
      <c r="O496" s="385" t="n"/>
    </row>
    <row r="497" ht="18" customHeight="1">
      <c r="A497" s="1300" t="inlineStr">
        <is>
          <t xml:space="preserve">รถยนต์ขนาดกลาง (1600 cc) </t>
        </is>
      </c>
      <c r="B497" s="1415" t="n"/>
      <c r="C497" s="1415" t="n"/>
      <c r="D497" s="1416" t="n"/>
      <c r="E497" s="1397" t="inlineStr">
        <is>
          <t xml:space="preserve">เบนซิน </t>
        </is>
      </c>
      <c r="F497" s="1397" t="inlineStr">
        <is>
          <t xml:space="preserve">km/L </t>
        </is>
      </c>
      <c r="G497" s="1397" t="n">
        <v>15.238</v>
      </c>
      <c r="H497" s="1300" t="inlineStr">
        <is>
          <t>กรมควบคุมมลพิษ, 2551</t>
        </is>
      </c>
      <c r="I497" s="1397" t="n"/>
      <c r="L497" s="385" t="n"/>
      <c r="M497" s="385" t="n"/>
      <c r="N497" s="385" t="n"/>
      <c r="O497" s="385" t="n"/>
    </row>
    <row r="498" ht="18" customHeight="1">
      <c r="A498" s="1300" t="inlineStr">
        <is>
          <t xml:space="preserve">รถยนต์ขนาดเล็ก (1500 cc) </t>
        </is>
      </c>
      <c r="B498" s="1415" t="n"/>
      <c r="C498" s="1415" t="n"/>
      <c r="D498" s="1416" t="n"/>
      <c r="E498" s="1397" t="inlineStr">
        <is>
          <t xml:space="preserve">เบนซิน </t>
        </is>
      </c>
      <c r="F498" s="1397" t="inlineStr">
        <is>
          <t xml:space="preserve">km/L </t>
        </is>
      </c>
      <c r="G498" s="1397" t="n">
        <v>17.77</v>
      </c>
      <c r="H498" s="1300" t="inlineStr">
        <is>
          <t>กรมควบคุมมลพิษ, 2551</t>
        </is>
      </c>
      <c r="I498" s="1416" t="n"/>
      <c r="L498" s="385" t="n"/>
      <c r="M498" s="385" t="n"/>
      <c r="N498" s="385" t="n"/>
      <c r="O498" s="385" t="n"/>
    </row>
    <row r="499" ht="18" customHeight="1">
      <c r="A499" s="385" t="n"/>
      <c r="B499" s="385" t="n"/>
      <c r="H499" s="385" t="n"/>
      <c r="L499" s="385" t="n"/>
      <c r="M499" s="385" t="n"/>
      <c r="N499" s="385" t="n"/>
      <c r="O499" s="385" t="n"/>
    </row>
    <row r="500" ht="18" customHeight="1">
      <c r="A500" s="385" t="n"/>
      <c r="B500" s="385" t="n"/>
      <c r="H500" s="385" t="n"/>
      <c r="L500" s="385" t="n"/>
      <c r="M500" s="385" t="n"/>
      <c r="N500" s="385" t="n"/>
      <c r="O500" s="385" t="n"/>
    </row>
    <row r="501" ht="18" customHeight="1">
      <c r="A501" s="385" t="n"/>
      <c r="B501" s="385" t="n"/>
      <c r="H501" s="385" t="n"/>
      <c r="L501" s="385" t="n"/>
      <c r="M501" s="385" t="n"/>
      <c r="N501" s="385" t="n"/>
      <c r="O501" s="385" t="n"/>
    </row>
    <row r="502" ht="18" customHeight="1">
      <c r="A502" s="385" t="n"/>
      <c r="B502" s="385" t="n"/>
      <c r="H502" s="385" t="n"/>
      <c r="L502" s="385" t="n"/>
      <c r="M502" s="385" t="n"/>
      <c r="N502" s="385" t="n"/>
      <c r="O502" s="385" t="n"/>
    </row>
    <row r="503" ht="18" customHeight="1">
      <c r="A503" s="385" t="n"/>
      <c r="B503" s="385" t="n"/>
      <c r="H503" s="385" t="n"/>
      <c r="L503" s="385" t="n"/>
      <c r="M503" s="385" t="n"/>
      <c r="N503" s="385" t="n"/>
      <c r="O503" s="385" t="n"/>
    </row>
    <row r="504" ht="18" customHeight="1">
      <c r="A504" s="385" t="n"/>
      <c r="B504" s="385" t="n"/>
      <c r="H504" s="385" t="n"/>
      <c r="L504" s="385" t="n"/>
      <c r="M504" s="385" t="n"/>
      <c r="N504" s="385" t="n"/>
      <c r="O504" s="385" t="n"/>
    </row>
    <row r="505" ht="18" customHeight="1">
      <c r="A505" s="385" t="n"/>
      <c r="B505" s="385" t="n"/>
      <c r="H505" s="385" t="n"/>
      <c r="L505" s="385" t="n"/>
      <c r="M505" s="385" t="n"/>
      <c r="N505" s="385" t="n"/>
      <c r="O505" s="385" t="n"/>
    </row>
    <row r="506" ht="18" customHeight="1">
      <c r="A506" s="385" t="n"/>
      <c r="B506" s="385" t="n"/>
      <c r="H506" s="385" t="n"/>
      <c r="L506" s="385" t="n"/>
      <c r="M506" s="385" t="n"/>
      <c r="N506" s="385" t="n"/>
      <c r="O506" s="385" t="n"/>
    </row>
    <row r="507" ht="18" customHeight="1">
      <c r="A507" s="385" t="n"/>
      <c r="B507" s="385" t="n"/>
      <c r="H507" s="385" t="n"/>
      <c r="L507" s="385" t="n"/>
      <c r="M507" s="385" t="n"/>
      <c r="N507" s="385" t="n"/>
      <c r="O507" s="385" t="n"/>
    </row>
    <row r="508" ht="18" customHeight="1">
      <c r="A508" s="385" t="n"/>
      <c r="B508" s="385" t="n"/>
      <c r="H508" s="385" t="n"/>
      <c r="L508" s="385" t="n"/>
      <c r="M508" s="385" t="n"/>
      <c r="N508" s="385" t="n"/>
      <c r="O508" s="385" t="n"/>
    </row>
    <row r="509" ht="18" customHeight="1">
      <c r="A509" s="385" t="n"/>
      <c r="B509" s="385" t="n"/>
      <c r="H509" s="385" t="n"/>
      <c r="L509" s="385" t="n"/>
      <c r="M509" s="385" t="n"/>
      <c r="N509" s="385" t="n"/>
      <c r="O509" s="385" t="n"/>
    </row>
    <row r="510" ht="18" customHeight="1">
      <c r="A510" s="385" t="n"/>
      <c r="B510" s="385" t="n"/>
      <c r="H510" s="385" t="n"/>
      <c r="L510" s="385" t="n"/>
      <c r="M510" s="385" t="n"/>
      <c r="N510" s="385" t="n"/>
      <c r="O510" s="385" t="n"/>
    </row>
    <row r="511" ht="18" customHeight="1">
      <c r="A511" s="385" t="n"/>
      <c r="B511" s="385" t="n"/>
      <c r="H511" s="385" t="n"/>
      <c r="L511" s="385" t="n"/>
      <c r="M511" s="385" t="n"/>
      <c r="N511" s="385" t="n"/>
      <c r="O511" s="385" t="n"/>
    </row>
    <row r="512" ht="18" customHeight="1">
      <c r="A512" s="385" t="n"/>
      <c r="B512" s="385" t="n"/>
      <c r="H512" s="385" t="n"/>
      <c r="L512" s="385" t="n"/>
      <c r="M512" s="385" t="n"/>
      <c r="N512" s="385" t="n"/>
      <c r="O512" s="385" t="n"/>
    </row>
    <row r="513" ht="18" customHeight="1">
      <c r="A513" s="385" t="n"/>
      <c r="B513" s="385" t="n"/>
      <c r="H513" s="385" t="n"/>
      <c r="L513" s="385" t="n"/>
      <c r="M513" s="385" t="n"/>
      <c r="N513" s="385" t="n"/>
      <c r="O513" s="385" t="n"/>
    </row>
    <row r="514" ht="18" customHeight="1">
      <c r="A514" s="385" t="n"/>
      <c r="B514" s="385" t="n"/>
      <c r="H514" s="385" t="n"/>
      <c r="L514" s="385" t="n"/>
      <c r="M514" s="385" t="n"/>
      <c r="N514" s="385" t="n"/>
      <c r="O514" s="385" t="n"/>
    </row>
    <row r="515" ht="18" customHeight="1">
      <c r="A515" s="385" t="n"/>
      <c r="B515" s="385" t="n"/>
      <c r="H515" s="385" t="n"/>
      <c r="L515" s="385" t="n"/>
      <c r="M515" s="385" t="n"/>
      <c r="N515" s="385" t="n"/>
      <c r="O515" s="385" t="n"/>
    </row>
    <row r="516" ht="18" customHeight="1">
      <c r="A516" s="385" t="n"/>
      <c r="B516" s="385" t="n"/>
      <c r="H516" s="385" t="n"/>
      <c r="L516" s="385" t="n"/>
      <c r="M516" s="385" t="n"/>
      <c r="N516" s="385" t="n"/>
      <c r="O516" s="385" t="n"/>
    </row>
    <row r="517" ht="18" customHeight="1">
      <c r="A517" s="385" t="n"/>
      <c r="B517" s="385" t="n"/>
      <c r="H517" s="385" t="n"/>
      <c r="L517" s="385" t="n"/>
      <c r="M517" s="385" t="n"/>
      <c r="N517" s="385" t="n"/>
      <c r="O517" s="385" t="n"/>
    </row>
    <row r="518" ht="18" customHeight="1">
      <c r="A518" s="385" t="n"/>
      <c r="B518" s="385" t="n"/>
      <c r="H518" s="385" t="n"/>
      <c r="L518" s="385" t="n"/>
      <c r="M518" s="385" t="n"/>
      <c r="N518" s="385" t="n"/>
      <c r="O518" s="385" t="n"/>
    </row>
    <row r="519" ht="18" customHeight="1">
      <c r="A519" s="385" t="n"/>
      <c r="B519" s="385" t="n"/>
      <c r="H519" s="385" t="n"/>
      <c r="L519" s="385" t="n"/>
      <c r="M519" s="385" t="n"/>
      <c r="N519" s="385" t="n"/>
      <c r="O519" s="385" t="n"/>
    </row>
    <row r="520" ht="18" customHeight="1">
      <c r="A520" s="385" t="n"/>
      <c r="B520" s="385" t="n"/>
      <c r="H520" s="385" t="n"/>
      <c r="L520" s="385" t="n"/>
      <c r="M520" s="385" t="n"/>
      <c r="N520" s="385" t="n"/>
      <c r="O520" s="385" t="n"/>
    </row>
    <row r="521" ht="18" customHeight="1">
      <c r="A521" s="385" t="n"/>
      <c r="B521" s="385" t="n"/>
      <c r="H521" s="385" t="n"/>
      <c r="L521" s="385" t="n"/>
      <c r="M521" s="385" t="n"/>
      <c r="N521" s="385" t="n"/>
      <c r="O521" s="385" t="n"/>
    </row>
    <row r="522" ht="18" customHeight="1">
      <c r="A522" s="385" t="n"/>
      <c r="B522" s="385" t="n"/>
      <c r="H522" s="385" t="n"/>
      <c r="L522" s="385" t="n"/>
      <c r="M522" s="385" t="n"/>
      <c r="N522" s="385" t="n"/>
      <c r="O522" s="385" t="n"/>
    </row>
    <row r="523" ht="18" customHeight="1">
      <c r="A523" s="385" t="n"/>
      <c r="B523" s="385" t="n"/>
      <c r="H523" s="385" t="n"/>
      <c r="L523" s="385" t="n"/>
      <c r="M523" s="385" t="n"/>
      <c r="N523" s="385" t="n"/>
      <c r="O523" s="385" t="n"/>
    </row>
    <row r="524" ht="18" customHeight="1">
      <c r="A524" s="385" t="n"/>
      <c r="B524" s="385" t="n"/>
      <c r="H524" s="385" t="n"/>
      <c r="L524" s="385" t="n"/>
      <c r="M524" s="385" t="n"/>
      <c r="N524" s="385" t="n"/>
      <c r="O524" s="385" t="n"/>
    </row>
    <row r="525" ht="18" customHeight="1">
      <c r="A525" s="385" t="n"/>
      <c r="B525" s="385" t="n"/>
      <c r="H525" s="385" t="n"/>
      <c r="L525" s="385" t="n"/>
      <c r="M525" s="385" t="n"/>
      <c r="N525" s="385" t="n"/>
      <c r="O525" s="385" t="n"/>
    </row>
    <row r="526" ht="18" customHeight="1">
      <c r="A526" s="385" t="n"/>
      <c r="B526" s="385" t="n"/>
      <c r="H526" s="385" t="n"/>
      <c r="L526" s="385" t="n"/>
      <c r="M526" s="385" t="n"/>
      <c r="N526" s="385" t="n"/>
      <c r="O526" s="385" t="n"/>
    </row>
    <row r="527" ht="18" customHeight="1">
      <c r="A527" s="385" t="n"/>
      <c r="B527" s="385" t="n"/>
      <c r="H527" s="385" t="n"/>
      <c r="L527" s="385" t="n"/>
      <c r="M527" s="385" t="n"/>
      <c r="N527" s="385" t="n"/>
      <c r="O527" s="385" t="n"/>
    </row>
    <row r="528" ht="18" customHeight="1">
      <c r="A528" s="385" t="n"/>
      <c r="B528" s="385" t="n"/>
      <c r="H528" s="385" t="n"/>
      <c r="L528" s="385" t="n"/>
      <c r="M528" s="385" t="n"/>
      <c r="N528" s="385" t="n"/>
      <c r="O528" s="385" t="n"/>
    </row>
    <row r="529" ht="18" customHeight="1">
      <c r="A529" s="385" t="n"/>
      <c r="B529" s="385" t="n"/>
      <c r="H529" s="385" t="n"/>
      <c r="L529" s="385" t="n"/>
      <c r="M529" s="385" t="n"/>
      <c r="N529" s="385" t="n"/>
      <c r="O529" s="385" t="n"/>
    </row>
    <row r="530" ht="18" customHeight="1">
      <c r="A530" s="385" t="n"/>
      <c r="B530" s="385" t="n"/>
      <c r="H530" s="385" t="n"/>
      <c r="L530" s="385" t="n"/>
      <c r="M530" s="385" t="n"/>
      <c r="N530" s="385" t="n"/>
      <c r="O530" s="385" t="n"/>
    </row>
    <row r="531" ht="18" customHeight="1">
      <c r="A531" s="385" t="n"/>
      <c r="B531" s="385" t="n"/>
      <c r="H531" s="385" t="n"/>
      <c r="L531" s="385" t="n"/>
      <c r="M531" s="385" t="n"/>
      <c r="N531" s="385" t="n"/>
      <c r="O531" s="385" t="n"/>
    </row>
    <row r="532" ht="18" customHeight="1">
      <c r="A532" s="385" t="n"/>
      <c r="B532" s="385" t="n"/>
      <c r="H532" s="385" t="n"/>
      <c r="L532" s="385" t="n"/>
      <c r="M532" s="385" t="n"/>
      <c r="N532" s="385" t="n"/>
      <c r="O532" s="385" t="n"/>
    </row>
    <row r="533" ht="18" customHeight="1">
      <c r="A533" s="385" t="n"/>
      <c r="B533" s="385" t="n"/>
      <c r="H533" s="385" t="n"/>
      <c r="L533" s="385" t="n"/>
      <c r="M533" s="385" t="n"/>
      <c r="N533" s="385" t="n"/>
      <c r="O533" s="385" t="n"/>
    </row>
    <row r="534" ht="18" customHeight="1">
      <c r="A534" s="385" t="n"/>
      <c r="B534" s="385" t="n"/>
      <c r="H534" s="385" t="n"/>
      <c r="L534" s="385" t="n"/>
      <c r="M534" s="385" t="n"/>
      <c r="N534" s="385" t="n"/>
      <c r="O534" s="385" t="n"/>
    </row>
    <row r="535" ht="18" customHeight="1">
      <c r="A535" s="385" t="n"/>
      <c r="B535" s="385" t="n"/>
      <c r="H535" s="385" t="n"/>
      <c r="L535" s="385" t="n"/>
      <c r="M535" s="385" t="n"/>
      <c r="N535" s="385" t="n"/>
      <c r="O535" s="385" t="n"/>
    </row>
    <row r="536" ht="18" customHeight="1">
      <c r="A536" s="385" t="n"/>
      <c r="B536" s="385" t="n"/>
      <c r="H536" s="385" t="n"/>
      <c r="L536" s="385" t="n"/>
      <c r="M536" s="385" t="n"/>
      <c r="N536" s="385" t="n"/>
      <c r="O536" s="385" t="n"/>
    </row>
    <row r="537" ht="18" customHeight="1">
      <c r="A537" s="385" t="n"/>
      <c r="B537" s="385" t="n"/>
      <c r="H537" s="385" t="n"/>
      <c r="L537" s="385" t="n"/>
      <c r="M537" s="385" t="n"/>
      <c r="N537" s="385" t="n"/>
      <c r="O537" s="385" t="n"/>
    </row>
    <row r="538" ht="18" customHeight="1">
      <c r="A538" s="385" t="n"/>
      <c r="B538" s="385" t="n"/>
      <c r="H538" s="385" t="n"/>
      <c r="L538" s="385" t="n"/>
      <c r="M538" s="385" t="n"/>
      <c r="N538" s="385" t="n"/>
      <c r="O538" s="385" t="n"/>
    </row>
    <row r="539" ht="18" customHeight="1">
      <c r="A539" s="385" t="n"/>
      <c r="B539" s="385" t="n"/>
      <c r="H539" s="385" t="n"/>
      <c r="L539" s="385" t="n"/>
      <c r="M539" s="385" t="n"/>
      <c r="N539" s="385" t="n"/>
      <c r="O539" s="385" t="n"/>
    </row>
    <row r="540" ht="18" customHeight="1">
      <c r="A540" s="385" t="n"/>
      <c r="B540" s="385" t="n"/>
      <c r="H540" s="385" t="n"/>
      <c r="L540" s="385" t="n"/>
      <c r="M540" s="385" t="n"/>
      <c r="N540" s="385" t="n"/>
      <c r="O540" s="385" t="n"/>
    </row>
    <row r="541" ht="18" customHeight="1">
      <c r="A541" s="385" t="n"/>
      <c r="B541" s="385" t="n"/>
      <c r="H541" s="385" t="n"/>
      <c r="L541" s="385" t="n"/>
      <c r="M541" s="385" t="n"/>
      <c r="N541" s="385" t="n"/>
      <c r="O541" s="385" t="n"/>
    </row>
    <row r="542" ht="18" customHeight="1">
      <c r="A542" s="385" t="n"/>
      <c r="B542" s="385" t="n"/>
      <c r="H542" s="385" t="n"/>
      <c r="L542" s="385" t="n"/>
      <c r="M542" s="385" t="n"/>
      <c r="N542" s="385" t="n"/>
      <c r="O542" s="385" t="n"/>
    </row>
    <row r="543" ht="18" customHeight="1">
      <c r="A543" s="385" t="n"/>
      <c r="B543" s="385" t="n"/>
      <c r="H543" s="385" t="n"/>
      <c r="L543" s="385" t="n"/>
      <c r="M543" s="385" t="n"/>
      <c r="N543" s="385" t="n"/>
      <c r="O543" s="385" t="n"/>
    </row>
    <row r="544" ht="18" customHeight="1">
      <c r="A544" s="385" t="n"/>
      <c r="B544" s="385" t="n"/>
      <c r="H544" s="385" t="n"/>
      <c r="L544" s="385" t="n"/>
      <c r="M544" s="385" t="n"/>
      <c r="N544" s="385" t="n"/>
      <c r="O544" s="385" t="n"/>
    </row>
    <row r="545" ht="18" customHeight="1">
      <c r="A545" s="385" t="n"/>
      <c r="B545" s="385" t="n"/>
      <c r="H545" s="385" t="n"/>
      <c r="L545" s="385" t="n"/>
      <c r="M545" s="385" t="n"/>
      <c r="N545" s="385" t="n"/>
      <c r="O545" s="385" t="n"/>
    </row>
    <row r="546" ht="18" customHeight="1">
      <c r="A546" s="385" t="n"/>
      <c r="B546" s="385" t="n"/>
      <c r="H546" s="385" t="n"/>
      <c r="L546" s="385" t="n"/>
      <c r="M546" s="385" t="n"/>
      <c r="N546" s="385" t="n"/>
      <c r="O546" s="385" t="n"/>
    </row>
    <row r="547" ht="18" customHeight="1">
      <c r="A547" s="385" t="n"/>
      <c r="B547" s="385" t="n"/>
      <c r="H547" s="385" t="n"/>
      <c r="L547" s="385" t="n"/>
      <c r="M547" s="385" t="n"/>
      <c r="N547" s="385" t="n"/>
      <c r="O547" s="385" t="n"/>
    </row>
    <row r="548" ht="18" customHeight="1">
      <c r="A548" s="385" t="n"/>
      <c r="B548" s="385" t="n"/>
      <c r="H548" s="385" t="n"/>
      <c r="L548" s="385" t="n"/>
      <c r="M548" s="385" t="n"/>
      <c r="N548" s="385" t="n"/>
      <c r="O548" s="385" t="n"/>
    </row>
    <row r="549" ht="18" customHeight="1">
      <c r="A549" s="385" t="n"/>
      <c r="B549" s="385" t="n"/>
      <c r="H549" s="385" t="n"/>
      <c r="L549" s="385" t="n"/>
      <c r="M549" s="385" t="n"/>
      <c r="N549" s="385" t="n"/>
      <c r="O549" s="385" t="n"/>
    </row>
    <row r="550" ht="18" customHeight="1">
      <c r="A550" s="385" t="n"/>
      <c r="B550" s="385" t="n"/>
      <c r="H550" s="385" t="n"/>
      <c r="L550" s="385" t="n"/>
      <c r="M550" s="385" t="n"/>
      <c r="N550" s="385" t="n"/>
      <c r="O550" s="385" t="n"/>
    </row>
    <row r="551" ht="18" customHeight="1">
      <c r="A551" s="385" t="n"/>
      <c r="B551" s="385" t="n"/>
      <c r="H551" s="385" t="n"/>
      <c r="L551" s="385" t="n"/>
      <c r="M551" s="385" t="n"/>
      <c r="N551" s="385" t="n"/>
      <c r="O551" s="385" t="n"/>
    </row>
    <row r="552" ht="18" customHeight="1">
      <c r="A552" s="385" t="n"/>
      <c r="B552" s="385" t="n"/>
      <c r="H552" s="385" t="n"/>
      <c r="L552" s="385" t="n"/>
      <c r="M552" s="385" t="n"/>
      <c r="N552" s="385" t="n"/>
      <c r="O552" s="385" t="n"/>
    </row>
    <row r="553" ht="18" customHeight="1">
      <c r="A553" s="385" t="n"/>
      <c r="B553" s="385" t="n"/>
      <c r="H553" s="385" t="n"/>
      <c r="L553" s="385" t="n"/>
      <c r="M553" s="385" t="n"/>
      <c r="N553" s="385" t="n"/>
      <c r="O553" s="385" t="n"/>
    </row>
    <row r="554" ht="18" customHeight="1">
      <c r="A554" s="385" t="n"/>
      <c r="B554" s="385" t="n"/>
      <c r="H554" s="385" t="n"/>
      <c r="L554" s="385" t="n"/>
      <c r="M554" s="385" t="n"/>
      <c r="N554" s="385" t="n"/>
      <c r="O554" s="385" t="n"/>
    </row>
    <row r="555" ht="18" customHeight="1">
      <c r="A555" s="385" t="n"/>
      <c r="B555" s="385" t="n"/>
      <c r="H555" s="385" t="n"/>
      <c r="L555" s="385" t="n"/>
      <c r="M555" s="385" t="n"/>
      <c r="N555" s="385" t="n"/>
      <c r="O555" s="385" t="n"/>
    </row>
    <row r="556" ht="18" customHeight="1">
      <c r="A556" s="385" t="n"/>
      <c r="B556" s="385" t="n"/>
      <c r="H556" s="385" t="n"/>
      <c r="L556" s="385" t="n"/>
      <c r="M556" s="385" t="n"/>
      <c r="N556" s="385" t="n"/>
      <c r="O556" s="385" t="n"/>
    </row>
    <row r="557" ht="18" customHeight="1">
      <c r="A557" s="385" t="n"/>
      <c r="B557" s="385" t="n"/>
      <c r="H557" s="385" t="n"/>
      <c r="L557" s="385" t="n"/>
      <c r="M557" s="385" t="n"/>
      <c r="N557" s="385" t="n"/>
      <c r="O557" s="385" t="n"/>
    </row>
    <row r="558" ht="18" customHeight="1">
      <c r="A558" s="385" t="n"/>
      <c r="B558" s="385" t="n"/>
      <c r="H558" s="385" t="n"/>
      <c r="L558" s="385" t="n"/>
      <c r="M558" s="385" t="n"/>
      <c r="N558" s="385" t="n"/>
      <c r="O558" s="385" t="n"/>
    </row>
    <row r="559" ht="18" customHeight="1">
      <c r="A559" s="385" t="n"/>
      <c r="B559" s="385" t="n"/>
      <c r="H559" s="385" t="n"/>
      <c r="L559" s="385" t="n"/>
      <c r="M559" s="385" t="n"/>
      <c r="N559" s="385" t="n"/>
      <c r="O559" s="385" t="n"/>
    </row>
    <row r="560" ht="18" customHeight="1">
      <c r="A560" s="385" t="n"/>
      <c r="B560" s="385" t="n"/>
      <c r="H560" s="385" t="n"/>
      <c r="L560" s="385" t="n"/>
      <c r="M560" s="385" t="n"/>
      <c r="N560" s="385" t="n"/>
      <c r="O560" s="385" t="n"/>
    </row>
    <row r="561" ht="18" customHeight="1">
      <c r="A561" s="385" t="n"/>
      <c r="B561" s="385" t="n"/>
      <c r="H561" s="385" t="n"/>
      <c r="L561" s="385" t="n"/>
      <c r="M561" s="385" t="n"/>
      <c r="N561" s="385" t="n"/>
      <c r="O561" s="385" t="n"/>
    </row>
    <row r="562" ht="18" customHeight="1">
      <c r="A562" s="385" t="n"/>
      <c r="B562" s="385" t="n"/>
      <c r="H562" s="385" t="n"/>
      <c r="L562" s="385" t="n"/>
      <c r="M562" s="385" t="n"/>
      <c r="N562" s="385" t="n"/>
      <c r="O562" s="385" t="n"/>
    </row>
    <row r="563" ht="18" customHeight="1">
      <c r="A563" s="385" t="n"/>
      <c r="B563" s="385" t="n"/>
      <c r="H563" s="385" t="n"/>
      <c r="L563" s="385" t="n"/>
      <c r="M563" s="385" t="n"/>
      <c r="N563" s="385" t="n"/>
      <c r="O563" s="385" t="n"/>
    </row>
    <row r="564" ht="18" customHeight="1">
      <c r="A564" s="385" t="n"/>
      <c r="B564" s="385" t="n"/>
      <c r="H564" s="385" t="n"/>
      <c r="L564" s="385" t="n"/>
      <c r="M564" s="385" t="n"/>
      <c r="N564" s="385" t="n"/>
      <c r="O564" s="385" t="n"/>
    </row>
    <row r="565" ht="18" customHeight="1">
      <c r="A565" s="385" t="n"/>
      <c r="B565" s="385" t="n"/>
      <c r="H565" s="385" t="n"/>
      <c r="L565" s="385" t="n"/>
      <c r="M565" s="385" t="n"/>
      <c r="N565" s="385" t="n"/>
      <c r="O565" s="385" t="n"/>
    </row>
    <row r="566" ht="18" customHeight="1">
      <c r="A566" s="385" t="n"/>
      <c r="B566" s="385" t="n"/>
      <c r="H566" s="385" t="n"/>
      <c r="L566" s="385" t="n"/>
      <c r="M566" s="385" t="n"/>
      <c r="N566" s="385" t="n"/>
      <c r="O566" s="385" t="n"/>
    </row>
    <row r="567" ht="18" customHeight="1">
      <c r="A567" s="385" t="n"/>
      <c r="B567" s="385" t="n"/>
      <c r="H567" s="385" t="n"/>
      <c r="L567" s="385" t="n"/>
      <c r="M567" s="385" t="n"/>
      <c r="N567" s="385" t="n"/>
      <c r="O567" s="385" t="n"/>
    </row>
    <row r="568" ht="18" customHeight="1">
      <c r="A568" s="385" t="n"/>
      <c r="B568" s="385" t="n"/>
      <c r="H568" s="385" t="n"/>
      <c r="L568" s="385" t="n"/>
      <c r="M568" s="385" t="n"/>
      <c r="N568" s="385" t="n"/>
      <c r="O568" s="385" t="n"/>
    </row>
    <row r="569" ht="18" customHeight="1">
      <c r="A569" s="385" t="n"/>
      <c r="B569" s="385" t="n"/>
      <c r="H569" s="385" t="n"/>
      <c r="L569" s="385" t="n"/>
      <c r="M569" s="385" t="n"/>
      <c r="N569" s="385" t="n"/>
      <c r="O569" s="385" t="n"/>
    </row>
    <row r="570" ht="18" customHeight="1">
      <c r="A570" s="385" t="n"/>
      <c r="B570" s="385" t="n"/>
      <c r="H570" s="385" t="n"/>
      <c r="L570" s="385" t="n"/>
      <c r="M570" s="385" t="n"/>
      <c r="N570" s="385" t="n"/>
      <c r="O570" s="385" t="n"/>
    </row>
    <row r="571" ht="18" customHeight="1">
      <c r="A571" s="385" t="n"/>
      <c r="B571" s="385" t="n"/>
      <c r="H571" s="385" t="n"/>
      <c r="L571" s="385" t="n"/>
      <c r="M571" s="385" t="n"/>
      <c r="N571" s="385" t="n"/>
      <c r="O571" s="385" t="n"/>
    </row>
    <row r="572" ht="18" customHeight="1">
      <c r="A572" s="385" t="n"/>
      <c r="B572" s="385" t="n"/>
      <c r="H572" s="385" t="n"/>
      <c r="L572" s="385" t="n"/>
      <c r="M572" s="385" t="n"/>
      <c r="N572" s="385" t="n"/>
      <c r="O572" s="385" t="n"/>
    </row>
    <row r="573" ht="18" customHeight="1">
      <c r="A573" s="385" t="n"/>
      <c r="B573" s="385" t="n"/>
      <c r="H573" s="385" t="n"/>
      <c r="L573" s="385" t="n"/>
      <c r="M573" s="385" t="n"/>
      <c r="N573" s="385" t="n"/>
      <c r="O573" s="385" t="n"/>
    </row>
    <row r="574" ht="18" customHeight="1">
      <c r="A574" s="385" t="n"/>
      <c r="B574" s="385" t="n"/>
      <c r="H574" s="385" t="n"/>
      <c r="L574" s="385" t="n"/>
      <c r="M574" s="385" t="n"/>
      <c r="N574" s="385" t="n"/>
      <c r="O574" s="385" t="n"/>
    </row>
    <row r="575" ht="18" customHeight="1">
      <c r="A575" s="385" t="n"/>
      <c r="B575" s="385" t="n"/>
      <c r="H575" s="385" t="n"/>
      <c r="L575" s="385" t="n"/>
      <c r="M575" s="385" t="n"/>
      <c r="N575" s="385" t="n"/>
      <c r="O575" s="385" t="n"/>
    </row>
    <row r="576" ht="18" customHeight="1">
      <c r="A576" s="385" t="n"/>
      <c r="B576" s="385" t="n"/>
      <c r="H576" s="385" t="n"/>
      <c r="L576" s="385" t="n"/>
      <c r="M576" s="385" t="n"/>
      <c r="N576" s="385" t="n"/>
      <c r="O576" s="385" t="n"/>
    </row>
    <row r="577" ht="18" customHeight="1">
      <c r="A577" s="385" t="n"/>
      <c r="B577" s="385" t="n"/>
      <c r="H577" s="385" t="n"/>
      <c r="L577" s="385" t="n"/>
      <c r="M577" s="385" t="n"/>
      <c r="N577" s="385" t="n"/>
      <c r="O577" s="385" t="n"/>
    </row>
    <row r="578" ht="18" customHeight="1">
      <c r="A578" s="385" t="n"/>
      <c r="B578" s="385" t="n"/>
      <c r="H578" s="385" t="n"/>
      <c r="L578" s="385" t="n"/>
      <c r="M578" s="385" t="n"/>
      <c r="N578" s="385" t="n"/>
      <c r="O578" s="385" t="n"/>
    </row>
    <row r="579" ht="18" customHeight="1">
      <c r="A579" s="385" t="n"/>
      <c r="B579" s="385" t="n"/>
      <c r="H579" s="385" t="n"/>
      <c r="L579" s="385" t="n"/>
      <c r="M579" s="385" t="n"/>
      <c r="N579" s="385" t="n"/>
      <c r="O579" s="385" t="n"/>
    </row>
    <row r="580" ht="18" customHeight="1">
      <c r="A580" s="385" t="n"/>
      <c r="B580" s="385" t="n"/>
      <c r="H580" s="385" t="n"/>
      <c r="L580" s="385" t="n"/>
      <c r="M580" s="385" t="n"/>
      <c r="N580" s="385" t="n"/>
      <c r="O580" s="385" t="n"/>
    </row>
    <row r="581" ht="18" customHeight="1">
      <c r="A581" s="385" t="n"/>
      <c r="B581" s="385" t="n"/>
      <c r="H581" s="385" t="n"/>
      <c r="L581" s="385" t="n"/>
      <c r="M581" s="385" t="n"/>
      <c r="N581" s="385" t="n"/>
      <c r="O581" s="385" t="n"/>
    </row>
    <row r="582" ht="18" customHeight="1">
      <c r="A582" s="385" t="n"/>
      <c r="B582" s="385" t="n"/>
      <c r="H582" s="385" t="n"/>
      <c r="L582" s="385" t="n"/>
      <c r="M582" s="385" t="n"/>
      <c r="N582" s="385" t="n"/>
      <c r="O582" s="385" t="n"/>
    </row>
    <row r="583" ht="18" customHeight="1">
      <c r="A583" s="385" t="n"/>
      <c r="B583" s="385" t="n"/>
      <c r="H583" s="385" t="n"/>
      <c r="L583" s="385" t="n"/>
      <c r="M583" s="385" t="n"/>
      <c r="N583" s="385" t="n"/>
      <c r="O583" s="385" t="n"/>
    </row>
    <row r="584" ht="18" customHeight="1">
      <c r="A584" s="385" t="n"/>
      <c r="B584" s="385" t="n"/>
      <c r="H584" s="385" t="n"/>
      <c r="L584" s="385" t="n"/>
      <c r="M584" s="385" t="n"/>
      <c r="N584" s="385" t="n"/>
      <c r="O584" s="385" t="n"/>
    </row>
    <row r="585" ht="18" customHeight="1">
      <c r="A585" s="385" t="n"/>
      <c r="B585" s="385" t="n"/>
      <c r="H585" s="385" t="n"/>
      <c r="L585" s="385" t="n"/>
      <c r="M585" s="385" t="n"/>
      <c r="N585" s="385" t="n"/>
      <c r="O585" s="385" t="n"/>
    </row>
    <row r="586" ht="18" customHeight="1">
      <c r="A586" s="385" t="n"/>
      <c r="B586" s="385" t="n"/>
      <c r="H586" s="385" t="n"/>
      <c r="L586" s="385" t="n"/>
      <c r="M586" s="385" t="n"/>
      <c r="N586" s="385" t="n"/>
      <c r="O586" s="385" t="n"/>
    </row>
    <row r="587" ht="18" customHeight="1">
      <c r="A587" s="385" t="n"/>
      <c r="B587" s="385" t="n"/>
      <c r="H587" s="385" t="n"/>
      <c r="L587" s="385" t="n"/>
      <c r="M587" s="385" t="n"/>
      <c r="N587" s="385" t="n"/>
      <c r="O587" s="385" t="n"/>
    </row>
    <row r="588" ht="18" customHeight="1">
      <c r="A588" s="385" t="n"/>
      <c r="B588" s="385" t="n"/>
      <c r="H588" s="385" t="n"/>
      <c r="L588" s="385" t="n"/>
      <c r="M588" s="385" t="n"/>
      <c r="N588" s="385" t="n"/>
      <c r="O588" s="385" t="n"/>
    </row>
    <row r="589" ht="18" customHeight="1">
      <c r="A589" s="385" t="n"/>
      <c r="B589" s="385" t="n"/>
      <c r="H589" s="385" t="n"/>
      <c r="L589" s="385" t="n"/>
      <c r="M589" s="385" t="n"/>
      <c r="N589" s="385" t="n"/>
      <c r="O589" s="385" t="n"/>
    </row>
    <row r="590" ht="18" customHeight="1">
      <c r="A590" s="385" t="n"/>
      <c r="B590" s="385" t="n"/>
      <c r="H590" s="385" t="n"/>
      <c r="L590" s="385" t="n"/>
      <c r="M590" s="385" t="n"/>
      <c r="N590" s="385" t="n"/>
      <c r="O590" s="385" t="n"/>
    </row>
    <row r="591" ht="18" customHeight="1">
      <c r="A591" s="385" t="n"/>
      <c r="B591" s="385" t="n"/>
      <c r="H591" s="385" t="n"/>
      <c r="L591" s="385" t="n"/>
      <c r="M591" s="385" t="n"/>
      <c r="N591" s="385" t="n"/>
      <c r="O591" s="385" t="n"/>
    </row>
    <row r="592" ht="18" customHeight="1">
      <c r="A592" s="385" t="n"/>
      <c r="B592" s="385" t="n"/>
      <c r="H592" s="385" t="n"/>
      <c r="L592" s="385" t="n"/>
      <c r="M592" s="385" t="n"/>
      <c r="N592" s="385" t="n"/>
      <c r="O592" s="385" t="n"/>
    </row>
    <row r="593" ht="18" customHeight="1">
      <c r="A593" s="385" t="n"/>
      <c r="B593" s="385" t="n"/>
      <c r="H593" s="385" t="n"/>
      <c r="L593" s="385" t="n"/>
      <c r="M593" s="385" t="n"/>
      <c r="N593" s="385" t="n"/>
      <c r="O593" s="385" t="n"/>
    </row>
    <row r="594" ht="18" customHeight="1">
      <c r="A594" s="385" t="n"/>
      <c r="B594" s="385" t="n"/>
      <c r="H594" s="385" t="n"/>
      <c r="L594" s="385" t="n"/>
      <c r="M594" s="385" t="n"/>
      <c r="N594" s="385" t="n"/>
      <c r="O594" s="385" t="n"/>
    </row>
    <row r="595" ht="18" customHeight="1">
      <c r="A595" s="385" t="n"/>
      <c r="B595" s="385" t="n"/>
      <c r="H595" s="385" t="n"/>
      <c r="L595" s="385" t="n"/>
      <c r="M595" s="385" t="n"/>
      <c r="N595" s="385" t="n"/>
      <c r="O595" s="385" t="n"/>
    </row>
    <row r="596" ht="18" customHeight="1">
      <c r="A596" s="385" t="n"/>
      <c r="B596" s="385" t="n"/>
      <c r="H596" s="385" t="n"/>
      <c r="L596" s="385" t="n"/>
      <c r="M596" s="385" t="n"/>
      <c r="N596" s="385" t="n"/>
      <c r="O596" s="385" t="n"/>
    </row>
    <row r="597" ht="18" customHeight="1">
      <c r="A597" s="385" t="n"/>
      <c r="B597" s="385" t="n"/>
      <c r="H597" s="385" t="n"/>
      <c r="L597" s="385" t="n"/>
      <c r="M597" s="385" t="n"/>
      <c r="N597" s="385" t="n"/>
      <c r="O597" s="385" t="n"/>
    </row>
    <row r="598" ht="18" customHeight="1">
      <c r="A598" s="385" t="n"/>
      <c r="B598" s="385" t="n"/>
      <c r="H598" s="385" t="n"/>
      <c r="L598" s="385" t="n"/>
      <c r="M598" s="385" t="n"/>
      <c r="N598" s="385" t="n"/>
      <c r="O598" s="385" t="n"/>
    </row>
    <row r="599" ht="18" customHeight="1">
      <c r="A599" s="385" t="n"/>
      <c r="B599" s="385" t="n"/>
      <c r="H599" s="385" t="n"/>
      <c r="L599" s="385" t="n"/>
      <c r="M599" s="385" t="n"/>
      <c r="N599" s="385" t="n"/>
      <c r="O599" s="385" t="n"/>
    </row>
    <row r="600" ht="18" customHeight="1">
      <c r="A600" s="385" t="n"/>
      <c r="B600" s="385" t="n"/>
      <c r="H600" s="385" t="n"/>
      <c r="L600" s="385" t="n"/>
      <c r="M600" s="385" t="n"/>
      <c r="N600" s="385" t="n"/>
      <c r="O600" s="385" t="n"/>
    </row>
    <row r="601" ht="18" customHeight="1">
      <c r="A601" s="385" t="n"/>
      <c r="B601" s="385" t="n"/>
      <c r="H601" s="385" t="n"/>
      <c r="L601" s="385" t="n"/>
      <c r="M601" s="385" t="n"/>
      <c r="N601" s="385" t="n"/>
      <c r="O601" s="385" t="n"/>
    </row>
    <row r="602" ht="18" customHeight="1">
      <c r="A602" s="385" t="n"/>
      <c r="B602" s="385" t="n"/>
      <c r="H602" s="385" t="n"/>
      <c r="L602" s="385" t="n"/>
      <c r="M602" s="385" t="n"/>
      <c r="N602" s="385" t="n"/>
      <c r="O602" s="385" t="n"/>
    </row>
    <row r="603" ht="18" customHeight="1">
      <c r="A603" s="385" t="n"/>
      <c r="B603" s="385" t="n"/>
      <c r="H603" s="385" t="n"/>
      <c r="L603" s="385" t="n"/>
      <c r="M603" s="385" t="n"/>
      <c r="N603" s="385" t="n"/>
      <c r="O603" s="385" t="n"/>
    </row>
    <row r="604" ht="18" customHeight="1">
      <c r="A604" s="385" t="n"/>
      <c r="B604" s="385" t="n"/>
      <c r="H604" s="385" t="n"/>
      <c r="L604" s="385" t="n"/>
      <c r="M604" s="385" t="n"/>
      <c r="N604" s="385" t="n"/>
      <c r="O604" s="385" t="n"/>
    </row>
    <row r="605" ht="18" customHeight="1">
      <c r="A605" s="385" t="n"/>
      <c r="B605" s="385" t="n"/>
      <c r="H605" s="385" t="n"/>
      <c r="L605" s="385" t="n"/>
      <c r="M605" s="385" t="n"/>
      <c r="N605" s="385" t="n"/>
      <c r="O605" s="385" t="n"/>
    </row>
    <row r="606" ht="18" customHeight="1">
      <c r="A606" s="385" t="n"/>
      <c r="B606" s="385" t="n"/>
      <c r="H606" s="385" t="n"/>
      <c r="L606" s="385" t="n"/>
      <c r="M606" s="385" t="n"/>
      <c r="N606" s="385" t="n"/>
      <c r="O606" s="385" t="n"/>
    </row>
    <row r="607" ht="18" customHeight="1">
      <c r="A607" s="385" t="n"/>
      <c r="B607" s="385" t="n"/>
      <c r="H607" s="385" t="n"/>
      <c r="L607" s="385" t="n"/>
      <c r="M607" s="385" t="n"/>
      <c r="N607" s="385" t="n"/>
      <c r="O607" s="385" t="n"/>
    </row>
    <row r="608" ht="18" customHeight="1">
      <c r="A608" s="385" t="n"/>
      <c r="B608" s="385" t="n"/>
      <c r="H608" s="385" t="n"/>
      <c r="L608" s="385" t="n"/>
      <c r="M608" s="385" t="n"/>
      <c r="N608" s="385" t="n"/>
      <c r="O608" s="385" t="n"/>
    </row>
    <row r="609" ht="18" customHeight="1">
      <c r="A609" s="385" t="n"/>
      <c r="B609" s="385" t="n"/>
      <c r="H609" s="385" t="n"/>
      <c r="L609" s="385" t="n"/>
      <c r="M609" s="385" t="n"/>
      <c r="N609" s="385" t="n"/>
      <c r="O609" s="385" t="n"/>
    </row>
    <row r="610" ht="18" customHeight="1">
      <c r="A610" s="385" t="n"/>
      <c r="B610" s="385" t="n"/>
      <c r="H610" s="385" t="n"/>
      <c r="L610" s="385" t="n"/>
      <c r="M610" s="385" t="n"/>
      <c r="N610" s="385" t="n"/>
      <c r="O610" s="385" t="n"/>
    </row>
    <row r="611" ht="18" customHeight="1">
      <c r="A611" s="385" t="n"/>
      <c r="B611" s="385" t="n"/>
      <c r="H611" s="385" t="n"/>
      <c r="L611" s="385" t="n"/>
      <c r="M611" s="385" t="n"/>
      <c r="N611" s="385" t="n"/>
      <c r="O611" s="385" t="n"/>
    </row>
    <row r="612" ht="18" customHeight="1">
      <c r="A612" s="385" t="n"/>
      <c r="B612" s="385" t="n"/>
      <c r="H612" s="385" t="n"/>
      <c r="L612" s="385" t="n"/>
      <c r="M612" s="385" t="n"/>
      <c r="N612" s="385" t="n"/>
      <c r="O612" s="385" t="n"/>
    </row>
    <row r="613" ht="18" customHeight="1">
      <c r="A613" s="385" t="n"/>
      <c r="B613" s="385" t="n"/>
      <c r="H613" s="385" t="n"/>
      <c r="L613" s="385" t="n"/>
      <c r="M613" s="385" t="n"/>
      <c r="N613" s="385" t="n"/>
      <c r="O613" s="385" t="n"/>
    </row>
    <row r="614" ht="18" customHeight="1">
      <c r="A614" s="385" t="n"/>
      <c r="B614" s="385" t="n"/>
      <c r="H614" s="385" t="n"/>
      <c r="L614" s="385" t="n"/>
      <c r="M614" s="385" t="n"/>
      <c r="N614" s="385" t="n"/>
      <c r="O614" s="385" t="n"/>
    </row>
    <row r="615" ht="18" customHeight="1">
      <c r="A615" s="385" t="n"/>
      <c r="B615" s="385" t="n"/>
      <c r="H615" s="385" t="n"/>
      <c r="L615" s="385" t="n"/>
      <c r="M615" s="385" t="n"/>
      <c r="N615" s="385" t="n"/>
      <c r="O615" s="385" t="n"/>
    </row>
    <row r="616" ht="18" customHeight="1">
      <c r="A616" s="385" t="n"/>
      <c r="B616" s="385" t="n"/>
      <c r="H616" s="385" t="n"/>
      <c r="L616" s="385" t="n"/>
      <c r="M616" s="385" t="n"/>
      <c r="N616" s="385" t="n"/>
      <c r="O616" s="385" t="n"/>
    </row>
    <row r="617" ht="18" customHeight="1">
      <c r="A617" s="385" t="n"/>
      <c r="B617" s="385" t="n"/>
      <c r="H617" s="385" t="n"/>
      <c r="L617" s="385" t="n"/>
      <c r="M617" s="385" t="n"/>
      <c r="N617" s="385" t="n"/>
      <c r="O617" s="385" t="n"/>
    </row>
    <row r="618" ht="18" customHeight="1">
      <c r="A618" s="385" t="n"/>
      <c r="B618" s="385" t="n"/>
      <c r="H618" s="385" t="n"/>
      <c r="L618" s="385" t="n"/>
      <c r="M618" s="385" t="n"/>
      <c r="N618" s="385" t="n"/>
      <c r="O618" s="385" t="n"/>
    </row>
    <row r="619" ht="18" customHeight="1">
      <c r="A619" s="385" t="n"/>
      <c r="B619" s="385" t="n"/>
      <c r="H619" s="385" t="n"/>
      <c r="L619" s="385" t="n"/>
      <c r="M619" s="385" t="n"/>
      <c r="N619" s="385" t="n"/>
      <c r="O619" s="385" t="n"/>
    </row>
    <row r="620" ht="18" customHeight="1">
      <c r="A620" s="385" t="n"/>
      <c r="B620" s="385" t="n"/>
      <c r="H620" s="385" t="n"/>
      <c r="L620" s="385" t="n"/>
      <c r="M620" s="385" t="n"/>
      <c r="N620" s="385" t="n"/>
      <c r="O620" s="385" t="n"/>
    </row>
    <row r="621" ht="18" customHeight="1">
      <c r="A621" s="385" t="n"/>
      <c r="B621" s="385" t="n"/>
      <c r="H621" s="385" t="n"/>
      <c r="L621" s="385" t="n"/>
      <c r="M621" s="385" t="n"/>
      <c r="N621" s="385" t="n"/>
      <c r="O621" s="385" t="n"/>
    </row>
    <row r="622" ht="18" customHeight="1">
      <c r="A622" s="385" t="n"/>
      <c r="B622" s="385" t="n"/>
      <c r="H622" s="385" t="n"/>
      <c r="L622" s="385" t="n"/>
      <c r="M622" s="385" t="n"/>
      <c r="N622" s="385" t="n"/>
      <c r="O622" s="385" t="n"/>
    </row>
    <row r="623" ht="18" customHeight="1">
      <c r="A623" s="385" t="n"/>
      <c r="B623" s="385" t="n"/>
      <c r="H623" s="385" t="n"/>
      <c r="L623" s="385" t="n"/>
      <c r="M623" s="385" t="n"/>
      <c r="N623" s="385" t="n"/>
      <c r="O623" s="385" t="n"/>
    </row>
    <row r="624" ht="18" customHeight="1">
      <c r="A624" s="385" t="n"/>
      <c r="B624" s="385" t="n"/>
      <c r="H624" s="385" t="n"/>
      <c r="L624" s="385" t="n"/>
      <c r="M624" s="385" t="n"/>
      <c r="N624" s="385" t="n"/>
      <c r="O624" s="385" t="n"/>
    </row>
    <row r="625" ht="18" customHeight="1">
      <c r="A625" s="385" t="n"/>
      <c r="B625" s="385" t="n"/>
      <c r="H625" s="385" t="n"/>
      <c r="L625" s="385" t="n"/>
      <c r="M625" s="385" t="n"/>
      <c r="N625" s="385" t="n"/>
      <c r="O625" s="385" t="n"/>
    </row>
    <row r="626" ht="18" customHeight="1">
      <c r="A626" s="385" t="n"/>
      <c r="B626" s="385" t="n"/>
      <c r="H626" s="385" t="n"/>
      <c r="L626" s="385" t="n"/>
      <c r="M626" s="385" t="n"/>
      <c r="N626" s="385" t="n"/>
      <c r="O626" s="385" t="n"/>
    </row>
    <row r="627" ht="18" customHeight="1">
      <c r="A627" s="385" t="n"/>
      <c r="B627" s="385" t="n"/>
      <c r="H627" s="385" t="n"/>
      <c r="L627" s="385" t="n"/>
      <c r="M627" s="385" t="n"/>
      <c r="N627" s="385" t="n"/>
      <c r="O627" s="385" t="n"/>
    </row>
    <row r="628" ht="18" customHeight="1">
      <c r="A628" s="385" t="n"/>
      <c r="B628" s="385" t="n"/>
      <c r="H628" s="385" t="n"/>
      <c r="L628" s="385" t="n"/>
      <c r="M628" s="385" t="n"/>
      <c r="N628" s="385" t="n"/>
      <c r="O628" s="385" t="n"/>
    </row>
    <row r="629" ht="18" customHeight="1">
      <c r="A629" s="385" t="n"/>
      <c r="B629" s="385" t="n"/>
      <c r="H629" s="385" t="n"/>
      <c r="L629" s="385" t="n"/>
      <c r="M629" s="385" t="n"/>
      <c r="N629" s="385" t="n"/>
      <c r="O629" s="385" t="n"/>
    </row>
    <row r="630" ht="18" customHeight="1">
      <c r="A630" s="385" t="n"/>
      <c r="B630" s="385" t="n"/>
      <c r="H630" s="385" t="n"/>
      <c r="L630" s="385" t="n"/>
      <c r="M630" s="385" t="n"/>
      <c r="N630" s="385" t="n"/>
      <c r="O630" s="385" t="n"/>
    </row>
    <row r="631" ht="18" customHeight="1">
      <c r="A631" s="385" t="n"/>
      <c r="B631" s="385" t="n"/>
      <c r="H631" s="385" t="n"/>
      <c r="L631" s="385" t="n"/>
      <c r="M631" s="385" t="n"/>
      <c r="N631" s="385" t="n"/>
      <c r="O631" s="385" t="n"/>
    </row>
    <row r="632" ht="18" customHeight="1">
      <c r="A632" s="385" t="n"/>
      <c r="B632" s="385" t="n"/>
      <c r="H632" s="385" t="n"/>
      <c r="L632" s="385" t="n"/>
      <c r="M632" s="385" t="n"/>
      <c r="N632" s="385" t="n"/>
      <c r="O632" s="385" t="n"/>
    </row>
    <row r="633" ht="18" customHeight="1">
      <c r="A633" s="385" t="n"/>
      <c r="B633" s="385" t="n"/>
      <c r="H633" s="385" t="n"/>
      <c r="L633" s="385" t="n"/>
      <c r="M633" s="385" t="n"/>
      <c r="N633" s="385" t="n"/>
      <c r="O633" s="385" t="n"/>
    </row>
    <row r="634" ht="18" customHeight="1">
      <c r="A634" s="385" t="n"/>
      <c r="B634" s="385" t="n"/>
      <c r="H634" s="385" t="n"/>
      <c r="L634" s="385" t="n"/>
      <c r="M634" s="385" t="n"/>
      <c r="N634" s="385" t="n"/>
      <c r="O634" s="385" t="n"/>
    </row>
    <row r="635" ht="18" customHeight="1">
      <c r="A635" s="385" t="n"/>
      <c r="B635" s="385" t="n"/>
      <c r="H635" s="385" t="n"/>
      <c r="L635" s="385" t="n"/>
      <c r="M635" s="385" t="n"/>
      <c r="N635" s="385" t="n"/>
      <c r="O635" s="385" t="n"/>
    </row>
    <row r="636" ht="18" customHeight="1">
      <c r="A636" s="385" t="n"/>
      <c r="B636" s="385" t="n"/>
      <c r="H636" s="385" t="n"/>
      <c r="L636" s="385" t="n"/>
      <c r="M636" s="385" t="n"/>
      <c r="N636" s="385" t="n"/>
      <c r="O636" s="385" t="n"/>
    </row>
    <row r="637" ht="18" customHeight="1">
      <c r="A637" s="385" t="n"/>
      <c r="B637" s="385" t="n"/>
      <c r="H637" s="385" t="n"/>
      <c r="L637" s="385" t="n"/>
      <c r="M637" s="385" t="n"/>
      <c r="N637" s="385" t="n"/>
      <c r="O637" s="385" t="n"/>
    </row>
    <row r="638" ht="18" customHeight="1">
      <c r="A638" s="385" t="n"/>
      <c r="B638" s="385" t="n"/>
      <c r="H638" s="385" t="n"/>
      <c r="L638" s="385" t="n"/>
      <c r="M638" s="385" t="n"/>
      <c r="N638" s="385" t="n"/>
      <c r="O638" s="385" t="n"/>
    </row>
    <row r="639" ht="18" customHeight="1">
      <c r="A639" s="385" t="n"/>
      <c r="B639" s="385" t="n"/>
      <c r="H639" s="385" t="n"/>
      <c r="L639" s="385" t="n"/>
      <c r="M639" s="385" t="n"/>
      <c r="N639" s="385" t="n"/>
      <c r="O639" s="385" t="n"/>
    </row>
    <row r="640" ht="18" customHeight="1">
      <c r="A640" s="385" t="n"/>
      <c r="B640" s="385" t="n"/>
      <c r="H640" s="385" t="n"/>
      <c r="L640" s="385" t="n"/>
      <c r="M640" s="385" t="n"/>
      <c r="N640" s="385" t="n"/>
      <c r="O640" s="385" t="n"/>
    </row>
    <row r="641" ht="18" customHeight="1">
      <c r="A641" s="385" t="n"/>
      <c r="B641" s="385" t="n"/>
      <c r="H641" s="385" t="n"/>
      <c r="L641" s="385" t="n"/>
      <c r="M641" s="385" t="n"/>
      <c r="N641" s="385" t="n"/>
      <c r="O641" s="385" t="n"/>
    </row>
    <row r="642" ht="18" customHeight="1">
      <c r="A642" s="385" t="n"/>
      <c r="B642" s="385" t="n"/>
      <c r="H642" s="385" t="n"/>
      <c r="L642" s="385" t="n"/>
      <c r="M642" s="385" t="n"/>
      <c r="N642" s="385" t="n"/>
      <c r="O642" s="385" t="n"/>
    </row>
    <row r="643" ht="18" customHeight="1">
      <c r="A643" s="385" t="n"/>
      <c r="B643" s="385" t="n"/>
      <c r="H643" s="385" t="n"/>
      <c r="L643" s="385" t="n"/>
      <c r="M643" s="385" t="n"/>
      <c r="N643" s="385" t="n"/>
      <c r="O643" s="385" t="n"/>
    </row>
    <row r="644" ht="18" customHeight="1">
      <c r="A644" s="385" t="n"/>
      <c r="B644" s="385" t="n"/>
      <c r="H644" s="385" t="n"/>
      <c r="L644" s="385" t="n"/>
      <c r="M644" s="385" t="n"/>
      <c r="N644" s="385" t="n"/>
      <c r="O644" s="385" t="n"/>
    </row>
    <row r="645" ht="18" customHeight="1">
      <c r="A645" s="385" t="n"/>
      <c r="B645" s="385" t="n"/>
      <c r="H645" s="385" t="n"/>
      <c r="L645" s="385" t="n"/>
      <c r="M645" s="385" t="n"/>
      <c r="N645" s="385" t="n"/>
      <c r="O645" s="385" t="n"/>
    </row>
    <row r="646" ht="18" customHeight="1">
      <c r="A646" s="385" t="n"/>
      <c r="B646" s="385" t="n"/>
      <c r="H646" s="385" t="n"/>
      <c r="L646" s="385" t="n"/>
      <c r="M646" s="385" t="n"/>
      <c r="N646" s="385" t="n"/>
      <c r="O646" s="385" t="n"/>
    </row>
    <row r="647" ht="18" customHeight="1">
      <c r="A647" s="385" t="n"/>
      <c r="B647" s="385" t="n"/>
      <c r="H647" s="385" t="n"/>
      <c r="L647" s="385" t="n"/>
      <c r="M647" s="385" t="n"/>
      <c r="N647" s="385" t="n"/>
      <c r="O647" s="385" t="n"/>
    </row>
    <row r="648" ht="18" customHeight="1">
      <c r="A648" s="385" t="n"/>
      <c r="B648" s="385" t="n"/>
      <c r="H648" s="385" t="n"/>
      <c r="L648" s="385" t="n"/>
      <c r="M648" s="385" t="n"/>
      <c r="N648" s="385" t="n"/>
      <c r="O648" s="385" t="n"/>
    </row>
    <row r="649" ht="18" customHeight="1">
      <c r="A649" s="385" t="n"/>
      <c r="B649" s="385" t="n"/>
      <c r="H649" s="385" t="n"/>
      <c r="L649" s="385" t="n"/>
      <c r="M649" s="385" t="n"/>
      <c r="N649" s="385" t="n"/>
      <c r="O649" s="385" t="n"/>
    </row>
    <row r="650" ht="18" customHeight="1">
      <c r="A650" s="385" t="n"/>
      <c r="B650" s="385" t="n"/>
      <c r="H650" s="385" t="n"/>
      <c r="L650" s="385" t="n"/>
      <c r="M650" s="385" t="n"/>
      <c r="N650" s="385" t="n"/>
      <c r="O650" s="385" t="n"/>
    </row>
    <row r="651" ht="18" customHeight="1">
      <c r="A651" s="385" t="n"/>
      <c r="B651" s="385" t="n"/>
      <c r="H651" s="385" t="n"/>
      <c r="L651" s="385" t="n"/>
      <c r="M651" s="385" t="n"/>
      <c r="N651" s="385" t="n"/>
      <c r="O651" s="385" t="n"/>
    </row>
    <row r="652" ht="18" customHeight="1">
      <c r="A652" s="385" t="n"/>
      <c r="B652" s="385" t="n"/>
      <c r="H652" s="385" t="n"/>
      <c r="L652" s="385" t="n"/>
      <c r="M652" s="385" t="n"/>
      <c r="N652" s="385" t="n"/>
      <c r="O652" s="385" t="n"/>
    </row>
    <row r="653" ht="18" customHeight="1">
      <c r="A653" s="385" t="n"/>
      <c r="B653" s="385" t="n"/>
      <c r="H653" s="385" t="n"/>
      <c r="L653" s="385" t="n"/>
      <c r="M653" s="385" t="n"/>
      <c r="N653" s="385" t="n"/>
      <c r="O653" s="385" t="n"/>
    </row>
    <row r="654" ht="18" customHeight="1">
      <c r="A654" s="385" t="n"/>
      <c r="B654" s="385" t="n"/>
      <c r="H654" s="385" t="n"/>
      <c r="L654" s="385" t="n"/>
      <c r="M654" s="385" t="n"/>
      <c r="N654" s="385" t="n"/>
      <c r="O654" s="385" t="n"/>
    </row>
    <row r="655" ht="18" customHeight="1">
      <c r="A655" s="385" t="n"/>
      <c r="B655" s="385" t="n"/>
      <c r="H655" s="385" t="n"/>
      <c r="L655" s="385" t="n"/>
      <c r="M655" s="385" t="n"/>
      <c r="N655" s="385" t="n"/>
      <c r="O655" s="385" t="n"/>
    </row>
    <row r="656" ht="18" customHeight="1">
      <c r="A656" s="385" t="n"/>
      <c r="B656" s="385" t="n"/>
      <c r="H656" s="385" t="n"/>
      <c r="L656" s="385" t="n"/>
      <c r="M656" s="385" t="n"/>
      <c r="N656" s="385" t="n"/>
      <c r="O656" s="385" t="n"/>
    </row>
    <row r="657" ht="18" customHeight="1">
      <c r="A657" s="385" t="n"/>
      <c r="B657" s="385" t="n"/>
      <c r="H657" s="385" t="n"/>
      <c r="L657" s="385" t="n"/>
      <c r="M657" s="385" t="n"/>
      <c r="N657" s="385" t="n"/>
      <c r="O657" s="385" t="n"/>
    </row>
    <row r="658" ht="18" customHeight="1">
      <c r="A658" s="385" t="n"/>
      <c r="B658" s="385" t="n"/>
      <c r="H658" s="385" t="n"/>
      <c r="L658" s="385" t="n"/>
      <c r="M658" s="385" t="n"/>
      <c r="N658" s="385" t="n"/>
      <c r="O658" s="385" t="n"/>
    </row>
    <row r="659" ht="18" customHeight="1">
      <c r="A659" s="385" t="n"/>
      <c r="B659" s="385" t="n"/>
      <c r="H659" s="385" t="n"/>
      <c r="L659" s="385" t="n"/>
      <c r="M659" s="385" t="n"/>
      <c r="N659" s="385" t="n"/>
      <c r="O659" s="385" t="n"/>
    </row>
    <row r="660" ht="18" customHeight="1">
      <c r="A660" s="385" t="n"/>
      <c r="B660" s="385" t="n"/>
      <c r="H660" s="385" t="n"/>
      <c r="L660" s="385" t="n"/>
      <c r="M660" s="385" t="n"/>
      <c r="N660" s="385" t="n"/>
      <c r="O660" s="385" t="n"/>
    </row>
    <row r="661" ht="18" customHeight="1">
      <c r="A661" s="385" t="n"/>
      <c r="B661" s="385" t="n"/>
      <c r="H661" s="385" t="n"/>
      <c r="L661" s="385" t="n"/>
      <c r="M661" s="385" t="n"/>
      <c r="N661" s="385" t="n"/>
      <c r="O661" s="385" t="n"/>
    </row>
    <row r="662" ht="18" customHeight="1">
      <c r="A662" s="385" t="n"/>
      <c r="B662" s="385" t="n"/>
      <c r="H662" s="385" t="n"/>
      <c r="L662" s="385" t="n"/>
      <c r="M662" s="385" t="n"/>
      <c r="N662" s="385" t="n"/>
      <c r="O662" s="385" t="n"/>
    </row>
    <row r="663" ht="18" customHeight="1">
      <c r="A663" s="385" t="n"/>
      <c r="B663" s="385" t="n"/>
      <c r="H663" s="385" t="n"/>
      <c r="L663" s="385" t="n"/>
      <c r="M663" s="385" t="n"/>
      <c r="N663" s="385" t="n"/>
      <c r="O663" s="385" t="n"/>
    </row>
    <row r="664" ht="18" customHeight="1">
      <c r="A664" s="385" t="n"/>
      <c r="B664" s="385" t="n"/>
      <c r="H664" s="385" t="n"/>
      <c r="L664" s="385" t="n"/>
      <c r="M664" s="385" t="n"/>
      <c r="N664" s="385" t="n"/>
      <c r="O664" s="385" t="n"/>
    </row>
    <row r="665" ht="18" customHeight="1">
      <c r="A665" s="385" t="n"/>
      <c r="B665" s="385" t="n"/>
      <c r="H665" s="385" t="n"/>
      <c r="L665" s="385" t="n"/>
      <c r="M665" s="385" t="n"/>
      <c r="N665" s="385" t="n"/>
      <c r="O665" s="385" t="n"/>
    </row>
    <row r="666" ht="18" customHeight="1">
      <c r="A666" s="385" t="n"/>
      <c r="B666" s="385" t="n"/>
      <c r="H666" s="385" t="n"/>
      <c r="L666" s="385" t="n"/>
      <c r="M666" s="385" t="n"/>
      <c r="N666" s="385" t="n"/>
      <c r="O666" s="385" t="n"/>
    </row>
    <row r="667" ht="18" customHeight="1">
      <c r="A667" s="385" t="n"/>
      <c r="B667" s="385" t="n"/>
      <c r="H667" s="385" t="n"/>
      <c r="L667" s="385" t="n"/>
      <c r="M667" s="385" t="n"/>
      <c r="N667" s="385" t="n"/>
      <c r="O667" s="385" t="n"/>
    </row>
    <row r="668" ht="18" customHeight="1">
      <c r="A668" s="385" t="n"/>
      <c r="B668" s="385" t="n"/>
      <c r="H668" s="385" t="n"/>
      <c r="L668" s="385" t="n"/>
      <c r="M668" s="385" t="n"/>
      <c r="N668" s="385" t="n"/>
      <c r="O668" s="385" t="n"/>
    </row>
    <row r="669" ht="18" customHeight="1">
      <c r="A669" s="385" t="n"/>
      <c r="B669" s="385" t="n"/>
      <c r="H669" s="385" t="n"/>
      <c r="L669" s="385" t="n"/>
      <c r="M669" s="385" t="n"/>
      <c r="N669" s="385" t="n"/>
      <c r="O669" s="385" t="n"/>
    </row>
    <row r="670" ht="18" customHeight="1">
      <c r="A670" s="385" t="n"/>
      <c r="B670" s="385" t="n"/>
      <c r="H670" s="385" t="n"/>
      <c r="L670" s="385" t="n"/>
      <c r="M670" s="385" t="n"/>
      <c r="N670" s="385" t="n"/>
      <c r="O670" s="385" t="n"/>
    </row>
    <row r="671" ht="18" customHeight="1">
      <c r="A671" s="385" t="n"/>
      <c r="B671" s="385" t="n"/>
      <c r="H671" s="385" t="n"/>
      <c r="L671" s="385" t="n"/>
      <c r="M671" s="385" t="n"/>
      <c r="N671" s="385" t="n"/>
      <c r="O671" s="385" t="n"/>
    </row>
    <row r="672" ht="18" customHeight="1">
      <c r="A672" s="385" t="n"/>
      <c r="B672" s="385" t="n"/>
      <c r="H672" s="385" t="n"/>
      <c r="L672" s="385" t="n"/>
      <c r="M672" s="385" t="n"/>
      <c r="N672" s="385" t="n"/>
      <c r="O672" s="385" t="n"/>
    </row>
    <row r="673" ht="18" customHeight="1">
      <c r="A673" s="385" t="n"/>
      <c r="B673" s="385" t="n"/>
      <c r="H673" s="385" t="n"/>
      <c r="L673" s="385" t="n"/>
      <c r="M673" s="385" t="n"/>
      <c r="N673" s="385" t="n"/>
      <c r="O673" s="385" t="n"/>
    </row>
    <row r="674" ht="18" customHeight="1">
      <c r="A674" s="385" t="n"/>
      <c r="B674" s="385" t="n"/>
      <c r="H674" s="385" t="n"/>
      <c r="L674" s="385" t="n"/>
      <c r="M674" s="385" t="n"/>
      <c r="N674" s="385" t="n"/>
      <c r="O674" s="385" t="n"/>
    </row>
    <row r="675" ht="18" customHeight="1">
      <c r="A675" s="385" t="n"/>
      <c r="B675" s="385" t="n"/>
      <c r="H675" s="385" t="n"/>
      <c r="L675" s="385" t="n"/>
      <c r="M675" s="385" t="n"/>
      <c r="N675" s="385" t="n"/>
      <c r="O675" s="385" t="n"/>
    </row>
    <row r="676" ht="18" customHeight="1">
      <c r="A676" s="385" t="n"/>
      <c r="B676" s="385" t="n"/>
      <c r="H676" s="385" t="n"/>
      <c r="L676" s="385" t="n"/>
      <c r="M676" s="385" t="n"/>
      <c r="N676" s="385" t="n"/>
      <c r="O676" s="385" t="n"/>
    </row>
    <row r="677" ht="18" customHeight="1">
      <c r="A677" s="385" t="n"/>
      <c r="B677" s="385" t="n"/>
      <c r="H677" s="385" t="n"/>
      <c r="L677" s="385" t="n"/>
      <c r="M677" s="385" t="n"/>
      <c r="N677" s="385" t="n"/>
      <c r="O677" s="385" t="n"/>
    </row>
    <row r="678" ht="18" customHeight="1">
      <c r="A678" s="385" t="n"/>
      <c r="B678" s="385" t="n"/>
      <c r="H678" s="385" t="n"/>
      <c r="L678" s="385" t="n"/>
      <c r="M678" s="385" t="n"/>
      <c r="N678" s="385" t="n"/>
      <c r="O678" s="385" t="n"/>
    </row>
    <row r="679" ht="18" customHeight="1">
      <c r="A679" s="385" t="n"/>
      <c r="B679" s="385" t="n"/>
      <c r="H679" s="385" t="n"/>
      <c r="L679" s="385" t="n"/>
      <c r="M679" s="385" t="n"/>
      <c r="N679" s="385" t="n"/>
      <c r="O679" s="385" t="n"/>
    </row>
    <row r="680" ht="18" customHeight="1">
      <c r="A680" s="385" t="n"/>
      <c r="B680" s="385" t="n"/>
      <c r="H680" s="385" t="n"/>
      <c r="L680" s="385" t="n"/>
      <c r="M680" s="385" t="n"/>
      <c r="N680" s="385" t="n"/>
      <c r="O680" s="385" t="n"/>
    </row>
    <row r="681" ht="18" customHeight="1">
      <c r="A681" s="385" t="n"/>
      <c r="B681" s="385" t="n"/>
      <c r="H681" s="385" t="n"/>
      <c r="L681" s="385" t="n"/>
      <c r="M681" s="385" t="n"/>
      <c r="N681" s="385" t="n"/>
      <c r="O681" s="385" t="n"/>
    </row>
    <row r="682" ht="18" customHeight="1">
      <c r="A682" s="385" t="n"/>
      <c r="B682" s="385" t="n"/>
      <c r="H682" s="385" t="n"/>
      <c r="L682" s="385" t="n"/>
      <c r="M682" s="385" t="n"/>
      <c r="N682" s="385" t="n"/>
      <c r="O682" s="385" t="n"/>
    </row>
    <row r="683" ht="18" customHeight="1">
      <c r="A683" s="385" t="n"/>
      <c r="B683" s="385" t="n"/>
      <c r="H683" s="385" t="n"/>
      <c r="L683" s="385" t="n"/>
      <c r="M683" s="385" t="n"/>
      <c r="N683" s="385" t="n"/>
      <c r="O683" s="385" t="n"/>
    </row>
    <row r="684" ht="18" customHeight="1">
      <c r="A684" s="385" t="n"/>
      <c r="B684" s="385" t="n"/>
      <c r="H684" s="385" t="n"/>
      <c r="L684" s="385" t="n"/>
      <c r="M684" s="385" t="n"/>
      <c r="N684" s="385" t="n"/>
      <c r="O684" s="385" t="n"/>
    </row>
    <row r="685" ht="18" customHeight="1">
      <c r="A685" s="385" t="n"/>
      <c r="B685" s="385" t="n"/>
      <c r="H685" s="385" t="n"/>
      <c r="L685" s="385" t="n"/>
      <c r="M685" s="385" t="n"/>
      <c r="N685" s="385" t="n"/>
      <c r="O685" s="385" t="n"/>
    </row>
    <row r="686" ht="18" customHeight="1">
      <c r="A686" s="385" t="n"/>
      <c r="B686" s="385" t="n"/>
      <c r="H686" s="385" t="n"/>
      <c r="L686" s="385" t="n"/>
      <c r="M686" s="385" t="n"/>
      <c r="N686" s="385" t="n"/>
      <c r="O686" s="385" t="n"/>
    </row>
    <row r="687" ht="18" customHeight="1">
      <c r="A687" s="385" t="n"/>
      <c r="B687" s="385" t="n"/>
      <c r="H687" s="385" t="n"/>
      <c r="L687" s="385" t="n"/>
      <c r="M687" s="385" t="n"/>
      <c r="N687" s="385" t="n"/>
      <c r="O687" s="385" t="n"/>
    </row>
    <row r="688" ht="18" customHeight="1">
      <c r="A688" s="385" t="n"/>
      <c r="B688" s="385" t="n"/>
      <c r="H688" s="385" t="n"/>
      <c r="L688" s="385" t="n"/>
      <c r="M688" s="385" t="n"/>
      <c r="N688" s="385" t="n"/>
      <c r="O688" s="385" t="n"/>
    </row>
    <row r="689" ht="18" customHeight="1">
      <c r="A689" s="385" t="n"/>
      <c r="B689" s="385" t="n"/>
      <c r="H689" s="385" t="n"/>
      <c r="L689" s="385" t="n"/>
      <c r="M689" s="385" t="n"/>
      <c r="N689" s="385" t="n"/>
      <c r="O689" s="385" t="n"/>
    </row>
    <row r="690" ht="18" customHeight="1">
      <c r="A690" s="385" t="n"/>
      <c r="B690" s="385" t="n"/>
      <c r="H690" s="385" t="n"/>
      <c r="L690" s="385" t="n"/>
      <c r="M690" s="385" t="n"/>
      <c r="N690" s="385" t="n"/>
      <c r="O690" s="385" t="n"/>
    </row>
    <row r="691" ht="18" customHeight="1">
      <c r="A691" s="385" t="n"/>
      <c r="B691" s="385" t="n"/>
      <c r="H691" s="385" t="n"/>
      <c r="L691" s="385" t="n"/>
      <c r="M691" s="385" t="n"/>
      <c r="N691" s="385" t="n"/>
      <c r="O691" s="385" t="n"/>
    </row>
    <row r="692" ht="18" customHeight="1">
      <c r="A692" s="385" t="n"/>
      <c r="B692" s="385" t="n"/>
      <c r="H692" s="385" t="n"/>
      <c r="L692" s="385" t="n"/>
      <c r="M692" s="385" t="n"/>
      <c r="N692" s="385" t="n"/>
      <c r="O692" s="385" t="n"/>
    </row>
    <row r="693" ht="18" customHeight="1">
      <c r="A693" s="385" t="n"/>
      <c r="B693" s="385" t="n"/>
      <c r="H693" s="385" t="n"/>
      <c r="L693" s="385" t="n"/>
      <c r="M693" s="385" t="n"/>
      <c r="N693" s="385" t="n"/>
      <c r="O693" s="385" t="n"/>
    </row>
    <row r="694" ht="18" customHeight="1">
      <c r="A694" s="385" t="n"/>
      <c r="B694" s="385" t="n"/>
      <c r="H694" s="385" t="n"/>
      <c r="L694" s="385" t="n"/>
      <c r="M694" s="385" t="n"/>
      <c r="N694" s="385" t="n"/>
      <c r="O694" s="385" t="n"/>
    </row>
    <row r="695" ht="18" customHeight="1">
      <c r="A695" s="385" t="n"/>
      <c r="B695" s="385" t="n"/>
      <c r="H695" s="385" t="n"/>
      <c r="L695" s="385" t="n"/>
      <c r="M695" s="385" t="n"/>
      <c r="N695" s="385" t="n"/>
      <c r="O695" s="385" t="n"/>
    </row>
    <row r="696" ht="18" customHeight="1">
      <c r="A696" s="385" t="n"/>
      <c r="B696" s="385" t="n"/>
      <c r="H696" s="385" t="n"/>
      <c r="L696" s="385" t="n"/>
      <c r="M696" s="385" t="n"/>
      <c r="N696" s="385" t="n"/>
      <c r="O696" s="385" t="n"/>
    </row>
    <row r="697" ht="18" customHeight="1">
      <c r="A697" s="385" t="n"/>
      <c r="B697" s="385" t="n"/>
      <c r="H697" s="385" t="n"/>
      <c r="L697" s="385" t="n"/>
      <c r="M697" s="385" t="n"/>
      <c r="N697" s="385" t="n"/>
      <c r="O697" s="385" t="n"/>
    </row>
    <row r="698" ht="18" customHeight="1">
      <c r="A698" s="385" t="n"/>
      <c r="B698" s="385" t="n"/>
      <c r="H698" s="385" t="n"/>
      <c r="L698" s="385" t="n"/>
      <c r="M698" s="385" t="n"/>
      <c r="N698" s="385" t="n"/>
      <c r="O698" s="385" t="n"/>
    </row>
    <row r="699" ht="18" customHeight="1">
      <c r="A699" s="385" t="n"/>
      <c r="B699" s="385" t="n"/>
      <c r="H699" s="385" t="n"/>
      <c r="L699" s="385" t="n"/>
      <c r="M699" s="385" t="n"/>
      <c r="N699" s="385" t="n"/>
      <c r="O699" s="385" t="n"/>
    </row>
    <row r="700" ht="18" customHeight="1">
      <c r="A700" s="385" t="n"/>
      <c r="B700" s="385" t="n"/>
      <c r="H700" s="385" t="n"/>
      <c r="L700" s="385" t="n"/>
      <c r="M700" s="385" t="n"/>
      <c r="N700" s="385" t="n"/>
      <c r="O700" s="385" t="n"/>
    </row>
    <row r="701" ht="18" customHeight="1">
      <c r="A701" s="385" t="n"/>
      <c r="B701" s="385" t="n"/>
      <c r="H701" s="385" t="n"/>
      <c r="L701" s="385" t="n"/>
      <c r="M701" s="385" t="n"/>
      <c r="N701" s="385" t="n"/>
      <c r="O701" s="385" t="n"/>
    </row>
    <row r="702" ht="18" customHeight="1">
      <c r="A702" s="385" t="n"/>
      <c r="B702" s="385" t="n"/>
      <c r="H702" s="385" t="n"/>
      <c r="L702" s="385" t="n"/>
      <c r="M702" s="385" t="n"/>
      <c r="N702" s="385" t="n"/>
      <c r="O702" s="385" t="n"/>
    </row>
    <row r="703" ht="18" customHeight="1">
      <c r="A703" s="385" t="n"/>
      <c r="B703" s="385" t="n"/>
      <c r="H703" s="385" t="n"/>
      <c r="L703" s="385" t="n"/>
      <c r="M703" s="385" t="n"/>
      <c r="N703" s="385" t="n"/>
      <c r="O703" s="385" t="n"/>
    </row>
    <row r="704" ht="18" customHeight="1">
      <c r="A704" s="385" t="n"/>
      <c r="B704" s="385" t="n"/>
      <c r="H704" s="385" t="n"/>
      <c r="L704" s="385" t="n"/>
      <c r="M704" s="385" t="n"/>
      <c r="N704" s="385" t="n"/>
      <c r="O704" s="385" t="n"/>
    </row>
    <row r="705" ht="18" customHeight="1">
      <c r="A705" s="385" t="n"/>
      <c r="B705" s="385" t="n"/>
      <c r="H705" s="385" t="n"/>
      <c r="L705" s="385" t="n"/>
      <c r="M705" s="385" t="n"/>
      <c r="N705" s="385" t="n"/>
      <c r="O705" s="385" t="n"/>
    </row>
    <row r="706" ht="18" customHeight="1">
      <c r="A706" s="385" t="n"/>
      <c r="B706" s="385" t="n"/>
      <c r="H706" s="385" t="n"/>
      <c r="L706" s="385" t="n"/>
      <c r="M706" s="385" t="n"/>
      <c r="N706" s="385" t="n"/>
      <c r="O706" s="385" t="n"/>
    </row>
    <row r="707" ht="18" customHeight="1">
      <c r="A707" s="385" t="n"/>
      <c r="B707" s="385" t="n"/>
      <c r="H707" s="385" t="n"/>
      <c r="L707" s="385" t="n"/>
      <c r="M707" s="385" t="n"/>
      <c r="N707" s="385" t="n"/>
      <c r="O707" s="385" t="n"/>
    </row>
    <row r="708" ht="18" customHeight="1">
      <c r="A708" s="385" t="n"/>
      <c r="B708" s="385" t="n"/>
      <c r="H708" s="385" t="n"/>
      <c r="L708" s="385" t="n"/>
      <c r="M708" s="385" t="n"/>
      <c r="N708" s="385" t="n"/>
      <c r="O708" s="385" t="n"/>
    </row>
    <row r="709" ht="18" customHeight="1">
      <c r="A709" s="385" t="n"/>
      <c r="B709" s="385" t="n"/>
      <c r="H709" s="385" t="n"/>
      <c r="L709" s="385" t="n"/>
      <c r="M709" s="385" t="n"/>
      <c r="N709" s="385" t="n"/>
      <c r="O709" s="385" t="n"/>
    </row>
    <row r="710" ht="18" customHeight="1">
      <c r="A710" s="385" t="n"/>
      <c r="B710" s="385" t="n"/>
      <c r="H710" s="385" t="n"/>
      <c r="L710" s="385" t="n"/>
      <c r="M710" s="385" t="n"/>
      <c r="N710" s="385" t="n"/>
      <c r="O710" s="385" t="n"/>
    </row>
    <row r="711" ht="18" customHeight="1">
      <c r="A711" s="385" t="n"/>
      <c r="B711" s="385" t="n"/>
      <c r="H711" s="385" t="n"/>
      <c r="L711" s="385" t="n"/>
      <c r="M711" s="385" t="n"/>
      <c r="N711" s="385" t="n"/>
      <c r="O711" s="385" t="n"/>
    </row>
    <row r="712" ht="18" customHeight="1">
      <c r="A712" s="385" t="n"/>
      <c r="B712" s="385" t="n"/>
      <c r="H712" s="385" t="n"/>
      <c r="L712" s="385" t="n"/>
      <c r="M712" s="385" t="n"/>
      <c r="N712" s="385" t="n"/>
      <c r="O712" s="385" t="n"/>
    </row>
    <row r="713" ht="18" customHeight="1">
      <c r="A713" s="385" t="n"/>
      <c r="B713" s="385" t="n"/>
      <c r="H713" s="385" t="n"/>
      <c r="L713" s="385" t="n"/>
      <c r="M713" s="385" t="n"/>
      <c r="N713" s="385" t="n"/>
      <c r="O713" s="385" t="n"/>
    </row>
    <row r="714" ht="18" customHeight="1">
      <c r="A714" s="385" t="n"/>
      <c r="B714" s="385" t="n"/>
      <c r="H714" s="385" t="n"/>
      <c r="L714" s="385" t="n"/>
      <c r="M714" s="385" t="n"/>
      <c r="N714" s="385" t="n"/>
      <c r="O714" s="385" t="n"/>
    </row>
    <row r="715" ht="18" customHeight="1">
      <c r="A715" s="385" t="n"/>
      <c r="B715" s="385" t="n"/>
      <c r="H715" s="385" t="n"/>
      <c r="L715" s="385" t="n"/>
      <c r="M715" s="385" t="n"/>
      <c r="N715" s="385" t="n"/>
      <c r="O715" s="385" t="n"/>
    </row>
    <row r="716" ht="18" customHeight="1">
      <c r="A716" s="385" t="n"/>
      <c r="B716" s="385" t="n"/>
      <c r="H716" s="385" t="n"/>
      <c r="L716" s="385" t="n"/>
      <c r="M716" s="385" t="n"/>
      <c r="N716" s="385" t="n"/>
      <c r="O716" s="385" t="n"/>
    </row>
    <row r="717" ht="18" customHeight="1">
      <c r="A717" s="385" t="n"/>
      <c r="B717" s="385" t="n"/>
      <c r="H717" s="385" t="n"/>
      <c r="L717" s="385" t="n"/>
      <c r="M717" s="385" t="n"/>
      <c r="N717" s="385" t="n"/>
      <c r="O717" s="385" t="n"/>
    </row>
    <row r="718" ht="18" customHeight="1">
      <c r="A718" s="385" t="n"/>
      <c r="B718" s="385" t="n"/>
      <c r="H718" s="385" t="n"/>
      <c r="L718" s="385" t="n"/>
      <c r="M718" s="385" t="n"/>
      <c r="N718" s="385" t="n"/>
      <c r="O718" s="385" t="n"/>
    </row>
    <row r="719" ht="18" customHeight="1">
      <c r="A719" s="385" t="n"/>
      <c r="B719" s="385" t="n"/>
      <c r="H719" s="385" t="n"/>
      <c r="L719" s="385" t="n"/>
      <c r="M719" s="385" t="n"/>
      <c r="N719" s="385" t="n"/>
      <c r="O719" s="385" t="n"/>
    </row>
    <row r="720" ht="18" customHeight="1">
      <c r="A720" s="385" t="n"/>
      <c r="B720" s="385" t="n"/>
      <c r="H720" s="385" t="n"/>
      <c r="L720" s="385" t="n"/>
      <c r="M720" s="385" t="n"/>
      <c r="N720" s="385" t="n"/>
      <c r="O720" s="385" t="n"/>
    </row>
    <row r="721" ht="18" customHeight="1">
      <c r="A721" s="385" t="n"/>
      <c r="B721" s="385" t="n"/>
      <c r="H721" s="385" t="n"/>
      <c r="L721" s="385" t="n"/>
      <c r="M721" s="385" t="n"/>
      <c r="N721" s="385" t="n"/>
      <c r="O721" s="385" t="n"/>
    </row>
    <row r="722" ht="18" customHeight="1">
      <c r="A722" s="385" t="n"/>
      <c r="B722" s="385" t="n"/>
      <c r="H722" s="385" t="n"/>
      <c r="L722" s="385" t="n"/>
      <c r="M722" s="385" t="n"/>
      <c r="N722" s="385" t="n"/>
      <c r="O722" s="385" t="n"/>
    </row>
    <row r="723" ht="18" customHeight="1">
      <c r="A723" s="385" t="n"/>
      <c r="B723" s="385" t="n"/>
      <c r="H723" s="385" t="n"/>
      <c r="L723" s="385" t="n"/>
      <c r="M723" s="385" t="n"/>
      <c r="N723" s="385" t="n"/>
      <c r="O723" s="385" t="n"/>
    </row>
    <row r="724" ht="18" customHeight="1">
      <c r="A724" s="385" t="n"/>
      <c r="B724" s="385" t="n"/>
      <c r="H724" s="385" t="n"/>
      <c r="L724" s="385" t="n"/>
      <c r="M724" s="385" t="n"/>
      <c r="N724" s="385" t="n"/>
      <c r="O724" s="385" t="n"/>
    </row>
    <row r="725" ht="18" customHeight="1">
      <c r="A725" s="385" t="n"/>
      <c r="B725" s="385" t="n"/>
      <c r="H725" s="385" t="n"/>
      <c r="L725" s="385" t="n"/>
      <c r="M725" s="385" t="n"/>
      <c r="N725" s="385" t="n"/>
      <c r="O725" s="385" t="n"/>
    </row>
    <row r="726" ht="18" customHeight="1">
      <c r="A726" s="385" t="n"/>
      <c r="B726" s="385" t="n"/>
      <c r="H726" s="385" t="n"/>
      <c r="L726" s="385" t="n"/>
      <c r="M726" s="385" t="n"/>
      <c r="N726" s="385" t="n"/>
      <c r="O726" s="385" t="n"/>
    </row>
    <row r="727" ht="18" customHeight="1">
      <c r="A727" s="385" t="n"/>
      <c r="B727" s="385" t="n"/>
      <c r="H727" s="385" t="n"/>
      <c r="L727" s="385" t="n"/>
      <c r="M727" s="385" t="n"/>
      <c r="N727" s="385" t="n"/>
      <c r="O727" s="385" t="n"/>
    </row>
    <row r="728" ht="18" customHeight="1">
      <c r="A728" s="385" t="n"/>
      <c r="B728" s="385" t="n"/>
      <c r="H728" s="385" t="n"/>
      <c r="L728" s="385" t="n"/>
      <c r="M728" s="385" t="n"/>
      <c r="N728" s="385" t="n"/>
      <c r="O728" s="385" t="n"/>
    </row>
    <row r="729" ht="18" customHeight="1">
      <c r="A729" s="385" t="n"/>
      <c r="B729" s="385" t="n"/>
      <c r="H729" s="385" t="n"/>
      <c r="L729" s="385" t="n"/>
      <c r="M729" s="385" t="n"/>
      <c r="N729" s="385" t="n"/>
      <c r="O729" s="385" t="n"/>
    </row>
    <row r="730" ht="18" customHeight="1">
      <c r="A730" s="385" t="n"/>
      <c r="B730" s="385" t="n"/>
      <c r="H730" s="385" t="n"/>
      <c r="L730" s="385" t="n"/>
      <c r="M730" s="385" t="n"/>
      <c r="N730" s="385" t="n"/>
      <c r="O730" s="385" t="n"/>
    </row>
    <row r="731" ht="18" customHeight="1">
      <c r="A731" s="385" t="n"/>
      <c r="B731" s="385" t="n"/>
      <c r="H731" s="385" t="n"/>
      <c r="L731" s="385" t="n"/>
      <c r="M731" s="385" t="n"/>
      <c r="N731" s="385" t="n"/>
      <c r="O731" s="385" t="n"/>
    </row>
    <row r="732" ht="18" customHeight="1">
      <c r="A732" s="385" t="n"/>
      <c r="B732" s="385" t="n"/>
      <c r="H732" s="385" t="n"/>
      <c r="L732" s="385" t="n"/>
      <c r="M732" s="385" t="n"/>
      <c r="N732" s="385" t="n"/>
      <c r="O732" s="385" t="n"/>
    </row>
    <row r="733" ht="18" customHeight="1">
      <c r="A733" s="385" t="n"/>
      <c r="B733" s="385" t="n"/>
      <c r="H733" s="385" t="n"/>
      <c r="L733" s="385" t="n"/>
      <c r="M733" s="385" t="n"/>
      <c r="N733" s="385" t="n"/>
      <c r="O733" s="385" t="n"/>
    </row>
    <row r="734" ht="18" customHeight="1">
      <c r="A734" s="385" t="n"/>
      <c r="B734" s="385" t="n"/>
      <c r="H734" s="385" t="n"/>
      <c r="L734" s="385" t="n"/>
      <c r="M734" s="385" t="n"/>
      <c r="N734" s="385" t="n"/>
      <c r="O734" s="385" t="n"/>
    </row>
    <row r="735" ht="18" customHeight="1">
      <c r="A735" s="385" t="n"/>
      <c r="B735" s="385" t="n"/>
      <c r="H735" s="385" t="n"/>
      <c r="L735" s="385" t="n"/>
      <c r="M735" s="385" t="n"/>
      <c r="N735" s="385" t="n"/>
      <c r="O735" s="385" t="n"/>
    </row>
    <row r="736" ht="18" customHeight="1">
      <c r="A736" s="385" t="n"/>
      <c r="B736" s="385" t="n"/>
      <c r="H736" s="385" t="n"/>
      <c r="L736" s="385" t="n"/>
      <c r="M736" s="385" t="n"/>
      <c r="N736" s="385" t="n"/>
      <c r="O736" s="385" t="n"/>
    </row>
    <row r="737" ht="18" customHeight="1">
      <c r="A737" s="385" t="n"/>
      <c r="B737" s="385" t="n"/>
      <c r="H737" s="385" t="n"/>
      <c r="L737" s="385" t="n"/>
      <c r="M737" s="385" t="n"/>
      <c r="N737" s="385" t="n"/>
      <c r="O737" s="385" t="n"/>
    </row>
    <row r="738" ht="18" customHeight="1">
      <c r="A738" s="385" t="n"/>
      <c r="B738" s="385" t="n"/>
      <c r="H738" s="385" t="n"/>
      <c r="L738" s="385" t="n"/>
      <c r="M738" s="385" t="n"/>
      <c r="N738" s="385" t="n"/>
      <c r="O738" s="385" t="n"/>
    </row>
    <row r="739" ht="18" customHeight="1">
      <c r="A739" s="385" t="n"/>
      <c r="B739" s="385" t="n"/>
      <c r="H739" s="385" t="n"/>
      <c r="L739" s="385" t="n"/>
      <c r="M739" s="385" t="n"/>
      <c r="N739" s="385" t="n"/>
      <c r="O739" s="385" t="n"/>
    </row>
    <row r="740" ht="18" customHeight="1">
      <c r="A740" s="385" t="n"/>
      <c r="B740" s="385" t="n"/>
      <c r="H740" s="385" t="n"/>
      <c r="L740" s="385" t="n"/>
      <c r="M740" s="385" t="n"/>
      <c r="N740" s="385" t="n"/>
      <c r="O740" s="385" t="n"/>
    </row>
    <row r="741" ht="18" customHeight="1">
      <c r="A741" s="385" t="n"/>
      <c r="B741" s="385" t="n"/>
      <c r="H741" s="385" t="n"/>
      <c r="L741" s="385" t="n"/>
      <c r="M741" s="385" t="n"/>
      <c r="N741" s="385" t="n"/>
      <c r="O741" s="385" t="n"/>
    </row>
    <row r="742" ht="18" customHeight="1">
      <c r="A742" s="385" t="n"/>
      <c r="B742" s="385" t="n"/>
      <c r="H742" s="385" t="n"/>
      <c r="L742" s="385" t="n"/>
      <c r="M742" s="385" t="n"/>
      <c r="N742" s="385" t="n"/>
      <c r="O742" s="385" t="n"/>
    </row>
    <row r="743" ht="18" customHeight="1">
      <c r="A743" s="385" t="n"/>
      <c r="B743" s="385" t="n"/>
      <c r="H743" s="385" t="n"/>
      <c r="L743" s="385" t="n"/>
      <c r="M743" s="385" t="n"/>
      <c r="N743" s="385" t="n"/>
      <c r="O743" s="385" t="n"/>
    </row>
    <row r="744" ht="18" customHeight="1">
      <c r="A744" s="385" t="n"/>
      <c r="B744" s="385" t="n"/>
      <c r="H744" s="385" t="n"/>
      <c r="L744" s="385" t="n"/>
      <c r="M744" s="385" t="n"/>
      <c r="N744" s="385" t="n"/>
      <c r="O744" s="385" t="n"/>
    </row>
    <row r="745" ht="18" customHeight="1">
      <c r="A745" s="385" t="n"/>
      <c r="B745" s="385" t="n"/>
      <c r="H745" s="385" t="n"/>
      <c r="L745" s="385" t="n"/>
      <c r="M745" s="385" t="n"/>
      <c r="N745" s="385" t="n"/>
      <c r="O745" s="385" t="n"/>
    </row>
    <row r="746" ht="18" customHeight="1">
      <c r="A746" s="385" t="n"/>
      <c r="B746" s="385" t="n"/>
      <c r="H746" s="385" t="n"/>
      <c r="L746" s="385" t="n"/>
      <c r="M746" s="385" t="n"/>
      <c r="N746" s="385" t="n"/>
      <c r="O746" s="385" t="n"/>
    </row>
    <row r="747" ht="18" customHeight="1">
      <c r="A747" s="385" t="n"/>
      <c r="B747" s="385" t="n"/>
      <c r="H747" s="385" t="n"/>
      <c r="L747" s="385" t="n"/>
      <c r="M747" s="385" t="n"/>
      <c r="N747" s="385" t="n"/>
      <c r="O747" s="385" t="n"/>
    </row>
    <row r="748" ht="18" customHeight="1">
      <c r="A748" s="385" t="n"/>
      <c r="B748" s="385" t="n"/>
      <c r="H748" s="385" t="n"/>
      <c r="L748" s="385" t="n"/>
      <c r="M748" s="385" t="n"/>
      <c r="N748" s="385" t="n"/>
      <c r="O748" s="385" t="n"/>
    </row>
    <row r="749" ht="18" customHeight="1">
      <c r="A749" s="385" t="n"/>
      <c r="B749" s="385" t="n"/>
      <c r="H749" s="385" t="n"/>
      <c r="L749" s="385" t="n"/>
      <c r="M749" s="385" t="n"/>
      <c r="N749" s="385" t="n"/>
      <c r="O749" s="385" t="n"/>
    </row>
    <row r="750" ht="18" customHeight="1">
      <c r="A750" s="385" t="n"/>
      <c r="B750" s="385" t="n"/>
      <c r="H750" s="385" t="n"/>
      <c r="L750" s="385" t="n"/>
      <c r="M750" s="385" t="n"/>
      <c r="N750" s="385" t="n"/>
      <c r="O750" s="385" t="n"/>
    </row>
    <row r="751" ht="18" customHeight="1">
      <c r="A751" s="385" t="n"/>
      <c r="B751" s="385" t="n"/>
      <c r="H751" s="385" t="n"/>
      <c r="L751" s="385" t="n"/>
      <c r="M751" s="385" t="n"/>
      <c r="N751" s="385" t="n"/>
      <c r="O751" s="385" t="n"/>
    </row>
    <row r="752" ht="18" customHeight="1">
      <c r="A752" s="385" t="n"/>
      <c r="B752" s="385" t="n"/>
      <c r="H752" s="385" t="n"/>
      <c r="L752" s="385" t="n"/>
      <c r="M752" s="385" t="n"/>
      <c r="N752" s="385" t="n"/>
      <c r="O752" s="385" t="n"/>
    </row>
    <row r="753" ht="18" customHeight="1">
      <c r="A753" s="385" t="n"/>
      <c r="B753" s="385" t="n"/>
      <c r="H753" s="385" t="n"/>
      <c r="L753" s="385" t="n"/>
      <c r="M753" s="385" t="n"/>
      <c r="N753" s="385" t="n"/>
      <c r="O753" s="385" t="n"/>
    </row>
    <row r="754" ht="18" customHeight="1">
      <c r="A754" s="385" t="n"/>
      <c r="B754" s="385" t="n"/>
      <c r="H754" s="385" t="n"/>
      <c r="L754" s="385" t="n"/>
      <c r="M754" s="385" t="n"/>
      <c r="N754" s="385" t="n"/>
      <c r="O754" s="385" t="n"/>
    </row>
    <row r="755" ht="18" customHeight="1">
      <c r="A755" s="385" t="n"/>
      <c r="B755" s="385" t="n"/>
      <c r="H755" s="385" t="n"/>
      <c r="L755" s="385" t="n"/>
      <c r="M755" s="385" t="n"/>
      <c r="N755" s="385" t="n"/>
      <c r="O755" s="385" t="n"/>
    </row>
    <row r="756" ht="18" customHeight="1">
      <c r="A756" s="385" t="n"/>
      <c r="B756" s="385" t="n"/>
      <c r="H756" s="385" t="n"/>
      <c r="L756" s="385" t="n"/>
      <c r="M756" s="385" t="n"/>
      <c r="N756" s="385" t="n"/>
      <c r="O756" s="385" t="n"/>
    </row>
    <row r="757" ht="18" customHeight="1">
      <c r="A757" s="385" t="n"/>
      <c r="B757" s="385" t="n"/>
      <c r="H757" s="385" t="n"/>
      <c r="L757" s="385" t="n"/>
      <c r="M757" s="385" t="n"/>
      <c r="N757" s="385" t="n"/>
      <c r="O757" s="385" t="n"/>
    </row>
    <row r="758" ht="18" customHeight="1">
      <c r="A758" s="385" t="n"/>
      <c r="B758" s="385" t="n"/>
      <c r="H758" s="385" t="n"/>
      <c r="L758" s="385" t="n"/>
      <c r="M758" s="385" t="n"/>
      <c r="N758" s="385" t="n"/>
      <c r="O758" s="385" t="n"/>
    </row>
    <row r="759" ht="18" customHeight="1">
      <c r="A759" s="385" t="n"/>
      <c r="B759" s="385" t="n"/>
      <c r="H759" s="385" t="n"/>
      <c r="L759" s="385" t="n"/>
      <c r="M759" s="385" t="n"/>
      <c r="N759" s="385" t="n"/>
      <c r="O759" s="385" t="n"/>
    </row>
    <row r="760" ht="18" customHeight="1">
      <c r="A760" s="385" t="n"/>
      <c r="B760" s="385" t="n"/>
      <c r="H760" s="385" t="n"/>
      <c r="L760" s="385" t="n"/>
      <c r="M760" s="385" t="n"/>
      <c r="N760" s="385" t="n"/>
      <c r="O760" s="385" t="n"/>
    </row>
    <row r="761" ht="18" customHeight="1">
      <c r="A761" s="385" t="n"/>
      <c r="B761" s="385" t="n"/>
      <c r="H761" s="385" t="n"/>
      <c r="L761" s="385" t="n"/>
      <c r="M761" s="385" t="n"/>
      <c r="N761" s="385" t="n"/>
      <c r="O761" s="385" t="n"/>
    </row>
    <row r="762" ht="18" customHeight="1">
      <c r="A762" s="385" t="n"/>
      <c r="B762" s="385" t="n"/>
      <c r="H762" s="385" t="n"/>
      <c r="L762" s="385" t="n"/>
      <c r="M762" s="385" t="n"/>
      <c r="N762" s="385" t="n"/>
      <c r="O762" s="385" t="n"/>
    </row>
    <row r="763" ht="18" customHeight="1">
      <c r="A763" s="385" t="n"/>
      <c r="B763" s="385" t="n"/>
      <c r="H763" s="385" t="n"/>
      <c r="L763" s="385" t="n"/>
      <c r="M763" s="385" t="n"/>
      <c r="N763" s="385" t="n"/>
      <c r="O763" s="385" t="n"/>
    </row>
    <row r="764" ht="18" customHeight="1">
      <c r="A764" s="385" t="n"/>
      <c r="B764" s="385" t="n"/>
      <c r="H764" s="385" t="n"/>
      <c r="L764" s="385" t="n"/>
      <c r="M764" s="385" t="n"/>
      <c r="N764" s="385" t="n"/>
      <c r="O764" s="385" t="n"/>
    </row>
    <row r="765" ht="18" customHeight="1">
      <c r="A765" s="385" t="n"/>
      <c r="B765" s="385" t="n"/>
      <c r="H765" s="385" t="n"/>
      <c r="L765" s="385" t="n"/>
      <c r="M765" s="385" t="n"/>
      <c r="N765" s="385" t="n"/>
      <c r="O765" s="385" t="n"/>
    </row>
    <row r="766" ht="18" customHeight="1">
      <c r="A766" s="385" t="n"/>
      <c r="B766" s="385" t="n"/>
      <c r="H766" s="385" t="n"/>
      <c r="L766" s="385" t="n"/>
      <c r="M766" s="385" t="n"/>
      <c r="N766" s="385" t="n"/>
      <c r="O766" s="385" t="n"/>
    </row>
    <row r="767" ht="18" customHeight="1">
      <c r="A767" s="385" t="n"/>
      <c r="B767" s="385" t="n"/>
      <c r="H767" s="385" t="n"/>
      <c r="L767" s="385" t="n"/>
      <c r="M767" s="385" t="n"/>
      <c r="N767" s="385" t="n"/>
      <c r="O767" s="385" t="n"/>
    </row>
    <row r="768" ht="18" customHeight="1">
      <c r="A768" s="385" t="n"/>
      <c r="B768" s="385" t="n"/>
      <c r="H768" s="385" t="n"/>
      <c r="L768" s="385" t="n"/>
      <c r="M768" s="385" t="n"/>
      <c r="N768" s="385" t="n"/>
      <c r="O768" s="385" t="n"/>
    </row>
    <row r="769" ht="18" customHeight="1">
      <c r="A769" s="385" t="n"/>
      <c r="B769" s="385" t="n"/>
      <c r="H769" s="385" t="n"/>
      <c r="L769" s="385" t="n"/>
      <c r="M769" s="385" t="n"/>
      <c r="N769" s="385" t="n"/>
      <c r="O769" s="385" t="n"/>
    </row>
    <row r="770" ht="18" customHeight="1">
      <c r="A770" s="385" t="n"/>
      <c r="B770" s="385" t="n"/>
      <c r="H770" s="385" t="n"/>
      <c r="L770" s="385" t="n"/>
      <c r="M770" s="385" t="n"/>
      <c r="N770" s="385" t="n"/>
      <c r="O770" s="385" t="n"/>
    </row>
    <row r="771" ht="18" customHeight="1">
      <c r="A771" s="385" t="n"/>
      <c r="B771" s="385" t="n"/>
      <c r="H771" s="385" t="n"/>
      <c r="L771" s="385" t="n"/>
      <c r="M771" s="385" t="n"/>
      <c r="N771" s="385" t="n"/>
      <c r="O771" s="385" t="n"/>
    </row>
    <row r="772" ht="18" customHeight="1">
      <c r="A772" s="385" t="n"/>
      <c r="B772" s="385" t="n"/>
      <c r="H772" s="385" t="n"/>
      <c r="L772" s="385" t="n"/>
      <c r="M772" s="385" t="n"/>
      <c r="N772" s="385" t="n"/>
      <c r="O772" s="385" t="n"/>
    </row>
    <row r="773" ht="18" customHeight="1">
      <c r="A773" s="385" t="n"/>
      <c r="B773" s="385" t="n"/>
      <c r="H773" s="385" t="n"/>
      <c r="L773" s="385" t="n"/>
      <c r="M773" s="385" t="n"/>
      <c r="N773" s="385" t="n"/>
      <c r="O773" s="385" t="n"/>
    </row>
    <row r="774" ht="18" customHeight="1">
      <c r="A774" s="385" t="n"/>
      <c r="B774" s="385" t="n"/>
      <c r="H774" s="385" t="n"/>
      <c r="L774" s="385" t="n"/>
      <c r="M774" s="385" t="n"/>
      <c r="N774" s="385" t="n"/>
      <c r="O774" s="385" t="n"/>
    </row>
    <row r="775" ht="18" customHeight="1">
      <c r="A775" s="385" t="n"/>
      <c r="B775" s="385" t="n"/>
      <c r="H775" s="385" t="n"/>
      <c r="L775" s="385" t="n"/>
      <c r="M775" s="385" t="n"/>
      <c r="N775" s="385" t="n"/>
      <c r="O775" s="385" t="n"/>
    </row>
    <row r="776" ht="18" customHeight="1">
      <c r="A776" s="385" t="n"/>
      <c r="B776" s="385" t="n"/>
      <c r="H776" s="385" t="n"/>
      <c r="L776" s="385" t="n"/>
      <c r="M776" s="385" t="n"/>
      <c r="N776" s="385" t="n"/>
      <c r="O776" s="385" t="n"/>
    </row>
    <row r="777" ht="18" customHeight="1">
      <c r="A777" s="385" t="n"/>
      <c r="B777" s="385" t="n"/>
      <c r="H777" s="385" t="n"/>
      <c r="L777" s="385" t="n"/>
      <c r="M777" s="385" t="n"/>
      <c r="N777" s="385" t="n"/>
      <c r="O777" s="385" t="n"/>
    </row>
    <row r="778" ht="18" customHeight="1">
      <c r="A778" s="385" t="n"/>
      <c r="B778" s="385" t="n"/>
      <c r="H778" s="385" t="n"/>
      <c r="L778" s="385" t="n"/>
      <c r="M778" s="385" t="n"/>
      <c r="N778" s="385" t="n"/>
      <c r="O778" s="385" t="n"/>
    </row>
    <row r="779" ht="18" customHeight="1">
      <c r="A779" s="385" t="n"/>
      <c r="B779" s="385" t="n"/>
      <c r="H779" s="385" t="n"/>
      <c r="L779" s="385" t="n"/>
      <c r="M779" s="385" t="n"/>
      <c r="N779" s="385" t="n"/>
      <c r="O779" s="385" t="n"/>
    </row>
    <row r="780" ht="18" customHeight="1">
      <c r="A780" s="385" t="n"/>
      <c r="B780" s="385" t="n"/>
      <c r="H780" s="385" t="n"/>
      <c r="L780" s="385" t="n"/>
      <c r="M780" s="385" t="n"/>
      <c r="N780" s="385" t="n"/>
      <c r="O780" s="385" t="n"/>
    </row>
    <row r="781" ht="18" customHeight="1">
      <c r="A781" s="385" t="n"/>
      <c r="B781" s="385" t="n"/>
      <c r="H781" s="385" t="n"/>
      <c r="L781" s="385" t="n"/>
      <c r="M781" s="385" t="n"/>
      <c r="N781" s="385" t="n"/>
      <c r="O781" s="385" t="n"/>
    </row>
    <row r="782" ht="18" customHeight="1">
      <c r="A782" s="385" t="n"/>
      <c r="B782" s="385" t="n"/>
      <c r="H782" s="385" t="n"/>
      <c r="L782" s="385" t="n"/>
      <c r="M782" s="385" t="n"/>
      <c r="N782" s="385" t="n"/>
      <c r="O782" s="385" t="n"/>
    </row>
    <row r="783" ht="18" customHeight="1">
      <c r="A783" s="385" t="n"/>
      <c r="B783" s="385" t="n"/>
      <c r="H783" s="385" t="n"/>
      <c r="L783" s="385" t="n"/>
      <c r="M783" s="385" t="n"/>
      <c r="N783" s="385" t="n"/>
      <c r="O783" s="385" t="n"/>
    </row>
    <row r="784" ht="18" customHeight="1">
      <c r="A784" s="385" t="n"/>
      <c r="B784" s="385" t="n"/>
      <c r="H784" s="385" t="n"/>
      <c r="L784" s="385" t="n"/>
      <c r="M784" s="385" t="n"/>
      <c r="N784" s="385" t="n"/>
      <c r="O784" s="385" t="n"/>
    </row>
    <row r="785" ht="18" customHeight="1">
      <c r="A785" s="385" t="n"/>
      <c r="B785" s="385" t="n"/>
      <c r="H785" s="385" t="n"/>
      <c r="L785" s="385" t="n"/>
      <c r="M785" s="385" t="n"/>
      <c r="N785" s="385" t="n"/>
      <c r="O785" s="385" t="n"/>
    </row>
    <row r="786" ht="18" customHeight="1">
      <c r="A786" s="385" t="n"/>
      <c r="B786" s="385" t="n"/>
      <c r="H786" s="385" t="n"/>
      <c r="L786" s="385" t="n"/>
      <c r="M786" s="385" t="n"/>
      <c r="N786" s="385" t="n"/>
      <c r="O786" s="385" t="n"/>
    </row>
    <row r="787" ht="18" customHeight="1">
      <c r="A787" s="385" t="n"/>
      <c r="B787" s="385" t="n"/>
      <c r="H787" s="385" t="n"/>
      <c r="L787" s="385" t="n"/>
      <c r="M787" s="385" t="n"/>
      <c r="N787" s="385" t="n"/>
      <c r="O787" s="385" t="n"/>
    </row>
    <row r="788" ht="18" customHeight="1">
      <c r="A788" s="385" t="n"/>
      <c r="B788" s="385" t="n"/>
      <c r="H788" s="385" t="n"/>
      <c r="L788" s="385" t="n"/>
      <c r="M788" s="385" t="n"/>
      <c r="N788" s="385" t="n"/>
      <c r="O788" s="385" t="n"/>
    </row>
    <row r="789" ht="18" customHeight="1">
      <c r="A789" s="385" t="n"/>
      <c r="B789" s="385" t="n"/>
      <c r="H789" s="385" t="n"/>
      <c r="L789" s="385" t="n"/>
      <c r="M789" s="385" t="n"/>
      <c r="N789" s="385" t="n"/>
      <c r="O789" s="385" t="n"/>
    </row>
    <row r="790" ht="18" customHeight="1">
      <c r="A790" s="385" t="n"/>
      <c r="B790" s="385" t="n"/>
      <c r="H790" s="385" t="n"/>
      <c r="L790" s="385" t="n"/>
      <c r="M790" s="385" t="n"/>
      <c r="N790" s="385" t="n"/>
      <c r="O790" s="385" t="n"/>
    </row>
    <row r="791" ht="18" customHeight="1">
      <c r="A791" s="385" t="n"/>
      <c r="B791" s="385" t="n"/>
      <c r="H791" s="385" t="n"/>
      <c r="L791" s="385" t="n"/>
      <c r="M791" s="385" t="n"/>
      <c r="N791" s="385" t="n"/>
      <c r="O791" s="385" t="n"/>
    </row>
    <row r="792" ht="18" customHeight="1">
      <c r="A792" s="385" t="n"/>
      <c r="B792" s="385" t="n"/>
      <c r="H792" s="385" t="n"/>
      <c r="L792" s="385" t="n"/>
      <c r="M792" s="385" t="n"/>
      <c r="N792" s="385" t="n"/>
      <c r="O792" s="385" t="n"/>
    </row>
    <row r="793" ht="18" customHeight="1">
      <c r="A793" s="385" t="n"/>
      <c r="B793" s="385" t="n"/>
      <c r="H793" s="385" t="n"/>
      <c r="L793" s="385" t="n"/>
      <c r="M793" s="385" t="n"/>
      <c r="N793" s="385" t="n"/>
      <c r="O793" s="385" t="n"/>
    </row>
    <row r="794" ht="18" customHeight="1">
      <c r="A794" s="385" t="n"/>
      <c r="B794" s="385" t="n"/>
      <c r="H794" s="385" t="n"/>
      <c r="L794" s="385" t="n"/>
      <c r="M794" s="385" t="n"/>
      <c r="N794" s="385" t="n"/>
      <c r="O794" s="385" t="n"/>
    </row>
    <row r="795" ht="18" customHeight="1">
      <c r="A795" s="385" t="n"/>
      <c r="B795" s="385" t="n"/>
      <c r="H795" s="385" t="n"/>
      <c r="L795" s="385" t="n"/>
      <c r="M795" s="385" t="n"/>
      <c r="N795" s="385" t="n"/>
      <c r="O795" s="385" t="n"/>
    </row>
    <row r="796" ht="18" customHeight="1">
      <c r="A796" s="385" t="n"/>
      <c r="B796" s="385" t="n"/>
      <c r="H796" s="385" t="n"/>
      <c r="L796" s="385" t="n"/>
      <c r="M796" s="385" t="n"/>
      <c r="N796" s="385" t="n"/>
      <c r="O796" s="385" t="n"/>
    </row>
    <row r="797" ht="18" customHeight="1">
      <c r="A797" s="385" t="n"/>
      <c r="B797" s="385" t="n"/>
      <c r="H797" s="385" t="n"/>
      <c r="L797" s="385" t="n"/>
      <c r="M797" s="385" t="n"/>
      <c r="N797" s="385" t="n"/>
      <c r="O797" s="385" t="n"/>
    </row>
    <row r="798" ht="18" customHeight="1">
      <c r="A798" s="385" t="n"/>
      <c r="B798" s="385" t="n"/>
      <c r="H798" s="385" t="n"/>
      <c r="L798" s="385" t="n"/>
      <c r="M798" s="385" t="n"/>
      <c r="N798" s="385" t="n"/>
      <c r="O798" s="385" t="n"/>
    </row>
    <row r="799" ht="18" customHeight="1">
      <c r="A799" s="385" t="n"/>
      <c r="B799" s="385" t="n"/>
      <c r="H799" s="385" t="n"/>
      <c r="L799" s="385" t="n"/>
      <c r="M799" s="385" t="n"/>
      <c r="N799" s="385" t="n"/>
      <c r="O799" s="385" t="n"/>
    </row>
    <row r="800" ht="18" customHeight="1">
      <c r="A800" s="385" t="n"/>
      <c r="B800" s="385" t="n"/>
      <c r="H800" s="385" t="n"/>
      <c r="L800" s="385" t="n"/>
      <c r="M800" s="385" t="n"/>
      <c r="N800" s="385" t="n"/>
      <c r="O800" s="385" t="n"/>
    </row>
    <row r="801" ht="18" customHeight="1">
      <c r="A801" s="385" t="n"/>
      <c r="B801" s="385" t="n"/>
      <c r="H801" s="385" t="n"/>
      <c r="L801" s="385" t="n"/>
      <c r="M801" s="385" t="n"/>
      <c r="N801" s="385" t="n"/>
      <c r="O801" s="385" t="n"/>
    </row>
    <row r="802" ht="18" customHeight="1">
      <c r="A802" s="385" t="n"/>
      <c r="B802" s="385" t="n"/>
      <c r="H802" s="385" t="n"/>
      <c r="L802" s="385" t="n"/>
      <c r="M802" s="385" t="n"/>
      <c r="N802" s="385" t="n"/>
      <c r="O802" s="385" t="n"/>
    </row>
    <row r="803" ht="18" customHeight="1">
      <c r="A803" s="385" t="n"/>
      <c r="B803" s="385" t="n"/>
      <c r="H803" s="385" t="n"/>
      <c r="L803" s="385" t="n"/>
      <c r="M803" s="385" t="n"/>
      <c r="N803" s="385" t="n"/>
      <c r="O803" s="385" t="n"/>
    </row>
    <row r="804" ht="18" customHeight="1">
      <c r="A804" s="385" t="n"/>
      <c r="B804" s="385" t="n"/>
      <c r="H804" s="385" t="n"/>
      <c r="L804" s="385" t="n"/>
      <c r="M804" s="385" t="n"/>
      <c r="N804" s="385" t="n"/>
      <c r="O804" s="385" t="n"/>
    </row>
    <row r="805" ht="18" customHeight="1">
      <c r="A805" s="385" t="n"/>
      <c r="B805" s="385" t="n"/>
      <c r="H805" s="385" t="n"/>
      <c r="L805" s="385" t="n"/>
      <c r="M805" s="385" t="n"/>
      <c r="N805" s="385" t="n"/>
      <c r="O805" s="385" t="n"/>
    </row>
    <row r="806" ht="18" customHeight="1">
      <c r="A806" s="385" t="n"/>
      <c r="B806" s="385" t="n"/>
      <c r="H806" s="385" t="n"/>
      <c r="L806" s="385" t="n"/>
      <c r="M806" s="385" t="n"/>
      <c r="N806" s="385" t="n"/>
      <c r="O806" s="385" t="n"/>
    </row>
    <row r="807" ht="18" customHeight="1">
      <c r="A807" s="385" t="n"/>
      <c r="B807" s="385" t="n"/>
      <c r="H807" s="385" t="n"/>
      <c r="L807" s="385" t="n"/>
      <c r="M807" s="385" t="n"/>
      <c r="N807" s="385" t="n"/>
      <c r="O807" s="385" t="n"/>
    </row>
    <row r="808" ht="18" customHeight="1">
      <c r="A808" s="385" t="n"/>
      <c r="B808" s="385" t="n"/>
      <c r="H808" s="385" t="n"/>
      <c r="L808" s="385" t="n"/>
      <c r="M808" s="385" t="n"/>
      <c r="N808" s="385" t="n"/>
      <c r="O808" s="385" t="n"/>
    </row>
    <row r="809" ht="18" customHeight="1">
      <c r="A809" s="385" t="n"/>
      <c r="B809" s="385" t="n"/>
      <c r="H809" s="385" t="n"/>
      <c r="L809" s="385" t="n"/>
      <c r="M809" s="385" t="n"/>
      <c r="N809" s="385" t="n"/>
      <c r="O809" s="385" t="n"/>
    </row>
    <row r="810" ht="18" customHeight="1">
      <c r="A810" s="385" t="n"/>
      <c r="B810" s="385" t="n"/>
      <c r="H810" s="385" t="n"/>
      <c r="L810" s="385" t="n"/>
      <c r="M810" s="385" t="n"/>
      <c r="N810" s="385" t="n"/>
      <c r="O810" s="385" t="n"/>
    </row>
    <row r="811" ht="18" customHeight="1">
      <c r="A811" s="385" t="n"/>
      <c r="B811" s="385" t="n"/>
      <c r="H811" s="385" t="n"/>
      <c r="L811" s="385" t="n"/>
      <c r="M811" s="385" t="n"/>
      <c r="N811" s="385" t="n"/>
      <c r="O811" s="385" t="n"/>
    </row>
    <row r="812" ht="18" customHeight="1">
      <c r="A812" s="385" t="n"/>
      <c r="B812" s="385" t="n"/>
      <c r="H812" s="385" t="n"/>
      <c r="L812" s="385" t="n"/>
      <c r="M812" s="385" t="n"/>
      <c r="N812" s="385" t="n"/>
      <c r="O812" s="385" t="n"/>
    </row>
    <row r="813" ht="18" customHeight="1">
      <c r="A813" s="385" t="n"/>
      <c r="B813" s="385" t="n"/>
      <c r="H813" s="385" t="n"/>
      <c r="L813" s="385" t="n"/>
      <c r="M813" s="385" t="n"/>
      <c r="N813" s="385" t="n"/>
      <c r="O813" s="385" t="n"/>
    </row>
    <row r="814" ht="18" customHeight="1">
      <c r="A814" s="385" t="n"/>
      <c r="B814" s="385" t="n"/>
      <c r="H814" s="385" t="n"/>
      <c r="L814" s="385" t="n"/>
      <c r="M814" s="385" t="n"/>
      <c r="N814" s="385" t="n"/>
      <c r="O814" s="385" t="n"/>
    </row>
    <row r="815" ht="18" customHeight="1">
      <c r="A815" s="385" t="n"/>
      <c r="B815" s="385" t="n"/>
      <c r="H815" s="385" t="n"/>
      <c r="L815" s="385" t="n"/>
      <c r="M815" s="385" t="n"/>
      <c r="N815" s="385" t="n"/>
      <c r="O815" s="385" t="n"/>
    </row>
    <row r="816" ht="18" customHeight="1">
      <c r="A816" s="385" t="n"/>
      <c r="B816" s="385" t="n"/>
      <c r="H816" s="385" t="n"/>
      <c r="L816" s="385" t="n"/>
      <c r="M816" s="385" t="n"/>
      <c r="N816" s="385" t="n"/>
      <c r="O816" s="385" t="n"/>
    </row>
    <row r="817" ht="18" customHeight="1">
      <c r="A817" s="385" t="n"/>
      <c r="B817" s="385" t="n"/>
      <c r="H817" s="385" t="n"/>
      <c r="L817" s="385" t="n"/>
      <c r="M817" s="385" t="n"/>
      <c r="N817" s="385" t="n"/>
      <c r="O817" s="385" t="n"/>
    </row>
    <row r="818" ht="18" customHeight="1">
      <c r="A818" s="385" t="n"/>
      <c r="B818" s="385" t="n"/>
      <c r="H818" s="385" t="n"/>
      <c r="L818" s="385" t="n"/>
      <c r="M818" s="385" t="n"/>
      <c r="N818" s="385" t="n"/>
      <c r="O818" s="385" t="n"/>
    </row>
    <row r="819" ht="18" customHeight="1">
      <c r="A819" s="385" t="n"/>
      <c r="B819" s="385" t="n"/>
      <c r="H819" s="385" t="n"/>
      <c r="L819" s="385" t="n"/>
      <c r="M819" s="385" t="n"/>
      <c r="N819" s="385" t="n"/>
      <c r="O819" s="385" t="n"/>
    </row>
    <row r="820" ht="18" customHeight="1">
      <c r="A820" s="385" t="n"/>
      <c r="B820" s="385" t="n"/>
      <c r="H820" s="385" t="n"/>
      <c r="L820" s="385" t="n"/>
      <c r="M820" s="385" t="n"/>
      <c r="N820" s="385" t="n"/>
      <c r="O820" s="385" t="n"/>
    </row>
    <row r="821" ht="18" customHeight="1">
      <c r="A821" s="385" t="n"/>
      <c r="B821" s="385" t="n"/>
      <c r="H821" s="385" t="n"/>
      <c r="L821" s="385" t="n"/>
      <c r="M821" s="385" t="n"/>
      <c r="N821" s="385" t="n"/>
      <c r="O821" s="385" t="n"/>
    </row>
    <row r="822" ht="18" customHeight="1">
      <c r="A822" s="385" t="n"/>
      <c r="B822" s="385" t="n"/>
      <c r="H822" s="385" t="n"/>
      <c r="L822" s="385" t="n"/>
      <c r="M822" s="385" t="n"/>
      <c r="N822" s="385" t="n"/>
      <c r="O822" s="385" t="n"/>
    </row>
    <row r="823" ht="18" customHeight="1">
      <c r="A823" s="385" t="n"/>
      <c r="B823" s="385" t="n"/>
      <c r="H823" s="385" t="n"/>
      <c r="L823" s="385" t="n"/>
      <c r="M823" s="385" t="n"/>
      <c r="N823" s="385" t="n"/>
      <c r="O823" s="385" t="n"/>
    </row>
    <row r="824" ht="18" customHeight="1">
      <c r="A824" s="385" t="n"/>
      <c r="B824" s="385" t="n"/>
      <c r="H824" s="385" t="n"/>
      <c r="L824" s="385" t="n"/>
      <c r="M824" s="385" t="n"/>
      <c r="N824" s="385" t="n"/>
      <c r="O824" s="385" t="n"/>
    </row>
    <row r="825" ht="18" customHeight="1">
      <c r="A825" s="385" t="n"/>
      <c r="B825" s="385" t="n"/>
      <c r="H825" s="385" t="n"/>
      <c r="L825" s="385" t="n"/>
      <c r="M825" s="385" t="n"/>
      <c r="N825" s="385" t="n"/>
      <c r="O825" s="385" t="n"/>
    </row>
    <row r="826" ht="18" customHeight="1">
      <c r="A826" s="385" t="n"/>
      <c r="B826" s="385" t="n"/>
      <c r="H826" s="385" t="n"/>
      <c r="L826" s="385" t="n"/>
      <c r="M826" s="385" t="n"/>
      <c r="N826" s="385" t="n"/>
      <c r="O826" s="385" t="n"/>
    </row>
    <row r="827" ht="18" customHeight="1">
      <c r="A827" s="385" t="n"/>
      <c r="B827" s="385" t="n"/>
      <c r="H827" s="385" t="n"/>
      <c r="L827" s="385" t="n"/>
      <c r="M827" s="385" t="n"/>
      <c r="N827" s="385" t="n"/>
      <c r="O827" s="385" t="n"/>
    </row>
    <row r="828" ht="18" customHeight="1">
      <c r="A828" s="385" t="n"/>
      <c r="B828" s="385" t="n"/>
      <c r="H828" s="385" t="n"/>
      <c r="L828" s="385" t="n"/>
      <c r="M828" s="385" t="n"/>
      <c r="N828" s="385" t="n"/>
      <c r="O828" s="385" t="n"/>
    </row>
    <row r="829" ht="18" customHeight="1">
      <c r="A829" s="385" t="n"/>
      <c r="B829" s="385" t="n"/>
      <c r="H829" s="385" t="n"/>
      <c r="L829" s="385" t="n"/>
      <c r="M829" s="385" t="n"/>
      <c r="N829" s="385" t="n"/>
      <c r="O829" s="385" t="n"/>
    </row>
    <row r="830" ht="18" customHeight="1">
      <c r="A830" s="385" t="n"/>
      <c r="B830" s="385" t="n"/>
      <c r="H830" s="385" t="n"/>
      <c r="L830" s="385" t="n"/>
      <c r="M830" s="385" t="n"/>
      <c r="N830" s="385" t="n"/>
      <c r="O830" s="385" t="n"/>
    </row>
    <row r="831" ht="18" customHeight="1">
      <c r="A831" s="385" t="n"/>
      <c r="B831" s="385" t="n"/>
      <c r="H831" s="385" t="n"/>
      <c r="L831" s="385" t="n"/>
      <c r="M831" s="385" t="n"/>
      <c r="N831" s="385" t="n"/>
      <c r="O831" s="385" t="n"/>
    </row>
    <row r="832" ht="18" customHeight="1">
      <c r="A832" s="385" t="n"/>
      <c r="B832" s="385" t="n"/>
      <c r="H832" s="385" t="n"/>
      <c r="L832" s="385" t="n"/>
      <c r="M832" s="385" t="n"/>
      <c r="N832" s="385" t="n"/>
      <c r="O832" s="385" t="n"/>
    </row>
    <row r="833" ht="18" customHeight="1">
      <c r="A833" s="385" t="n"/>
      <c r="B833" s="385" t="n"/>
      <c r="H833" s="385" t="n"/>
      <c r="L833" s="385" t="n"/>
      <c r="M833" s="385" t="n"/>
      <c r="N833" s="385" t="n"/>
      <c r="O833" s="385" t="n"/>
    </row>
    <row r="834" ht="18" customHeight="1">
      <c r="A834" s="385" t="n"/>
      <c r="B834" s="385" t="n"/>
      <c r="H834" s="385" t="n"/>
      <c r="L834" s="385" t="n"/>
      <c r="M834" s="385" t="n"/>
      <c r="N834" s="385" t="n"/>
      <c r="O834" s="385" t="n"/>
    </row>
    <row r="835" ht="18" customHeight="1">
      <c r="A835" s="385" t="n"/>
      <c r="B835" s="385" t="n"/>
      <c r="H835" s="385" t="n"/>
      <c r="L835" s="385" t="n"/>
      <c r="M835" s="385" t="n"/>
      <c r="N835" s="385" t="n"/>
      <c r="O835" s="385" t="n"/>
    </row>
    <row r="836" ht="18" customHeight="1">
      <c r="A836" s="385" t="n"/>
      <c r="B836" s="385" t="n"/>
      <c r="H836" s="385" t="n"/>
      <c r="L836" s="385" t="n"/>
      <c r="M836" s="385" t="n"/>
      <c r="N836" s="385" t="n"/>
      <c r="O836" s="385" t="n"/>
    </row>
    <row r="837" ht="18" customHeight="1">
      <c r="A837" s="385" t="n"/>
      <c r="B837" s="385" t="n"/>
      <c r="H837" s="385" t="n"/>
      <c r="L837" s="385" t="n"/>
      <c r="M837" s="385" t="n"/>
      <c r="N837" s="385" t="n"/>
      <c r="O837" s="385" t="n"/>
    </row>
    <row r="838" ht="18" customHeight="1">
      <c r="A838" s="385" t="n"/>
      <c r="B838" s="385" t="n"/>
      <c r="H838" s="385" t="n"/>
      <c r="L838" s="385" t="n"/>
      <c r="M838" s="385" t="n"/>
      <c r="N838" s="385" t="n"/>
      <c r="O838" s="385" t="n"/>
    </row>
    <row r="839" ht="18" customHeight="1">
      <c r="A839" s="385" t="n"/>
      <c r="B839" s="385" t="n"/>
      <c r="H839" s="385" t="n"/>
      <c r="L839" s="385" t="n"/>
      <c r="M839" s="385" t="n"/>
      <c r="N839" s="385" t="n"/>
      <c r="O839" s="385" t="n"/>
    </row>
    <row r="840" ht="18" customHeight="1">
      <c r="A840" s="385" t="n"/>
      <c r="B840" s="385" t="n"/>
      <c r="H840" s="385" t="n"/>
      <c r="L840" s="385" t="n"/>
      <c r="M840" s="385" t="n"/>
      <c r="N840" s="385" t="n"/>
      <c r="O840" s="385" t="n"/>
    </row>
    <row r="841" ht="18" customHeight="1">
      <c r="A841" s="385" t="n"/>
      <c r="B841" s="385" t="n"/>
      <c r="H841" s="385" t="n"/>
      <c r="L841" s="385" t="n"/>
      <c r="M841" s="385" t="n"/>
      <c r="N841" s="385" t="n"/>
      <c r="O841" s="385" t="n"/>
    </row>
    <row r="842" ht="18" customHeight="1">
      <c r="A842" s="385" t="n"/>
      <c r="B842" s="385" t="n"/>
      <c r="H842" s="385" t="n"/>
      <c r="L842" s="385" t="n"/>
      <c r="M842" s="385" t="n"/>
      <c r="N842" s="385" t="n"/>
      <c r="O842" s="385" t="n"/>
    </row>
    <row r="843" ht="18" customHeight="1">
      <c r="A843" s="385" t="n"/>
      <c r="B843" s="385" t="n"/>
      <c r="H843" s="385" t="n"/>
      <c r="L843" s="385" t="n"/>
      <c r="M843" s="385" t="n"/>
      <c r="N843" s="385" t="n"/>
      <c r="O843" s="385" t="n"/>
    </row>
    <row r="844" ht="18" customHeight="1">
      <c r="A844" s="385" t="n"/>
      <c r="B844" s="385" t="n"/>
      <c r="H844" s="385" t="n"/>
      <c r="L844" s="385" t="n"/>
      <c r="M844" s="385" t="n"/>
      <c r="N844" s="385" t="n"/>
      <c r="O844" s="385" t="n"/>
    </row>
    <row r="845" ht="18" customHeight="1">
      <c r="A845" s="385" t="n"/>
      <c r="B845" s="385" t="n"/>
      <c r="H845" s="385" t="n"/>
      <c r="L845" s="385" t="n"/>
      <c r="M845" s="385" t="n"/>
      <c r="N845" s="385" t="n"/>
      <c r="O845" s="385" t="n"/>
    </row>
    <row r="846" ht="18" customHeight="1">
      <c r="A846" s="385" t="n"/>
      <c r="B846" s="385" t="n"/>
      <c r="H846" s="385" t="n"/>
      <c r="L846" s="385" t="n"/>
      <c r="M846" s="385" t="n"/>
      <c r="N846" s="385" t="n"/>
      <c r="O846" s="385" t="n"/>
    </row>
    <row r="847" ht="18" customHeight="1">
      <c r="A847" s="385" t="n"/>
      <c r="B847" s="385" t="n"/>
      <c r="H847" s="385" t="n"/>
      <c r="L847" s="385" t="n"/>
      <c r="M847" s="385" t="n"/>
      <c r="N847" s="385" t="n"/>
      <c r="O847" s="385" t="n"/>
    </row>
    <row r="848" ht="18" customHeight="1">
      <c r="A848" s="385" t="n"/>
      <c r="B848" s="385" t="n"/>
      <c r="H848" s="385" t="n"/>
      <c r="L848" s="385" t="n"/>
      <c r="M848" s="385" t="n"/>
      <c r="N848" s="385" t="n"/>
      <c r="O848" s="385" t="n"/>
    </row>
    <row r="849" ht="18" customHeight="1">
      <c r="A849" s="385" t="n"/>
      <c r="B849" s="385" t="n"/>
      <c r="H849" s="385" t="n"/>
      <c r="L849" s="385" t="n"/>
      <c r="M849" s="385" t="n"/>
      <c r="N849" s="385" t="n"/>
      <c r="O849" s="385" t="n"/>
    </row>
    <row r="850" ht="18" customHeight="1">
      <c r="A850" s="385" t="n"/>
      <c r="B850" s="385" t="n"/>
      <c r="H850" s="385" t="n"/>
      <c r="L850" s="385" t="n"/>
      <c r="M850" s="385" t="n"/>
      <c r="N850" s="385" t="n"/>
      <c r="O850" s="385" t="n"/>
    </row>
    <row r="851" ht="18" customHeight="1">
      <c r="A851" s="385" t="n"/>
      <c r="B851" s="385" t="n"/>
      <c r="H851" s="385" t="n"/>
      <c r="L851" s="385" t="n"/>
      <c r="M851" s="385" t="n"/>
      <c r="N851" s="385" t="n"/>
      <c r="O851" s="385" t="n"/>
    </row>
    <row r="852" ht="18" customHeight="1">
      <c r="A852" s="385" t="n"/>
      <c r="B852" s="385" t="n"/>
      <c r="H852" s="385" t="n"/>
      <c r="L852" s="385" t="n"/>
      <c r="M852" s="385" t="n"/>
      <c r="N852" s="385" t="n"/>
      <c r="O852" s="385" t="n"/>
    </row>
    <row r="853" ht="18" customHeight="1">
      <c r="A853" s="385" t="n"/>
      <c r="B853" s="385" t="n"/>
      <c r="H853" s="385" t="n"/>
      <c r="L853" s="385" t="n"/>
      <c r="M853" s="385" t="n"/>
      <c r="N853" s="385" t="n"/>
      <c r="O853" s="385" t="n"/>
    </row>
    <row r="854" ht="18" customHeight="1">
      <c r="A854" s="385" t="n"/>
      <c r="B854" s="385" t="n"/>
      <c r="H854" s="385" t="n"/>
      <c r="L854" s="385" t="n"/>
      <c r="M854" s="385" t="n"/>
      <c r="N854" s="385" t="n"/>
      <c r="O854" s="385" t="n"/>
    </row>
    <row r="855" ht="18" customHeight="1">
      <c r="A855" s="385" t="n"/>
      <c r="B855" s="385" t="n"/>
      <c r="H855" s="385" t="n"/>
      <c r="L855" s="385" t="n"/>
      <c r="M855" s="385" t="n"/>
      <c r="N855" s="385" t="n"/>
      <c r="O855" s="385" t="n"/>
    </row>
    <row r="856" ht="18" customHeight="1">
      <c r="A856" s="385" t="n"/>
      <c r="B856" s="385" t="n"/>
      <c r="H856" s="385" t="n"/>
      <c r="L856" s="385" t="n"/>
      <c r="M856" s="385" t="n"/>
      <c r="N856" s="385" t="n"/>
      <c r="O856" s="385" t="n"/>
    </row>
    <row r="857" ht="18" customHeight="1">
      <c r="A857" s="385" t="n"/>
      <c r="B857" s="385" t="n"/>
      <c r="H857" s="385" t="n"/>
      <c r="L857" s="385" t="n"/>
      <c r="M857" s="385" t="n"/>
      <c r="N857" s="385" t="n"/>
      <c r="O857" s="385" t="n"/>
    </row>
    <row r="858" ht="18" customHeight="1">
      <c r="A858" s="385" t="n"/>
      <c r="B858" s="385" t="n"/>
      <c r="H858" s="385" t="n"/>
      <c r="L858" s="385" t="n"/>
      <c r="M858" s="385" t="n"/>
      <c r="N858" s="385" t="n"/>
      <c r="O858" s="385" t="n"/>
    </row>
    <row r="859" ht="18" customHeight="1">
      <c r="A859" s="385" t="n"/>
      <c r="B859" s="385" t="n"/>
      <c r="H859" s="385" t="n"/>
      <c r="L859" s="385" t="n"/>
      <c r="M859" s="385" t="n"/>
      <c r="N859" s="385" t="n"/>
      <c r="O859" s="385" t="n"/>
    </row>
    <row r="860" ht="18" customHeight="1">
      <c r="A860" s="385" t="n"/>
      <c r="B860" s="385" t="n"/>
      <c r="H860" s="385" t="n"/>
      <c r="L860" s="385" t="n"/>
      <c r="M860" s="385" t="n"/>
      <c r="N860" s="385" t="n"/>
      <c r="O860" s="385" t="n"/>
    </row>
    <row r="861" ht="18" customHeight="1">
      <c r="A861" s="385" t="n"/>
      <c r="B861" s="385" t="n"/>
      <c r="H861" s="385" t="n"/>
      <c r="L861" s="385" t="n"/>
      <c r="M861" s="385" t="n"/>
      <c r="N861" s="385" t="n"/>
      <c r="O861" s="385" t="n"/>
    </row>
    <row r="862" ht="18" customHeight="1">
      <c r="A862" s="385" t="n"/>
      <c r="B862" s="385" t="n"/>
      <c r="H862" s="385" t="n"/>
      <c r="L862" s="385" t="n"/>
      <c r="M862" s="385" t="n"/>
      <c r="N862" s="385" t="n"/>
      <c r="O862" s="385" t="n"/>
    </row>
    <row r="863" ht="18" customHeight="1">
      <c r="A863" s="385" t="n"/>
      <c r="B863" s="385" t="n"/>
      <c r="H863" s="385" t="n"/>
      <c r="L863" s="385" t="n"/>
      <c r="M863" s="385" t="n"/>
      <c r="N863" s="385" t="n"/>
      <c r="O863" s="385" t="n"/>
    </row>
    <row r="864" ht="18" customHeight="1">
      <c r="A864" s="385" t="n"/>
      <c r="B864" s="385" t="n"/>
      <c r="H864" s="385" t="n"/>
      <c r="L864" s="385" t="n"/>
      <c r="M864" s="385" t="n"/>
      <c r="N864" s="385" t="n"/>
      <c r="O864" s="385" t="n"/>
    </row>
    <row r="865" ht="18" customHeight="1">
      <c r="A865" s="385" t="n"/>
      <c r="B865" s="385" t="n"/>
      <c r="H865" s="385" t="n"/>
      <c r="L865" s="385" t="n"/>
      <c r="M865" s="385" t="n"/>
      <c r="N865" s="385" t="n"/>
      <c r="O865" s="385" t="n"/>
    </row>
    <row r="866" ht="18" customHeight="1">
      <c r="A866" s="385" t="n"/>
      <c r="B866" s="385" t="n"/>
      <c r="H866" s="385" t="n"/>
      <c r="L866" s="385" t="n"/>
      <c r="M866" s="385" t="n"/>
      <c r="N866" s="385" t="n"/>
      <c r="O866" s="385" t="n"/>
    </row>
    <row r="867" ht="18" customHeight="1">
      <c r="A867" s="385" t="n"/>
      <c r="B867" s="385" t="n"/>
      <c r="H867" s="385" t="n"/>
      <c r="L867" s="385" t="n"/>
      <c r="M867" s="385" t="n"/>
      <c r="N867" s="385" t="n"/>
      <c r="O867" s="385" t="n"/>
    </row>
    <row r="868" ht="18" customHeight="1">
      <c r="A868" s="385" t="n"/>
      <c r="B868" s="385" t="n"/>
      <c r="H868" s="385" t="n"/>
      <c r="L868" s="385" t="n"/>
      <c r="M868" s="385" t="n"/>
      <c r="N868" s="385" t="n"/>
      <c r="O868" s="385" t="n"/>
    </row>
    <row r="869" ht="18" customHeight="1">
      <c r="A869" s="385" t="n"/>
      <c r="B869" s="385" t="n"/>
      <c r="H869" s="385" t="n"/>
      <c r="L869" s="385" t="n"/>
      <c r="M869" s="385" t="n"/>
      <c r="N869" s="385" t="n"/>
      <c r="O869" s="385" t="n"/>
    </row>
    <row r="870" ht="18" customHeight="1">
      <c r="A870" s="385" t="n"/>
      <c r="B870" s="385" t="n"/>
      <c r="H870" s="385" t="n"/>
      <c r="L870" s="385" t="n"/>
      <c r="M870" s="385" t="n"/>
      <c r="N870" s="385" t="n"/>
      <c r="O870" s="385" t="n"/>
    </row>
    <row r="871" ht="18" customHeight="1">
      <c r="A871" s="385" t="n"/>
      <c r="B871" s="385" t="n"/>
      <c r="H871" s="385" t="n"/>
      <c r="L871" s="385" t="n"/>
      <c r="M871" s="385" t="n"/>
      <c r="N871" s="385" t="n"/>
      <c r="O871" s="385" t="n"/>
    </row>
    <row r="872" ht="18" customHeight="1">
      <c r="A872" s="385" t="n"/>
      <c r="B872" s="385" t="n"/>
      <c r="H872" s="385" t="n"/>
      <c r="L872" s="385" t="n"/>
      <c r="M872" s="385" t="n"/>
      <c r="N872" s="385" t="n"/>
      <c r="O872" s="385" t="n"/>
    </row>
    <row r="873" ht="18" customHeight="1">
      <c r="A873" s="385" t="n"/>
      <c r="B873" s="385" t="n"/>
      <c r="H873" s="385" t="n"/>
      <c r="L873" s="385" t="n"/>
      <c r="M873" s="385" t="n"/>
      <c r="N873" s="385" t="n"/>
      <c r="O873" s="385" t="n"/>
    </row>
    <row r="874" ht="18" customHeight="1">
      <c r="A874" s="385" t="n"/>
      <c r="B874" s="385" t="n"/>
      <c r="H874" s="385" t="n"/>
      <c r="L874" s="385" t="n"/>
      <c r="M874" s="385" t="n"/>
      <c r="N874" s="385" t="n"/>
      <c r="O874" s="385" t="n"/>
    </row>
    <row r="875" ht="18" customHeight="1">
      <c r="A875" s="385" t="n"/>
      <c r="B875" s="385" t="n"/>
      <c r="H875" s="385" t="n"/>
      <c r="L875" s="385" t="n"/>
      <c r="M875" s="385" t="n"/>
      <c r="N875" s="385" t="n"/>
      <c r="O875" s="385" t="n"/>
    </row>
    <row r="876" ht="18" customHeight="1">
      <c r="A876" s="385" t="n"/>
      <c r="B876" s="385" t="n"/>
      <c r="H876" s="385" t="n"/>
      <c r="L876" s="385" t="n"/>
      <c r="M876" s="385" t="n"/>
      <c r="N876" s="385" t="n"/>
      <c r="O876" s="385" t="n"/>
    </row>
    <row r="877" ht="18" customHeight="1">
      <c r="A877" s="385" t="n"/>
      <c r="B877" s="385" t="n"/>
      <c r="H877" s="385" t="n"/>
      <c r="L877" s="385" t="n"/>
      <c r="M877" s="385" t="n"/>
      <c r="N877" s="385" t="n"/>
      <c r="O877" s="385" t="n"/>
    </row>
    <row r="878" ht="18" customHeight="1">
      <c r="A878" s="385" t="n"/>
      <c r="B878" s="385" t="n"/>
      <c r="H878" s="385" t="n"/>
      <c r="L878" s="385" t="n"/>
      <c r="M878" s="385" t="n"/>
      <c r="N878" s="385" t="n"/>
      <c r="O878" s="385" t="n"/>
    </row>
    <row r="879" ht="18" customHeight="1">
      <c r="A879" s="385" t="n"/>
      <c r="B879" s="385" t="n"/>
      <c r="H879" s="385" t="n"/>
      <c r="L879" s="385" t="n"/>
      <c r="M879" s="385" t="n"/>
      <c r="N879" s="385" t="n"/>
      <c r="O879" s="385" t="n"/>
    </row>
    <row r="880" ht="18" customHeight="1">
      <c r="A880" s="385" t="n"/>
      <c r="B880" s="385" t="n"/>
      <c r="H880" s="385" t="n"/>
      <c r="L880" s="385" t="n"/>
      <c r="M880" s="385" t="n"/>
      <c r="N880" s="385" t="n"/>
      <c r="O880" s="385" t="n"/>
    </row>
    <row r="881" ht="18" customHeight="1">
      <c r="A881" s="385" t="n"/>
      <c r="B881" s="385" t="n"/>
      <c r="H881" s="385" t="n"/>
      <c r="L881" s="385" t="n"/>
      <c r="M881" s="385" t="n"/>
      <c r="N881" s="385" t="n"/>
      <c r="O881" s="385" t="n"/>
    </row>
    <row r="882" ht="18" customHeight="1">
      <c r="A882" s="385" t="n"/>
      <c r="B882" s="385" t="n"/>
      <c r="H882" s="385" t="n"/>
      <c r="L882" s="385" t="n"/>
      <c r="M882" s="385" t="n"/>
      <c r="N882" s="385" t="n"/>
      <c r="O882" s="385" t="n"/>
    </row>
    <row r="883" ht="18" customHeight="1">
      <c r="A883" s="385" t="n"/>
      <c r="B883" s="385" t="n"/>
      <c r="H883" s="385" t="n"/>
      <c r="L883" s="385" t="n"/>
      <c r="M883" s="385" t="n"/>
      <c r="N883" s="385" t="n"/>
      <c r="O883" s="385" t="n"/>
    </row>
    <row r="884" ht="18" customHeight="1">
      <c r="A884" s="385" t="n"/>
      <c r="B884" s="385" t="n"/>
      <c r="H884" s="385" t="n"/>
      <c r="L884" s="385" t="n"/>
      <c r="M884" s="385" t="n"/>
      <c r="N884" s="385" t="n"/>
      <c r="O884" s="385" t="n"/>
    </row>
    <row r="885" ht="18" customHeight="1">
      <c r="A885" s="385" t="n"/>
      <c r="B885" s="385" t="n"/>
      <c r="H885" s="385" t="n"/>
      <c r="L885" s="385" t="n"/>
      <c r="M885" s="385" t="n"/>
      <c r="N885" s="385" t="n"/>
      <c r="O885" s="385" t="n"/>
    </row>
    <row r="886" ht="18" customHeight="1">
      <c r="A886" s="385" t="n"/>
      <c r="B886" s="385" t="n"/>
      <c r="H886" s="385" t="n"/>
      <c r="L886" s="385" t="n"/>
      <c r="M886" s="385" t="n"/>
      <c r="N886" s="385" t="n"/>
      <c r="O886" s="385" t="n"/>
    </row>
    <row r="887" ht="18" customHeight="1">
      <c r="A887" s="385" t="n"/>
      <c r="B887" s="385" t="n"/>
      <c r="H887" s="385" t="n"/>
      <c r="L887" s="385" t="n"/>
      <c r="M887" s="385" t="n"/>
      <c r="N887" s="385" t="n"/>
      <c r="O887" s="385" t="n"/>
    </row>
    <row r="888" ht="18" customHeight="1">
      <c r="A888" s="385" t="n"/>
      <c r="B888" s="385" t="n"/>
      <c r="H888" s="385" t="n"/>
      <c r="L888" s="385" t="n"/>
      <c r="M888" s="385" t="n"/>
      <c r="N888" s="385" t="n"/>
      <c r="O888" s="385" t="n"/>
    </row>
    <row r="889" ht="18" customHeight="1">
      <c r="A889" s="385" t="n"/>
      <c r="B889" s="385" t="n"/>
      <c r="H889" s="385" t="n"/>
      <c r="L889" s="385" t="n"/>
      <c r="M889" s="385" t="n"/>
      <c r="N889" s="385" t="n"/>
      <c r="O889" s="385" t="n"/>
    </row>
    <row r="890" ht="18" customHeight="1">
      <c r="A890" s="385" t="n"/>
      <c r="B890" s="385" t="n"/>
      <c r="H890" s="385" t="n"/>
      <c r="L890" s="385" t="n"/>
      <c r="M890" s="385" t="n"/>
      <c r="N890" s="385" t="n"/>
      <c r="O890" s="385" t="n"/>
    </row>
    <row r="891" ht="18" customHeight="1">
      <c r="A891" s="385" t="n"/>
      <c r="B891" s="385" t="n"/>
      <c r="H891" s="385" t="n"/>
      <c r="L891" s="385" t="n"/>
      <c r="M891" s="385" t="n"/>
      <c r="N891" s="385" t="n"/>
      <c r="O891" s="385" t="n"/>
    </row>
    <row r="892" ht="18" customHeight="1">
      <c r="A892" s="385" t="n"/>
      <c r="B892" s="385" t="n"/>
      <c r="H892" s="385" t="n"/>
      <c r="L892" s="385" t="n"/>
      <c r="M892" s="385" t="n"/>
      <c r="N892" s="385" t="n"/>
      <c r="O892" s="385" t="n"/>
    </row>
    <row r="893" ht="18" customHeight="1">
      <c r="A893" s="385" t="n"/>
      <c r="B893" s="385" t="n"/>
      <c r="H893" s="385" t="n"/>
      <c r="L893" s="385" t="n"/>
      <c r="M893" s="385" t="n"/>
      <c r="N893" s="385" t="n"/>
      <c r="O893" s="385" t="n"/>
    </row>
    <row r="894" ht="18" customHeight="1">
      <c r="A894" s="385" t="n"/>
      <c r="B894" s="385" t="n"/>
      <c r="H894" s="385" t="n"/>
      <c r="L894" s="385" t="n"/>
      <c r="M894" s="385" t="n"/>
      <c r="N894" s="385" t="n"/>
      <c r="O894" s="385" t="n"/>
    </row>
    <row r="895" ht="18" customHeight="1">
      <c r="A895" s="385" t="n"/>
      <c r="B895" s="385" t="n"/>
      <c r="H895" s="385" t="n"/>
      <c r="L895" s="385" t="n"/>
      <c r="M895" s="385" t="n"/>
      <c r="N895" s="385" t="n"/>
      <c r="O895" s="385" t="n"/>
    </row>
    <row r="896" ht="18" customHeight="1">
      <c r="A896" s="385" t="n"/>
      <c r="B896" s="385" t="n"/>
      <c r="H896" s="385" t="n"/>
      <c r="L896" s="385" t="n"/>
      <c r="M896" s="385" t="n"/>
      <c r="N896" s="385" t="n"/>
      <c r="O896" s="385" t="n"/>
    </row>
    <row r="897" ht="18" customHeight="1">
      <c r="A897" s="385" t="n"/>
      <c r="B897" s="385" t="n"/>
      <c r="H897" s="385" t="n"/>
      <c r="L897" s="385" t="n"/>
      <c r="M897" s="385" t="n"/>
      <c r="N897" s="385" t="n"/>
      <c r="O897" s="385" t="n"/>
    </row>
    <row r="898" ht="18" customHeight="1">
      <c r="A898" s="385" t="n"/>
      <c r="B898" s="385" t="n"/>
      <c r="H898" s="385" t="n"/>
      <c r="L898" s="385" t="n"/>
      <c r="M898" s="385" t="n"/>
      <c r="N898" s="385" t="n"/>
      <c r="O898" s="385" t="n"/>
    </row>
    <row r="899" ht="18" customHeight="1">
      <c r="A899" s="385" t="n"/>
      <c r="B899" s="385" t="n"/>
      <c r="H899" s="385" t="n"/>
      <c r="L899" s="385" t="n"/>
      <c r="M899" s="385" t="n"/>
      <c r="N899" s="385" t="n"/>
      <c r="O899" s="385" t="n"/>
    </row>
    <row r="900" ht="18" customHeight="1">
      <c r="A900" s="385" t="n"/>
      <c r="B900" s="385" t="n"/>
      <c r="H900" s="385" t="n"/>
      <c r="L900" s="385" t="n"/>
      <c r="M900" s="385" t="n"/>
      <c r="N900" s="385" t="n"/>
      <c r="O900" s="385" t="n"/>
    </row>
    <row r="901" ht="18" customHeight="1">
      <c r="A901" s="385" t="n"/>
      <c r="B901" s="385" t="n"/>
      <c r="H901" s="385" t="n"/>
      <c r="L901" s="385" t="n"/>
      <c r="M901" s="385" t="n"/>
      <c r="N901" s="385" t="n"/>
      <c r="O901" s="385" t="n"/>
    </row>
    <row r="902" ht="18" customHeight="1">
      <c r="A902" s="385" t="n"/>
      <c r="B902" s="385" t="n"/>
      <c r="H902" s="385" t="n"/>
      <c r="L902" s="385" t="n"/>
      <c r="M902" s="385" t="n"/>
      <c r="N902" s="385" t="n"/>
      <c r="O902" s="385" t="n"/>
    </row>
    <row r="903" ht="18" customHeight="1">
      <c r="A903" s="385" t="n"/>
      <c r="B903" s="385" t="n"/>
      <c r="H903" s="385" t="n"/>
      <c r="L903" s="385" t="n"/>
      <c r="M903" s="385" t="n"/>
      <c r="N903" s="385" t="n"/>
      <c r="O903" s="385" t="n"/>
    </row>
    <row r="904" ht="18" customHeight="1">
      <c r="A904" s="385" t="n"/>
      <c r="B904" s="385" t="n"/>
      <c r="H904" s="385" t="n"/>
      <c r="L904" s="385" t="n"/>
      <c r="M904" s="385" t="n"/>
      <c r="N904" s="385" t="n"/>
      <c r="O904" s="385" t="n"/>
    </row>
    <row r="905" ht="18" customHeight="1">
      <c r="A905" s="385" t="n"/>
      <c r="B905" s="385" t="n"/>
      <c r="H905" s="385" t="n"/>
      <c r="L905" s="385" t="n"/>
      <c r="M905" s="385" t="n"/>
      <c r="N905" s="385" t="n"/>
      <c r="O905" s="385" t="n"/>
    </row>
    <row r="906" ht="18" customHeight="1">
      <c r="A906" s="385" t="n"/>
      <c r="B906" s="385" t="n"/>
      <c r="H906" s="385" t="n"/>
      <c r="L906" s="385" t="n"/>
      <c r="M906" s="385" t="n"/>
      <c r="N906" s="385" t="n"/>
      <c r="O906" s="385" t="n"/>
    </row>
    <row r="907" ht="18" customHeight="1">
      <c r="A907" s="385" t="n"/>
      <c r="B907" s="385" t="n"/>
      <c r="H907" s="385" t="n"/>
      <c r="L907" s="385" t="n"/>
      <c r="M907" s="385" t="n"/>
      <c r="N907" s="385" t="n"/>
      <c r="O907" s="385" t="n"/>
    </row>
    <row r="908" ht="18" customHeight="1">
      <c r="A908" s="385" t="n"/>
      <c r="B908" s="385" t="n"/>
      <c r="H908" s="385" t="n"/>
      <c r="L908" s="385" t="n"/>
      <c r="M908" s="385" t="n"/>
      <c r="N908" s="385" t="n"/>
      <c r="O908" s="385" t="n"/>
    </row>
    <row r="909" ht="18" customHeight="1">
      <c r="A909" s="385" t="n"/>
      <c r="B909" s="385" t="n"/>
      <c r="H909" s="385" t="n"/>
      <c r="L909" s="385" t="n"/>
      <c r="M909" s="385" t="n"/>
      <c r="N909" s="385" t="n"/>
      <c r="O909" s="385" t="n"/>
    </row>
    <row r="910" ht="18" customHeight="1">
      <c r="A910" s="385" t="n"/>
      <c r="B910" s="385" t="n"/>
      <c r="H910" s="385" t="n"/>
      <c r="L910" s="385" t="n"/>
      <c r="M910" s="385" t="n"/>
      <c r="N910" s="385" t="n"/>
      <c r="O910" s="385" t="n"/>
    </row>
    <row r="911" ht="18" customHeight="1">
      <c r="A911" s="385" t="n"/>
      <c r="B911" s="385" t="n"/>
      <c r="H911" s="385" t="n"/>
      <c r="L911" s="385" t="n"/>
      <c r="M911" s="385" t="n"/>
      <c r="N911" s="385" t="n"/>
      <c r="O911" s="385" t="n"/>
    </row>
    <row r="912" ht="18" customHeight="1">
      <c r="A912" s="385" t="n"/>
      <c r="B912" s="385" t="n"/>
      <c r="H912" s="385" t="n"/>
      <c r="L912" s="385" t="n"/>
      <c r="M912" s="385" t="n"/>
      <c r="N912" s="385" t="n"/>
      <c r="O912" s="385" t="n"/>
    </row>
    <row r="913" ht="18" customHeight="1">
      <c r="A913" s="385" t="n"/>
      <c r="B913" s="385" t="n"/>
      <c r="H913" s="385" t="n"/>
      <c r="L913" s="385" t="n"/>
      <c r="M913" s="385" t="n"/>
      <c r="N913" s="385" t="n"/>
      <c r="O913" s="385" t="n"/>
    </row>
    <row r="914" ht="18" customHeight="1">
      <c r="A914" s="385" t="n"/>
      <c r="B914" s="385" t="n"/>
      <c r="H914" s="385" t="n"/>
      <c r="L914" s="385" t="n"/>
      <c r="M914" s="385" t="n"/>
      <c r="N914" s="385" t="n"/>
      <c r="O914" s="385" t="n"/>
    </row>
    <row r="915" ht="18" customHeight="1">
      <c r="A915" s="385" t="n"/>
      <c r="B915" s="385" t="n"/>
      <c r="H915" s="385" t="n"/>
      <c r="L915" s="385" t="n"/>
      <c r="M915" s="385" t="n"/>
      <c r="N915" s="385" t="n"/>
      <c r="O915" s="385" t="n"/>
    </row>
    <row r="916" ht="18" customHeight="1">
      <c r="A916" s="385" t="n"/>
      <c r="B916" s="385" t="n"/>
      <c r="H916" s="385" t="n"/>
      <c r="L916" s="385" t="n"/>
      <c r="M916" s="385" t="n"/>
      <c r="N916" s="385" t="n"/>
      <c r="O916" s="385" t="n"/>
    </row>
    <row r="917" ht="18" customHeight="1">
      <c r="A917" s="385" t="n"/>
      <c r="B917" s="385" t="n"/>
      <c r="H917" s="385" t="n"/>
      <c r="L917" s="385" t="n"/>
      <c r="M917" s="385" t="n"/>
      <c r="N917" s="385" t="n"/>
      <c r="O917" s="385" t="n"/>
    </row>
    <row r="918" ht="18" customHeight="1">
      <c r="A918" s="385" t="n"/>
      <c r="B918" s="385" t="n"/>
      <c r="H918" s="385" t="n"/>
      <c r="L918" s="385" t="n"/>
      <c r="M918" s="385" t="n"/>
      <c r="N918" s="385" t="n"/>
      <c r="O918" s="385" t="n"/>
    </row>
    <row r="919" ht="18" customHeight="1">
      <c r="A919" s="385" t="n"/>
      <c r="B919" s="385" t="n"/>
      <c r="H919" s="385" t="n"/>
      <c r="L919" s="385" t="n"/>
      <c r="M919" s="385" t="n"/>
      <c r="N919" s="385" t="n"/>
      <c r="O919" s="385" t="n"/>
    </row>
    <row r="920" ht="18" customHeight="1">
      <c r="A920" s="385" t="n"/>
      <c r="B920" s="385" t="n"/>
      <c r="H920" s="385" t="n"/>
      <c r="L920" s="385" t="n"/>
      <c r="M920" s="385" t="n"/>
      <c r="N920" s="385" t="n"/>
      <c r="O920" s="385" t="n"/>
    </row>
    <row r="921" ht="18" customHeight="1">
      <c r="A921" s="385" t="n"/>
      <c r="B921" s="385" t="n"/>
      <c r="H921" s="385" t="n"/>
      <c r="L921" s="385" t="n"/>
      <c r="M921" s="385" t="n"/>
      <c r="N921" s="385" t="n"/>
      <c r="O921" s="385" t="n"/>
    </row>
    <row r="922" ht="18" customHeight="1">
      <c r="A922" s="385" t="n"/>
      <c r="B922" s="385" t="n"/>
      <c r="H922" s="385" t="n"/>
      <c r="L922" s="385" t="n"/>
      <c r="M922" s="385" t="n"/>
      <c r="N922" s="385" t="n"/>
      <c r="O922" s="385" t="n"/>
    </row>
    <row r="923" ht="18" customHeight="1">
      <c r="A923" s="385" t="n"/>
      <c r="B923" s="385" t="n"/>
      <c r="H923" s="385" t="n"/>
      <c r="L923" s="385" t="n"/>
      <c r="M923" s="385" t="n"/>
      <c r="N923" s="385" t="n"/>
      <c r="O923" s="385" t="n"/>
    </row>
    <row r="924" ht="18" customHeight="1">
      <c r="A924" s="385" t="n"/>
      <c r="B924" s="385" t="n"/>
      <c r="H924" s="385" t="n"/>
      <c r="L924" s="385" t="n"/>
      <c r="M924" s="385" t="n"/>
      <c r="N924" s="385" t="n"/>
      <c r="O924" s="385" t="n"/>
    </row>
    <row r="925" ht="18" customHeight="1">
      <c r="A925" s="385" t="n"/>
      <c r="B925" s="385" t="n"/>
      <c r="H925" s="385" t="n"/>
      <c r="L925" s="385" t="n"/>
      <c r="M925" s="385" t="n"/>
      <c r="N925" s="385" t="n"/>
      <c r="O925" s="385" t="n"/>
    </row>
    <row r="926" ht="18" customHeight="1">
      <c r="A926" s="385" t="n"/>
      <c r="B926" s="385" t="n"/>
      <c r="H926" s="385" t="n"/>
      <c r="L926" s="385" t="n"/>
      <c r="M926" s="385" t="n"/>
      <c r="N926" s="385" t="n"/>
      <c r="O926" s="385" t="n"/>
    </row>
    <row r="927" ht="18" customHeight="1">
      <c r="A927" s="385" t="n"/>
      <c r="B927" s="385" t="n"/>
      <c r="H927" s="385" t="n"/>
      <c r="L927" s="385" t="n"/>
      <c r="M927" s="385" t="n"/>
      <c r="N927" s="385" t="n"/>
      <c r="O927" s="385" t="n"/>
    </row>
    <row r="928" ht="18" customHeight="1">
      <c r="A928" s="385" t="n"/>
      <c r="B928" s="385" t="n"/>
      <c r="H928" s="385" t="n"/>
      <c r="L928" s="385" t="n"/>
      <c r="M928" s="385" t="n"/>
      <c r="N928" s="385" t="n"/>
      <c r="O928" s="385" t="n"/>
    </row>
    <row r="929" ht="18" customHeight="1">
      <c r="A929" s="385" t="n"/>
      <c r="B929" s="385" t="n"/>
      <c r="H929" s="385" t="n"/>
      <c r="L929" s="385" t="n"/>
      <c r="M929" s="385" t="n"/>
      <c r="N929" s="385" t="n"/>
      <c r="O929" s="385" t="n"/>
    </row>
    <row r="930" ht="18" customHeight="1">
      <c r="A930" s="385" t="n"/>
      <c r="B930" s="385" t="n"/>
      <c r="H930" s="385" t="n"/>
      <c r="L930" s="385" t="n"/>
      <c r="M930" s="385" t="n"/>
      <c r="N930" s="385" t="n"/>
      <c r="O930" s="385" t="n"/>
    </row>
    <row r="931" ht="18" customHeight="1">
      <c r="A931" s="385" t="n"/>
      <c r="B931" s="385" t="n"/>
      <c r="H931" s="385" t="n"/>
      <c r="L931" s="385" t="n"/>
      <c r="M931" s="385" t="n"/>
      <c r="N931" s="385" t="n"/>
      <c r="O931" s="385" t="n"/>
    </row>
    <row r="932" ht="18" customHeight="1">
      <c r="A932" s="385" t="n"/>
      <c r="B932" s="385" t="n"/>
      <c r="H932" s="385" t="n"/>
      <c r="L932" s="385" t="n"/>
      <c r="M932" s="385" t="n"/>
      <c r="N932" s="385" t="n"/>
      <c r="O932" s="385" t="n"/>
    </row>
    <row r="933" ht="18" customHeight="1">
      <c r="A933" s="385" t="n"/>
      <c r="B933" s="385" t="n"/>
      <c r="H933" s="385" t="n"/>
      <c r="L933" s="385" t="n"/>
      <c r="M933" s="385" t="n"/>
      <c r="N933" s="385" t="n"/>
      <c r="O933" s="385" t="n"/>
    </row>
    <row r="934" ht="18" customHeight="1">
      <c r="A934" s="385" t="n"/>
      <c r="B934" s="385" t="n"/>
      <c r="H934" s="385" t="n"/>
      <c r="L934" s="385" t="n"/>
      <c r="M934" s="385" t="n"/>
      <c r="N934" s="385" t="n"/>
      <c r="O934" s="385" t="n"/>
    </row>
    <row r="935" ht="18" customHeight="1">
      <c r="A935" s="385" t="n"/>
      <c r="B935" s="385" t="n"/>
      <c r="H935" s="385" t="n"/>
      <c r="L935" s="385" t="n"/>
      <c r="M935" s="385" t="n"/>
      <c r="N935" s="385" t="n"/>
      <c r="O935" s="385" t="n"/>
    </row>
    <row r="936" ht="18" customHeight="1">
      <c r="A936" s="385" t="n"/>
      <c r="B936" s="385" t="n"/>
      <c r="H936" s="385" t="n"/>
      <c r="L936" s="385" t="n"/>
      <c r="M936" s="385" t="n"/>
      <c r="N936" s="385" t="n"/>
      <c r="O936" s="385" t="n"/>
    </row>
    <row r="937" ht="18" customHeight="1">
      <c r="A937" s="385" t="n"/>
      <c r="B937" s="385" t="n"/>
      <c r="H937" s="385" t="n"/>
      <c r="L937" s="385" t="n"/>
      <c r="M937" s="385" t="n"/>
      <c r="N937" s="385" t="n"/>
      <c r="O937" s="385" t="n"/>
    </row>
    <row r="938" ht="18" customHeight="1">
      <c r="A938" s="385" t="n"/>
      <c r="B938" s="385" t="n"/>
      <c r="H938" s="385" t="n"/>
      <c r="L938" s="385" t="n"/>
      <c r="M938" s="385" t="n"/>
      <c r="N938" s="385" t="n"/>
      <c r="O938" s="385" t="n"/>
    </row>
    <row r="939" ht="18" customHeight="1">
      <c r="A939" s="385" t="n"/>
      <c r="B939" s="385" t="n"/>
      <c r="H939" s="385" t="n"/>
      <c r="L939" s="385" t="n"/>
      <c r="M939" s="385" t="n"/>
      <c r="N939" s="385" t="n"/>
      <c r="O939" s="385" t="n"/>
    </row>
    <row r="940" ht="18" customHeight="1">
      <c r="A940" s="385" t="n"/>
      <c r="B940" s="385" t="n"/>
      <c r="H940" s="385" t="n"/>
      <c r="L940" s="385" t="n"/>
      <c r="M940" s="385" t="n"/>
      <c r="N940" s="385" t="n"/>
      <c r="O940" s="385" t="n"/>
    </row>
    <row r="941" ht="18" customHeight="1">
      <c r="A941" s="385" t="n"/>
      <c r="B941" s="385" t="n"/>
      <c r="H941" s="385" t="n"/>
      <c r="L941" s="385" t="n"/>
      <c r="M941" s="385" t="n"/>
      <c r="N941" s="385" t="n"/>
      <c r="O941" s="385" t="n"/>
    </row>
    <row r="942" ht="18" customHeight="1">
      <c r="A942" s="385" t="n"/>
      <c r="B942" s="385" t="n"/>
      <c r="H942" s="385" t="n"/>
      <c r="L942" s="385" t="n"/>
      <c r="M942" s="385" t="n"/>
      <c r="N942" s="385" t="n"/>
      <c r="O942" s="385" t="n"/>
    </row>
    <row r="943" ht="18" customHeight="1">
      <c r="A943" s="385" t="n"/>
      <c r="B943" s="385" t="n"/>
      <c r="H943" s="385" t="n"/>
      <c r="L943" s="385" t="n"/>
      <c r="M943" s="385" t="n"/>
      <c r="N943" s="385" t="n"/>
      <c r="O943" s="385" t="n"/>
    </row>
    <row r="944" ht="18" customHeight="1">
      <c r="A944" s="385" t="n"/>
      <c r="B944" s="385" t="n"/>
      <c r="H944" s="385" t="n"/>
      <c r="L944" s="385" t="n"/>
      <c r="M944" s="385" t="n"/>
      <c r="N944" s="385" t="n"/>
      <c r="O944" s="385" t="n"/>
    </row>
    <row r="945" ht="18" customHeight="1">
      <c r="A945" s="385" t="n"/>
      <c r="B945" s="385" t="n"/>
      <c r="H945" s="385" t="n"/>
      <c r="L945" s="385" t="n"/>
      <c r="M945" s="385" t="n"/>
      <c r="N945" s="385" t="n"/>
      <c r="O945" s="385" t="n"/>
    </row>
    <row r="946" ht="18" customHeight="1">
      <c r="A946" s="385" t="n"/>
      <c r="B946" s="385" t="n"/>
      <c r="H946" s="385" t="n"/>
      <c r="L946" s="385" t="n"/>
      <c r="M946" s="385" t="n"/>
      <c r="N946" s="385" t="n"/>
      <c r="O946" s="385" t="n"/>
    </row>
    <row r="947" ht="18" customHeight="1">
      <c r="A947" s="385" t="n"/>
      <c r="B947" s="385" t="n"/>
      <c r="H947" s="385" t="n"/>
      <c r="L947" s="385" t="n"/>
      <c r="M947" s="385" t="n"/>
      <c r="N947" s="385" t="n"/>
      <c r="O947" s="385" t="n"/>
    </row>
    <row r="948" ht="18" customHeight="1">
      <c r="A948" s="385" t="n"/>
      <c r="B948" s="385" t="n"/>
      <c r="H948" s="385" t="n"/>
      <c r="L948" s="385" t="n"/>
      <c r="M948" s="385" t="n"/>
      <c r="N948" s="385" t="n"/>
      <c r="O948" s="385" t="n"/>
    </row>
    <row r="949" ht="18" customHeight="1">
      <c r="A949" s="385" t="n"/>
      <c r="B949" s="385" t="n"/>
      <c r="H949" s="385" t="n"/>
      <c r="L949" s="385" t="n"/>
      <c r="M949" s="385" t="n"/>
      <c r="N949" s="385" t="n"/>
      <c r="O949" s="385" t="n"/>
    </row>
    <row r="950" ht="18" customHeight="1">
      <c r="A950" s="385" t="n"/>
      <c r="B950" s="385" t="n"/>
      <c r="H950" s="385" t="n"/>
      <c r="L950" s="385" t="n"/>
      <c r="M950" s="385" t="n"/>
      <c r="N950" s="385" t="n"/>
      <c r="O950" s="385" t="n"/>
    </row>
    <row r="951" ht="18" customHeight="1">
      <c r="A951" s="385" t="n"/>
      <c r="B951" s="385" t="n"/>
      <c r="H951" s="385" t="n"/>
      <c r="L951" s="385" t="n"/>
      <c r="M951" s="385" t="n"/>
      <c r="N951" s="385" t="n"/>
      <c r="O951" s="385" t="n"/>
    </row>
    <row r="952" ht="18" customHeight="1">
      <c r="A952" s="385" t="n"/>
      <c r="B952" s="385" t="n"/>
      <c r="H952" s="385" t="n"/>
      <c r="L952" s="385" t="n"/>
      <c r="M952" s="385" t="n"/>
      <c r="N952" s="385" t="n"/>
      <c r="O952" s="385" t="n"/>
    </row>
    <row r="953" ht="18" customHeight="1">
      <c r="A953" s="385" t="n"/>
      <c r="B953" s="385" t="n"/>
      <c r="H953" s="385" t="n"/>
      <c r="L953" s="385" t="n"/>
      <c r="M953" s="385" t="n"/>
      <c r="N953" s="385" t="n"/>
      <c r="O953" s="385" t="n"/>
    </row>
    <row r="954" ht="18" customHeight="1">
      <c r="A954" s="385" t="n"/>
      <c r="B954" s="385" t="n"/>
      <c r="H954" s="385" t="n"/>
      <c r="L954" s="385" t="n"/>
      <c r="M954" s="385" t="n"/>
      <c r="N954" s="385" t="n"/>
      <c r="O954" s="385" t="n"/>
    </row>
    <row r="955" ht="18" customHeight="1">
      <c r="A955" s="385" t="n"/>
      <c r="B955" s="385" t="n"/>
      <c r="H955" s="385" t="n"/>
      <c r="L955" s="385" t="n"/>
      <c r="M955" s="385" t="n"/>
      <c r="N955" s="385" t="n"/>
      <c r="O955" s="385" t="n"/>
    </row>
    <row r="956" ht="18" customHeight="1">
      <c r="A956" s="385" t="n"/>
      <c r="B956" s="385" t="n"/>
      <c r="H956" s="385" t="n"/>
      <c r="L956" s="385" t="n"/>
      <c r="M956" s="385" t="n"/>
      <c r="N956" s="385" t="n"/>
      <c r="O956" s="385" t="n"/>
    </row>
    <row r="957" ht="18" customHeight="1">
      <c r="A957" s="385" t="n"/>
      <c r="B957" s="385" t="n"/>
      <c r="H957" s="385" t="n"/>
      <c r="L957" s="385" t="n"/>
      <c r="M957" s="385" t="n"/>
      <c r="N957" s="385" t="n"/>
      <c r="O957" s="385" t="n"/>
    </row>
    <row r="958" ht="18" customHeight="1">
      <c r="A958" s="385" t="n"/>
      <c r="B958" s="385" t="n"/>
      <c r="H958" s="385" t="n"/>
      <c r="L958" s="385" t="n"/>
      <c r="M958" s="385" t="n"/>
      <c r="N958" s="385" t="n"/>
      <c r="O958" s="385" t="n"/>
    </row>
    <row r="959" ht="18" customHeight="1">
      <c r="A959" s="385" t="n"/>
      <c r="B959" s="385" t="n"/>
      <c r="H959" s="385" t="n"/>
      <c r="L959" s="385" t="n"/>
      <c r="M959" s="385" t="n"/>
      <c r="N959" s="385" t="n"/>
      <c r="O959" s="385" t="n"/>
    </row>
    <row r="960" ht="18" customHeight="1">
      <c r="A960" s="385" t="n"/>
      <c r="B960" s="385" t="n"/>
      <c r="H960" s="385" t="n"/>
      <c r="L960" s="385" t="n"/>
      <c r="M960" s="385" t="n"/>
      <c r="N960" s="385" t="n"/>
      <c r="O960" s="385" t="n"/>
    </row>
    <row r="961" ht="18" customHeight="1">
      <c r="A961" s="385" t="n"/>
      <c r="B961" s="385" t="n"/>
      <c r="H961" s="385" t="n"/>
      <c r="L961" s="385" t="n"/>
      <c r="M961" s="385" t="n"/>
      <c r="N961" s="385" t="n"/>
      <c r="O961" s="385" t="n"/>
    </row>
    <row r="962" ht="18" customHeight="1">
      <c r="A962" s="385" t="n"/>
      <c r="B962" s="385" t="n"/>
      <c r="H962" s="385" t="n"/>
      <c r="L962" s="385" t="n"/>
      <c r="M962" s="385" t="n"/>
      <c r="N962" s="385" t="n"/>
      <c r="O962" s="385" t="n"/>
    </row>
    <row r="963" ht="18" customHeight="1">
      <c r="A963" s="385" t="n"/>
      <c r="B963" s="385" t="n"/>
      <c r="H963" s="385" t="n"/>
      <c r="L963" s="385" t="n"/>
      <c r="M963" s="385" t="n"/>
      <c r="N963" s="385" t="n"/>
      <c r="O963" s="385" t="n"/>
    </row>
    <row r="964" ht="18" customHeight="1">
      <c r="A964" s="385" t="n"/>
      <c r="B964" s="385" t="n"/>
      <c r="H964" s="385" t="n"/>
      <c r="L964" s="385" t="n"/>
      <c r="M964" s="385" t="n"/>
      <c r="N964" s="385" t="n"/>
      <c r="O964" s="385" t="n"/>
    </row>
    <row r="965" ht="18" customHeight="1">
      <c r="A965" s="385" t="n"/>
      <c r="B965" s="385" t="n"/>
      <c r="H965" s="385" t="n"/>
      <c r="L965" s="385" t="n"/>
      <c r="M965" s="385" t="n"/>
      <c r="N965" s="385" t="n"/>
      <c r="O965" s="385" t="n"/>
    </row>
    <row r="966" ht="18" customHeight="1">
      <c r="A966" s="385" t="n"/>
      <c r="B966" s="385" t="n"/>
      <c r="H966" s="385" t="n"/>
      <c r="L966" s="385" t="n"/>
      <c r="M966" s="385" t="n"/>
      <c r="N966" s="385" t="n"/>
      <c r="O966" s="385" t="n"/>
    </row>
    <row r="967" ht="18" customHeight="1">
      <c r="A967" s="385" t="n"/>
      <c r="B967" s="385" t="n"/>
      <c r="H967" s="385" t="n"/>
      <c r="L967" s="385" t="n"/>
      <c r="M967" s="385" t="n"/>
      <c r="N967" s="385" t="n"/>
      <c r="O967" s="385" t="n"/>
    </row>
    <row r="968" ht="18" customHeight="1">
      <c r="A968" s="385" t="n"/>
      <c r="B968" s="385" t="n"/>
      <c r="H968" s="385" t="n"/>
      <c r="L968" s="385" t="n"/>
      <c r="M968" s="385" t="n"/>
      <c r="N968" s="385" t="n"/>
      <c r="O968" s="385" t="n"/>
    </row>
    <row r="969" ht="18" customHeight="1">
      <c r="A969" s="385" t="n"/>
      <c r="B969" s="385" t="n"/>
      <c r="H969" s="385" t="n"/>
      <c r="L969" s="385" t="n"/>
      <c r="M969" s="385" t="n"/>
      <c r="N969" s="385" t="n"/>
      <c r="O969" s="385" t="n"/>
    </row>
    <row r="970" ht="18" customHeight="1">
      <c r="A970" s="385" t="n"/>
      <c r="B970" s="385" t="n"/>
      <c r="H970" s="385" t="n"/>
      <c r="L970" s="385" t="n"/>
      <c r="M970" s="385" t="n"/>
      <c r="N970" s="385" t="n"/>
      <c r="O970" s="385" t="n"/>
    </row>
    <row r="971" ht="18" customHeight="1">
      <c r="A971" s="385" t="n"/>
      <c r="B971" s="385" t="n"/>
      <c r="H971" s="385" t="n"/>
      <c r="L971" s="385" t="n"/>
      <c r="M971" s="385" t="n"/>
      <c r="N971" s="385" t="n"/>
      <c r="O971" s="385" t="n"/>
    </row>
    <row r="972" ht="18" customHeight="1">
      <c r="A972" s="385" t="n"/>
      <c r="B972" s="385" t="n"/>
      <c r="H972" s="385" t="n"/>
      <c r="L972" s="385" t="n"/>
      <c r="M972" s="385" t="n"/>
      <c r="N972" s="385" t="n"/>
      <c r="O972" s="385" t="n"/>
    </row>
    <row r="973" ht="18" customHeight="1">
      <c r="A973" s="385" t="n"/>
      <c r="B973" s="385" t="n"/>
      <c r="H973" s="385" t="n"/>
      <c r="L973" s="385" t="n"/>
      <c r="M973" s="385" t="n"/>
      <c r="N973" s="385" t="n"/>
      <c r="O973" s="385" t="n"/>
    </row>
    <row r="974" ht="18" customHeight="1">
      <c r="A974" s="385" t="n"/>
      <c r="B974" s="385" t="n"/>
      <c r="H974" s="385" t="n"/>
      <c r="L974" s="385" t="n"/>
      <c r="M974" s="385" t="n"/>
      <c r="N974" s="385" t="n"/>
      <c r="O974" s="385" t="n"/>
    </row>
    <row r="975" ht="18" customHeight="1">
      <c r="A975" s="385" t="n"/>
      <c r="B975" s="385" t="n"/>
      <c r="H975" s="385" t="n"/>
      <c r="L975" s="385" t="n"/>
      <c r="M975" s="385" t="n"/>
      <c r="N975" s="385" t="n"/>
      <c r="O975" s="385" t="n"/>
    </row>
    <row r="976" ht="18" customHeight="1">
      <c r="A976" s="385" t="n"/>
      <c r="B976" s="385" t="n"/>
      <c r="H976" s="385" t="n"/>
      <c r="L976" s="385" t="n"/>
      <c r="M976" s="385" t="n"/>
      <c r="N976" s="385" t="n"/>
      <c r="O976" s="385" t="n"/>
    </row>
    <row r="977" ht="18" customHeight="1">
      <c r="A977" s="385" t="n"/>
      <c r="B977" s="385" t="n"/>
      <c r="H977" s="385" t="n"/>
      <c r="L977" s="385" t="n"/>
      <c r="M977" s="385" t="n"/>
      <c r="N977" s="385" t="n"/>
      <c r="O977" s="385" t="n"/>
    </row>
    <row r="978" ht="18" customHeight="1">
      <c r="A978" s="385" t="n"/>
      <c r="B978" s="385" t="n"/>
      <c r="H978" s="385" t="n"/>
      <c r="L978" s="385" t="n"/>
      <c r="M978" s="385" t="n"/>
      <c r="N978" s="385" t="n"/>
      <c r="O978" s="385" t="n"/>
    </row>
    <row r="979" ht="18" customHeight="1">
      <c r="A979" s="385" t="n"/>
      <c r="B979" s="385" t="n"/>
      <c r="H979" s="385" t="n"/>
      <c r="L979" s="385" t="n"/>
      <c r="M979" s="385" t="n"/>
      <c r="N979" s="385" t="n"/>
      <c r="O979" s="385" t="n"/>
    </row>
    <row r="980" ht="18" customHeight="1">
      <c r="A980" s="385" t="n"/>
      <c r="B980" s="385" t="n"/>
      <c r="H980" s="385" t="n"/>
      <c r="L980" s="385" t="n"/>
      <c r="M980" s="385" t="n"/>
      <c r="N980" s="385" t="n"/>
      <c r="O980" s="385" t="n"/>
    </row>
    <row r="981" ht="18" customHeight="1">
      <c r="A981" s="385" t="n"/>
      <c r="B981" s="385" t="n"/>
      <c r="H981" s="385" t="n"/>
      <c r="L981" s="385" t="n"/>
      <c r="M981" s="385" t="n"/>
      <c r="N981" s="385" t="n"/>
      <c r="O981" s="385" t="n"/>
    </row>
    <row r="982" ht="18" customHeight="1">
      <c r="A982" s="385" t="n"/>
      <c r="B982" s="385" t="n"/>
      <c r="H982" s="385" t="n"/>
      <c r="L982" s="385" t="n"/>
      <c r="M982" s="385" t="n"/>
      <c r="N982" s="385" t="n"/>
      <c r="O982" s="385" t="n"/>
    </row>
    <row r="983" ht="18" customHeight="1">
      <c r="A983" s="385" t="n"/>
      <c r="B983" s="385" t="n"/>
      <c r="H983" s="385" t="n"/>
      <c r="L983" s="385" t="n"/>
      <c r="M983" s="385" t="n"/>
      <c r="N983" s="385" t="n"/>
      <c r="O983" s="385" t="n"/>
    </row>
    <row r="984" ht="18" customHeight="1">
      <c r="A984" s="385" t="n"/>
      <c r="B984" s="385" t="n"/>
      <c r="H984" s="385" t="n"/>
      <c r="L984" s="385" t="n"/>
      <c r="M984" s="385" t="n"/>
      <c r="N984" s="385" t="n"/>
      <c r="O984" s="385" t="n"/>
    </row>
    <row r="985" ht="18" customHeight="1">
      <c r="A985" s="385" t="n"/>
      <c r="B985" s="385" t="n"/>
      <c r="H985" s="385" t="n"/>
      <c r="L985" s="385" t="n"/>
      <c r="M985" s="385" t="n"/>
      <c r="N985" s="385" t="n"/>
      <c r="O985" s="385" t="n"/>
    </row>
    <row r="986" ht="18" customHeight="1">
      <c r="A986" s="385" t="n"/>
      <c r="B986" s="385" t="n"/>
      <c r="H986" s="385" t="n"/>
      <c r="L986" s="385" t="n"/>
      <c r="M986" s="385" t="n"/>
      <c r="N986" s="385" t="n"/>
      <c r="O986" s="385" t="n"/>
    </row>
    <row r="987" ht="18" customHeight="1">
      <c r="A987" s="385" t="n"/>
      <c r="B987" s="385" t="n"/>
      <c r="H987" s="385" t="n"/>
      <c r="L987" s="385" t="n"/>
      <c r="M987" s="385" t="n"/>
      <c r="N987" s="385" t="n"/>
      <c r="O987" s="385" t="n"/>
    </row>
    <row r="988" ht="18" customHeight="1">
      <c r="A988" s="385" t="n"/>
      <c r="B988" s="385" t="n"/>
      <c r="H988" s="385" t="n"/>
      <c r="L988" s="385" t="n"/>
      <c r="M988" s="385" t="n"/>
      <c r="N988" s="385" t="n"/>
      <c r="O988" s="385" t="n"/>
    </row>
    <row r="989" ht="18" customHeight="1">
      <c r="A989" s="385" t="n"/>
      <c r="B989" s="385" t="n"/>
      <c r="H989" s="385" t="n"/>
      <c r="L989" s="385" t="n"/>
      <c r="M989" s="385" t="n"/>
      <c r="N989" s="385" t="n"/>
      <c r="O989" s="385" t="n"/>
    </row>
    <row r="990" ht="18" customHeight="1">
      <c r="A990" s="385" t="n"/>
      <c r="B990" s="385" t="n"/>
      <c r="H990" s="385" t="n"/>
      <c r="L990" s="385" t="n"/>
      <c r="M990" s="385" t="n"/>
      <c r="N990" s="385" t="n"/>
      <c r="O990" s="385" t="n"/>
    </row>
    <row r="991" ht="18" customHeight="1">
      <c r="A991" s="385" t="n"/>
      <c r="B991" s="385" t="n"/>
      <c r="H991" s="385" t="n"/>
      <c r="L991" s="385" t="n"/>
      <c r="M991" s="385" t="n"/>
      <c r="N991" s="385" t="n"/>
      <c r="O991" s="385" t="n"/>
    </row>
    <row r="992" ht="18" customHeight="1">
      <c r="A992" s="385" t="n"/>
      <c r="B992" s="385" t="n"/>
      <c r="H992" s="385" t="n"/>
      <c r="L992" s="385" t="n"/>
      <c r="M992" s="385" t="n"/>
      <c r="N992" s="385" t="n"/>
      <c r="O992" s="385" t="n"/>
    </row>
    <row r="993" ht="18" customHeight="1">
      <c r="A993" s="385" t="n"/>
      <c r="B993" s="385" t="n"/>
      <c r="H993" s="385" t="n"/>
      <c r="L993" s="385" t="n"/>
      <c r="M993" s="385" t="n"/>
      <c r="N993" s="385" t="n"/>
      <c r="O993" s="385" t="n"/>
    </row>
    <row r="994" ht="18" customHeight="1">
      <c r="A994" s="385" t="n"/>
      <c r="B994" s="385" t="n"/>
      <c r="H994" s="385" t="n"/>
      <c r="L994" s="385" t="n"/>
      <c r="M994" s="385" t="n"/>
      <c r="N994" s="385" t="n"/>
      <c r="O994" s="385" t="n"/>
    </row>
    <row r="995" ht="18" customHeight="1">
      <c r="A995" s="385" t="n"/>
      <c r="B995" s="385" t="n"/>
      <c r="H995" s="385" t="n"/>
      <c r="L995" s="385" t="n"/>
      <c r="M995" s="385" t="n"/>
      <c r="N995" s="385" t="n"/>
      <c r="O995" s="385" t="n"/>
    </row>
    <row r="996" ht="18" customHeight="1">
      <c r="A996" s="385" t="n"/>
      <c r="B996" s="385" t="n"/>
      <c r="H996" s="385" t="n"/>
      <c r="L996" s="385" t="n"/>
      <c r="M996" s="385" t="n"/>
      <c r="N996" s="385" t="n"/>
      <c r="O996" s="385" t="n"/>
    </row>
    <row r="997" ht="18" customHeight="1">
      <c r="A997" s="385" t="n"/>
      <c r="B997" s="385" t="n"/>
      <c r="H997" s="385" t="n"/>
      <c r="L997" s="385" t="n"/>
      <c r="M997" s="385" t="n"/>
      <c r="N997" s="385" t="n"/>
      <c r="O997" s="385" t="n"/>
    </row>
    <row r="998" ht="18" customHeight="1">
      <c r="A998" s="385" t="n"/>
      <c r="B998" s="385" t="n"/>
      <c r="H998" s="385" t="n"/>
      <c r="L998" s="385" t="n"/>
      <c r="M998" s="385" t="n"/>
      <c r="N998" s="385" t="n"/>
      <c r="O998" s="385" t="n"/>
    </row>
    <row r="999" ht="18" customHeight="1">
      <c r="A999" s="385" t="n"/>
      <c r="B999" s="385" t="n"/>
      <c r="H999" s="385" t="n"/>
      <c r="L999" s="385" t="n"/>
      <c r="M999" s="385" t="n"/>
      <c r="N999" s="385" t="n"/>
      <c r="O999" s="385" t="n"/>
    </row>
    <row r="1000" ht="18" customHeight="1">
      <c r="A1000" s="385" t="n"/>
      <c r="B1000" s="385" t="n"/>
      <c r="H1000" s="385" t="n"/>
      <c r="L1000" s="385" t="n"/>
      <c r="M1000" s="385" t="n"/>
      <c r="N1000" s="385" t="n"/>
      <c r="O1000" s="385" t="n"/>
    </row>
    <row r="1001" ht="18" customHeight="1">
      <c r="A1001" s="385" t="n"/>
      <c r="B1001" s="385" t="n"/>
      <c r="H1001" s="385" t="n"/>
      <c r="L1001" s="385" t="n"/>
      <c r="M1001" s="385" t="n"/>
      <c r="N1001" s="385" t="n"/>
      <c r="O1001" s="385" t="n"/>
    </row>
    <row r="1002" ht="18" customHeight="1">
      <c r="A1002" s="385" t="n"/>
      <c r="B1002" s="385" t="n"/>
      <c r="H1002" s="385" t="n"/>
      <c r="L1002" s="385" t="n"/>
      <c r="M1002" s="385" t="n"/>
      <c r="N1002" s="385" t="n"/>
      <c r="O1002" s="385" t="n"/>
    </row>
    <row r="1003" ht="18" customHeight="1">
      <c r="A1003" s="385" t="n"/>
      <c r="B1003" s="385" t="n"/>
      <c r="H1003" s="385" t="n"/>
      <c r="L1003" s="385" t="n"/>
      <c r="M1003" s="385" t="n"/>
      <c r="N1003" s="385" t="n"/>
      <c r="O1003" s="385" t="n"/>
    </row>
  </sheetData>
  <mergeCells count="41">
    <mergeCell ref="H495:I495"/>
    <mergeCell ref="A2:A4"/>
    <mergeCell ref="A495:D495"/>
    <mergeCell ref="C2:C4"/>
    <mergeCell ref="K2:K4"/>
    <mergeCell ref="A494:D494"/>
    <mergeCell ref="A491:D491"/>
    <mergeCell ref="O2:O4"/>
    <mergeCell ref="A1:K1"/>
    <mergeCell ref="H491:I491"/>
    <mergeCell ref="H487:I487"/>
    <mergeCell ref="A490:D490"/>
    <mergeCell ref="J2:J4"/>
    <mergeCell ref="L2:L4"/>
    <mergeCell ref="H496:I496"/>
    <mergeCell ref="A496:D496"/>
    <mergeCell ref="I2:I4"/>
    <mergeCell ref="A492:D492"/>
    <mergeCell ref="H488:I488"/>
    <mergeCell ref="A486:D486"/>
    <mergeCell ref="H498:I498"/>
    <mergeCell ref="A488:D488"/>
    <mergeCell ref="H492:I492"/>
    <mergeCell ref="G2:G4"/>
    <mergeCell ref="A498:D498"/>
    <mergeCell ref="H486:I486"/>
    <mergeCell ref="M2:M4"/>
    <mergeCell ref="B2:B4"/>
    <mergeCell ref="D2:D4"/>
    <mergeCell ref="H494:I494"/>
    <mergeCell ref="A497:D497"/>
    <mergeCell ref="A493:D493"/>
    <mergeCell ref="A487:D487"/>
    <mergeCell ref="F2:F4"/>
    <mergeCell ref="H493:I493"/>
    <mergeCell ref="H2:H4"/>
    <mergeCell ref="N2:N4"/>
    <mergeCell ref="H489:I489"/>
    <mergeCell ref="H490:I490"/>
    <mergeCell ref="E2:E4"/>
    <mergeCell ref="A489:D489"/>
  </mergeCells>
  <hyperlinks>
    <hyperlink xmlns:r="http://schemas.openxmlformats.org/officeDocument/2006/relationships" ref="I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S1002"/>
  <sheetViews>
    <sheetView topLeftCell="I1" workbookViewId="0">
      <selection activeCell="O18" sqref="O18"/>
    </sheetView>
  </sheetViews>
  <sheetFormatPr baseColWidth="8" defaultColWidth="14.3984375" defaultRowHeight="15" customHeight="1"/>
  <cols>
    <col width="11.296875" bestFit="1" customWidth="1" min="1" max="1"/>
    <col width="11.59765625" customWidth="1" min="2" max="2"/>
    <col width="19.59765625" customWidth="1" min="3" max="3"/>
    <col width="19.8984375" customWidth="1" min="4" max="4"/>
    <col width="19" customWidth="1" min="5" max="5"/>
    <col width="12" customWidth="1" style="557" min="6" max="6"/>
    <col width="12" customWidth="1" min="7" max="7"/>
    <col width="24.09765625" customWidth="1" min="8" max="8"/>
    <col width="20.09765625" customWidth="1" min="9" max="9"/>
    <col width="12" customWidth="1" min="10" max="10"/>
    <col width="17.59765625" customWidth="1" min="11" max="11"/>
    <col width="18.59765625" customWidth="1" min="12" max="12"/>
    <col width="20" customWidth="1" min="13" max="13"/>
    <col width="26.09765625" customWidth="1" min="14" max="14"/>
    <col width="19" customWidth="1" min="15" max="16"/>
    <col width="23.296875" customWidth="1" min="17" max="17"/>
  </cols>
  <sheetData>
    <row r="2" ht="52.8" customHeight="1">
      <c r="A2" s="1402" t="inlineStr">
        <is>
          <t>Invoice No.</t>
        </is>
      </c>
      <c r="B2" s="1402" t="inlineStr">
        <is>
          <t>Date</t>
        </is>
      </c>
      <c r="C2" s="1402" t="inlineStr">
        <is>
          <t>ตำแหน่งที่ตั้งสถานที่รับตู้</t>
        </is>
      </c>
      <c r="D2" s="1402" t="inlineStr">
        <is>
          <t>ตำแหน่งที่ตั้งสถานที่คืนตู้</t>
        </is>
      </c>
      <c r="E2" s="1402" t="inlineStr">
        <is>
          <t>ระยะทางจากสถานที่รับตู้ - โรงงาน - สถานที่คืนตู้ (Km.)</t>
        </is>
      </c>
      <c r="F2" s="1402" t="inlineStr">
        <is>
          <t>หน่วย / km</t>
        </is>
      </c>
      <c r="G2" s="1405" t="inlineStr">
        <is>
          <t>ประเภทรถ</t>
        </is>
      </c>
      <c r="H2" s="1402" t="inlineStr">
        <is>
          <t xml:space="preserve">Port </t>
        </is>
      </c>
      <c r="I2" s="1404" t="inlineStr">
        <is>
          <t>ระยะทาง ( LAEM - ท่าปลายทาง)</t>
        </is>
      </c>
      <c r="J2" s="1402" t="inlineStr">
        <is>
          <t>หน่วย / km</t>
        </is>
      </c>
      <c r="K2" s="1402" t="inlineStr">
        <is>
          <t>TARE WEIGHT (น้ำหนักตู้ container)</t>
        </is>
      </c>
      <c r="L2" s="1402" t="inlineStr">
        <is>
          <t>ค่า(Verified Gross Mass-TARE WEIGHT )</t>
        </is>
      </c>
      <c r="M2" s="1405" t="inlineStr">
        <is>
          <t xml:space="preserve"> Verified Gross Mass</t>
        </is>
      </c>
      <c r="N2" s="1402" t="inlineStr">
        <is>
          <t>น้ำหนักสินค้าอย่างเดียว(N.W.) (kg)</t>
        </is>
      </c>
      <c r="O2" s="1406" t="inlineStr">
        <is>
          <t>รถตู้บรรทุกพ่วง 18 ล้อ วิ่งปกติ</t>
        </is>
      </c>
      <c r="P2" s="1416" t="n"/>
      <c r="Q2" s="692" t="inlineStr">
        <is>
          <t>เรือบรรทุก container</t>
        </is>
      </c>
    </row>
    <row r="3" ht="21" customHeight="1">
      <c r="A3" s="1417" t="n"/>
      <c r="B3" s="1417" t="n"/>
      <c r="C3" s="1417" t="n"/>
      <c r="D3" s="1417" t="n"/>
      <c r="E3" s="1417" t="n"/>
      <c r="F3" s="1417" t="n"/>
      <c r="G3" s="1417" t="n"/>
      <c r="H3" s="1417" t="n"/>
      <c r="I3" s="1417" t="n"/>
      <c r="J3" s="1417" t="n"/>
      <c r="K3" s="1417" t="n"/>
      <c r="L3" s="1417" t="n"/>
      <c r="M3" s="1417" t="n"/>
      <c r="N3" s="1417" t="n"/>
      <c r="O3" s="1406" t="inlineStr">
        <is>
          <t>tkm</t>
        </is>
      </c>
      <c r="P3" s="1406" t="inlineStr">
        <is>
          <t>km</t>
        </is>
      </c>
      <c r="Q3" s="690" t="inlineStr">
        <is>
          <t>tkm</t>
        </is>
      </c>
    </row>
    <row r="4" ht="21" customHeight="1">
      <c r="A4" s="1403" t="n"/>
      <c r="B4" s="1415" t="n"/>
      <c r="C4" s="1415" t="n"/>
      <c r="D4" s="1416" t="n"/>
      <c r="E4" s="1756" t="n"/>
      <c r="F4" s="694" t="n"/>
      <c r="G4" s="1403" t="n"/>
      <c r="H4" s="1416" t="n"/>
      <c r="I4" s="1756" t="n"/>
      <c r="J4" s="695" t="n"/>
      <c r="K4" s="1401" t="n"/>
      <c r="L4" s="1415" t="n"/>
      <c r="M4" s="1416" t="n"/>
      <c r="N4" s="1756">
        <f>SUM(N5:N867)</f>
        <v/>
      </c>
      <c r="O4" s="1757">
        <f>SUM(O5:O867)</f>
        <v/>
      </c>
      <c r="P4" s="1757">
        <f>SUM(P5:P867)</f>
        <v/>
      </c>
      <c r="Q4" s="1757">
        <f>SUM(Q5:Q867)</f>
        <v/>
      </c>
      <c r="S4" s="1758" t="n"/>
    </row>
    <row r="5" ht="13.8" customHeight="1">
      <c r="A5" s="698" t="inlineStr">
        <is>
          <t>FO23010001</t>
        </is>
      </c>
      <c r="B5" s="699" t="n">
        <v>44930</v>
      </c>
      <c r="C5" s="698" t="inlineStr">
        <is>
          <t>มัลติแบกซ์</t>
        </is>
      </c>
      <c r="D5" s="698" t="inlineStr">
        <is>
          <t>ท่าเรือแหลมฉบัง</t>
        </is>
      </c>
      <c r="E5" s="700" t="n">
        <v>6.2</v>
      </c>
      <c r="F5" s="698" t="inlineStr">
        <is>
          <t>Km</t>
        </is>
      </c>
      <c r="G5" s="701" t="inlineStr">
        <is>
          <t>รถเทรลเลอร์</t>
        </is>
      </c>
      <c r="H5" s="698" t="inlineStr">
        <is>
          <t>SINGAPORE</t>
        </is>
      </c>
      <c r="I5" s="702" t="n">
        <v>1931</v>
      </c>
      <c r="J5" s="703" t="inlineStr">
        <is>
          <t>Km</t>
        </is>
      </c>
      <c r="K5" s="704" t="n">
        <v>2235.52</v>
      </c>
      <c r="L5" s="1759">
        <f>M5-K5</f>
        <v/>
      </c>
      <c r="M5" s="1760" t="n">
        <v>3364.48</v>
      </c>
      <c r="N5" s="1761" t="n">
        <v>2235.52</v>
      </c>
      <c r="O5" s="1762">
        <f>N5*E5/1000</f>
        <v/>
      </c>
      <c r="P5" s="1763">
        <f>O5/32</f>
        <v/>
      </c>
      <c r="Q5" s="1764">
        <f>N5*I5/1000</f>
        <v/>
      </c>
    </row>
    <row r="6" ht="13.8" customHeight="1">
      <c r="A6" s="710" t="inlineStr">
        <is>
          <t>FO23010002</t>
        </is>
      </c>
      <c r="B6" s="711" t="n">
        <v>44930</v>
      </c>
      <c r="C6" s="710" t="inlineStr">
        <is>
          <t>มัลติแบกซ์</t>
        </is>
      </c>
      <c r="D6" s="710" t="inlineStr">
        <is>
          <t>ท่าเรือแหลมฉบัง</t>
        </is>
      </c>
      <c r="E6" s="712" t="n">
        <v>6.2</v>
      </c>
      <c r="F6" s="710" t="inlineStr">
        <is>
          <t>Km</t>
        </is>
      </c>
      <c r="G6" s="713" t="inlineStr">
        <is>
          <t>รถเทรลเลอร์</t>
        </is>
      </c>
      <c r="H6" s="710" t="inlineStr">
        <is>
          <t>SINGAPORE</t>
        </is>
      </c>
      <c r="I6" s="714" t="n">
        <v>1931</v>
      </c>
      <c r="J6" s="715" t="inlineStr">
        <is>
          <t>Km</t>
        </is>
      </c>
      <c r="K6" s="716" t="n">
        <v>3128.1</v>
      </c>
      <c r="L6" s="1765">
        <f>M6-K6</f>
        <v/>
      </c>
      <c r="M6" s="1766" t="n">
        <v>4564.3</v>
      </c>
      <c r="N6" s="1767" t="n">
        <v>3128.1</v>
      </c>
      <c r="O6" s="1762">
        <f>N6*E6/1000</f>
        <v/>
      </c>
      <c r="P6" s="1763">
        <f>O6/32</f>
        <v/>
      </c>
      <c r="Q6" s="1764">
        <f>N6*I6/1000</f>
        <v/>
      </c>
    </row>
    <row r="7" ht="13.8" customHeight="1">
      <c r="A7" s="719" t="inlineStr">
        <is>
          <t>FO23010003</t>
        </is>
      </c>
      <c r="B7" s="720" t="n">
        <v>44932</v>
      </c>
      <c r="C7" s="721" t="inlineStr">
        <is>
          <t>มัลติแบกซ์</t>
        </is>
      </c>
      <c r="D7" s="721" t="inlineStr">
        <is>
          <t>ท่าเรือแหลมฉบัง</t>
        </is>
      </c>
      <c r="E7" s="722" t="n">
        <v>6.5</v>
      </c>
      <c r="F7" s="719" t="inlineStr">
        <is>
          <t>Km</t>
        </is>
      </c>
      <c r="G7" s="723" t="inlineStr">
        <is>
          <t>รถเทรลเลอร์</t>
        </is>
      </c>
      <c r="H7" s="719" t="inlineStr">
        <is>
          <t>ROTTERDAM, NETHERLANDS</t>
        </is>
      </c>
      <c r="I7" s="724" t="n">
        <v>9292</v>
      </c>
      <c r="J7" s="723" t="inlineStr">
        <is>
          <t>Km</t>
        </is>
      </c>
      <c r="K7" s="725" t="n">
        <v>2100</v>
      </c>
      <c r="L7" s="1768">
        <f>M7-K7</f>
        <v/>
      </c>
      <c r="M7" s="1769" t="n">
        <v>16905</v>
      </c>
      <c r="N7" s="1761" t="n">
        <v>14226.6</v>
      </c>
      <c r="O7" s="1762">
        <f>N7*E7/1000</f>
        <v/>
      </c>
      <c r="P7" s="1763">
        <f>O7/32</f>
        <v/>
      </c>
      <c r="Q7" s="1764">
        <f>N7*I7/1000</f>
        <v/>
      </c>
    </row>
    <row r="8" ht="13.8" customHeight="1">
      <c r="A8" s="728" t="inlineStr">
        <is>
          <t>FO23010004</t>
        </is>
      </c>
      <c r="B8" s="729" t="n">
        <v>44932</v>
      </c>
      <c r="C8" s="730" t="inlineStr">
        <is>
          <t>มัลติแบกซ์</t>
        </is>
      </c>
      <c r="D8" s="730" t="inlineStr">
        <is>
          <t>ท่าเรือแหลมฉบัง</t>
        </is>
      </c>
      <c r="E8" s="731" t="n">
        <v>6.5</v>
      </c>
      <c r="F8" s="728" t="inlineStr">
        <is>
          <t>Km</t>
        </is>
      </c>
      <c r="G8" s="732" t="inlineStr">
        <is>
          <t>รถเทรลเลอร์</t>
        </is>
      </c>
      <c r="H8" s="728" t="inlineStr">
        <is>
          <t>HORSENS, DENMARK</t>
        </is>
      </c>
      <c r="I8" s="733" t="n">
        <v>8839</v>
      </c>
      <c r="J8" s="732" t="inlineStr">
        <is>
          <t>Km</t>
        </is>
      </c>
      <c r="K8" s="734" t="n">
        <v>3700</v>
      </c>
      <c r="L8" s="1770">
        <f>M8-K8</f>
        <v/>
      </c>
      <c r="M8" s="1771" t="n">
        <v>17294</v>
      </c>
      <c r="N8" s="1772" t="n">
        <v>10091</v>
      </c>
      <c r="O8" s="1762">
        <f>N8*E8/1000</f>
        <v/>
      </c>
      <c r="P8" s="1763">
        <f>O8/32</f>
        <v/>
      </c>
      <c r="Q8" s="1764">
        <f>N8*I8/1000</f>
        <v/>
      </c>
    </row>
    <row r="9" ht="13.8" customHeight="1">
      <c r="A9" s="719" t="inlineStr">
        <is>
          <t>FO23010005</t>
        </is>
      </c>
      <c r="B9" s="720" t="n">
        <v>44933</v>
      </c>
      <c r="C9" s="721" t="inlineStr">
        <is>
          <t>มัลติแบกซ์</t>
        </is>
      </c>
      <c r="D9" s="721" t="inlineStr">
        <is>
          <t>ท่าเรือแหลมฉบัง</t>
        </is>
      </c>
      <c r="E9" s="722" t="n">
        <v>6.5</v>
      </c>
      <c r="F9" s="719" t="inlineStr">
        <is>
          <t>Km</t>
        </is>
      </c>
      <c r="G9" s="723" t="inlineStr">
        <is>
          <t>รถเทรลเลอร์</t>
        </is>
      </c>
      <c r="H9" s="719" t="inlineStr">
        <is>
          <t>HAMBURG, GERMANY</t>
        </is>
      </c>
      <c r="I9" s="724" t="n">
        <v>8894</v>
      </c>
      <c r="J9" s="723" t="inlineStr">
        <is>
          <t>Km</t>
        </is>
      </c>
      <c r="K9" s="725" t="n">
        <v>2100</v>
      </c>
      <c r="L9" s="1768">
        <f>M9-K9</f>
        <v/>
      </c>
      <c r="M9" s="1769" t="n">
        <v>16636.3</v>
      </c>
      <c r="N9" s="1773" t="n">
        <v>13727</v>
      </c>
      <c r="O9" s="1762">
        <f>N9*E9/1000</f>
        <v/>
      </c>
      <c r="P9" s="1763">
        <f>O9/32</f>
        <v/>
      </c>
      <c r="Q9" s="1764">
        <f>N9*I9/1000</f>
        <v/>
      </c>
    </row>
    <row r="10" ht="13.8" customHeight="1">
      <c r="A10" s="728" t="inlineStr">
        <is>
          <t>FO23010006</t>
        </is>
      </c>
      <c r="B10" s="729" t="n">
        <v>44931</v>
      </c>
      <c r="C10" s="730" t="inlineStr">
        <is>
          <t>มัลติแบกซ์</t>
        </is>
      </c>
      <c r="D10" s="730" t="inlineStr">
        <is>
          <t>ท่าเรือแหลมฉบัง</t>
        </is>
      </c>
      <c r="E10" s="731" t="n">
        <v>11.9</v>
      </c>
      <c r="F10" s="728" t="inlineStr">
        <is>
          <t>Km</t>
        </is>
      </c>
      <c r="G10" s="732" t="inlineStr">
        <is>
          <t>รถเทรลเลอร์</t>
        </is>
      </c>
      <c r="H10" s="728" t="inlineStr">
        <is>
          <t>HONG KONG</t>
        </is>
      </c>
      <c r="I10" s="733" t="n">
        <v>1734</v>
      </c>
      <c r="J10" s="732" t="inlineStr">
        <is>
          <t>Km</t>
        </is>
      </c>
      <c r="K10" s="734" t="n">
        <v>3600</v>
      </c>
      <c r="L10" s="1770">
        <f>M10-K10</f>
        <v/>
      </c>
      <c r="M10" s="1771" t="n">
        <v>14941.5</v>
      </c>
      <c r="N10" s="1772" t="n">
        <v>8580.5</v>
      </c>
      <c r="O10" s="1762">
        <f>N10*E10/1000</f>
        <v/>
      </c>
      <c r="P10" s="1763">
        <f>O10/32</f>
        <v/>
      </c>
      <c r="Q10" s="1764">
        <f>N10*I10/1000</f>
        <v/>
      </c>
    </row>
    <row r="11" ht="13.8" customHeight="1">
      <c r="A11" s="719" t="inlineStr">
        <is>
          <t>FO23010007</t>
        </is>
      </c>
      <c r="B11" s="720" t="n">
        <v>44932</v>
      </c>
      <c r="C11" s="721" t="inlineStr">
        <is>
          <t>มัลติแบกซ์</t>
        </is>
      </c>
      <c r="D11" s="721" t="inlineStr">
        <is>
          <t>ท่าเรือแหลมฉบัง</t>
        </is>
      </c>
      <c r="E11" s="722" t="n">
        <v>6.2</v>
      </c>
      <c r="F11" s="719" t="inlineStr">
        <is>
          <t>Km</t>
        </is>
      </c>
      <c r="G11" s="723" t="inlineStr">
        <is>
          <t>รถเทรลเลอร์</t>
        </is>
      </c>
      <c r="H11" s="719" t="inlineStr">
        <is>
          <t>JACKSONVILLE IL, USA</t>
        </is>
      </c>
      <c r="I11" s="724" t="n">
        <v>15168</v>
      </c>
      <c r="J11" s="723" t="inlineStr">
        <is>
          <t>Km</t>
        </is>
      </c>
      <c r="K11" s="725" t="n">
        <v>3700</v>
      </c>
      <c r="L11" s="1768">
        <f>M11-K11</f>
        <v/>
      </c>
      <c r="M11" s="1769" t="n">
        <v>22340.6</v>
      </c>
      <c r="N11" s="1773" t="n">
        <v>15321.6</v>
      </c>
      <c r="O11" s="1762">
        <f>N11*E11/1000</f>
        <v/>
      </c>
      <c r="P11" s="1763">
        <f>O11/32</f>
        <v/>
      </c>
      <c r="Q11" s="1764">
        <f>N11*I11/1000</f>
        <v/>
      </c>
    </row>
    <row r="12" ht="13.8" customHeight="1">
      <c r="A12" s="728" t="inlineStr">
        <is>
          <t>FO23010008</t>
        </is>
      </c>
      <c r="B12" s="729" t="n">
        <v>44932</v>
      </c>
      <c r="C12" s="730" t="inlineStr">
        <is>
          <t>มัลติแบกซ์</t>
        </is>
      </c>
      <c r="D12" s="730" t="inlineStr">
        <is>
          <t>ท่าเรือแหลมฉบัง</t>
        </is>
      </c>
      <c r="E12" s="731" t="n">
        <v>11.9</v>
      </c>
      <c r="F12" s="728" t="inlineStr">
        <is>
          <t>Km</t>
        </is>
      </c>
      <c r="G12" s="732" t="inlineStr">
        <is>
          <t>รถเทรลเลอร์</t>
        </is>
      </c>
      <c r="H12" s="728" t="inlineStr">
        <is>
          <t>JACKSONVILLE IL, USA</t>
        </is>
      </c>
      <c r="I12" s="733" t="n">
        <v>15168</v>
      </c>
      <c r="J12" s="732" t="inlineStr">
        <is>
          <t>Km</t>
        </is>
      </c>
      <c r="K12" s="734" t="n">
        <v>3800</v>
      </c>
      <c r="L12" s="1770">
        <f>M12-K12</f>
        <v/>
      </c>
      <c r="M12" s="1771" t="n">
        <v>23797.28</v>
      </c>
      <c r="N12" s="1772" t="n">
        <v>16872</v>
      </c>
      <c r="O12" s="1762">
        <f>N12*E12/1000</f>
        <v/>
      </c>
      <c r="P12" s="1763">
        <f>O12/32</f>
        <v/>
      </c>
      <c r="Q12" s="1764">
        <f>N12*I12/1000</f>
        <v/>
      </c>
    </row>
    <row r="13" ht="13.8" customHeight="1">
      <c r="A13" s="719" t="inlineStr">
        <is>
          <t>FO23010009</t>
        </is>
      </c>
      <c r="B13" s="720" t="n">
        <v>44932</v>
      </c>
      <c r="C13" s="721" t="inlineStr">
        <is>
          <t>มัลติแบกซ์</t>
        </is>
      </c>
      <c r="D13" s="721" t="inlineStr">
        <is>
          <t>ท่าเรือแหลมฉบัง</t>
        </is>
      </c>
      <c r="E13" s="722" t="n">
        <v>11.9</v>
      </c>
      <c r="F13" s="719" t="inlineStr">
        <is>
          <t>Km</t>
        </is>
      </c>
      <c r="G13" s="723" t="inlineStr">
        <is>
          <t>รถเทรลเลอร์</t>
        </is>
      </c>
      <c r="H13" s="719" t="inlineStr">
        <is>
          <t>JACKSONVILLE IL, USA</t>
        </is>
      </c>
      <c r="I13" s="724" t="n">
        <v>15168</v>
      </c>
      <c r="J13" s="723" t="inlineStr">
        <is>
          <t>Km</t>
        </is>
      </c>
      <c r="K13" s="725" t="n">
        <v>3570</v>
      </c>
      <c r="L13" s="1768">
        <f>M13-K13</f>
        <v/>
      </c>
      <c r="M13" s="1769" t="n">
        <v>22297</v>
      </c>
      <c r="N13" s="1773" t="n">
        <v>14962.5</v>
      </c>
      <c r="O13" s="1762">
        <f>N13*E13/1000</f>
        <v/>
      </c>
      <c r="P13" s="1763">
        <f>O13/32</f>
        <v/>
      </c>
      <c r="Q13" s="1764">
        <f>N13*I13/1000</f>
        <v/>
      </c>
    </row>
    <row r="14" ht="13.8" customHeight="1">
      <c r="A14" s="728" t="inlineStr">
        <is>
          <t>FO23010010</t>
        </is>
      </c>
      <c r="B14" s="729" t="n">
        <v>44936</v>
      </c>
      <c r="C14" s="730" t="inlineStr">
        <is>
          <t>มัลติแบกซ์</t>
        </is>
      </c>
      <c r="D14" s="730" t="inlineStr">
        <is>
          <t>ท่าเรือแหลมฉบัง</t>
        </is>
      </c>
      <c r="E14" s="731" t="n">
        <v>6.2</v>
      </c>
      <c r="F14" s="728" t="inlineStr">
        <is>
          <t>Km</t>
        </is>
      </c>
      <c r="G14" s="732" t="inlineStr">
        <is>
          <t>รถเทรลเลอร์</t>
        </is>
      </c>
      <c r="H14" s="728" t="inlineStr">
        <is>
          <t>JACKSONVILLE IL, USA</t>
        </is>
      </c>
      <c r="I14" s="733" t="n">
        <v>15168</v>
      </c>
      <c r="J14" s="732" t="inlineStr">
        <is>
          <t>Km</t>
        </is>
      </c>
      <c r="K14" s="734" t="n">
        <v>3830</v>
      </c>
      <c r="L14" s="1770">
        <f>M14-K14</f>
        <v/>
      </c>
      <c r="M14" s="1771" t="n">
        <v>20907</v>
      </c>
      <c r="N14" s="1772" t="n">
        <v>15333.35</v>
      </c>
      <c r="O14" s="1762">
        <f>N14*E14/1000</f>
        <v/>
      </c>
      <c r="P14" s="1763">
        <f>O14/32</f>
        <v/>
      </c>
      <c r="Q14" s="1764">
        <f>N14*I14/1000</f>
        <v/>
      </c>
    </row>
    <row r="15" ht="13.8" customHeight="1">
      <c r="A15" s="719" t="inlineStr">
        <is>
          <t>FO23010011</t>
        </is>
      </c>
      <c r="B15" s="720" t="n">
        <v>44936</v>
      </c>
      <c r="C15" s="721" t="inlineStr">
        <is>
          <t>มัลติแบกซ์</t>
        </is>
      </c>
      <c r="D15" s="721" t="inlineStr">
        <is>
          <t>ท่าเรือแหลมฉบัง</t>
        </is>
      </c>
      <c r="E15" s="722" t="n">
        <v>5.3</v>
      </c>
      <c r="F15" s="719" t="inlineStr">
        <is>
          <t>Km</t>
        </is>
      </c>
      <c r="G15" s="723" t="inlineStr">
        <is>
          <t>รถเทรลเลอร์</t>
        </is>
      </c>
      <c r="H15" s="719" t="inlineStr">
        <is>
          <t>HONG KONG</t>
        </is>
      </c>
      <c r="I15" s="724" t="n">
        <v>1734</v>
      </c>
      <c r="J15" s="723" t="inlineStr">
        <is>
          <t>Km</t>
        </is>
      </c>
      <c r="K15" s="725" t="n">
        <v>3820</v>
      </c>
      <c r="L15" s="1768">
        <f>M15-K15</f>
        <v/>
      </c>
      <c r="M15" s="1769" t="n">
        <v>15932.1</v>
      </c>
      <c r="N15" s="1773" t="n">
        <v>9365.799999999999</v>
      </c>
      <c r="O15" s="1762">
        <f>N15*E15/1000</f>
        <v/>
      </c>
      <c r="P15" s="1763">
        <f>O15/32</f>
        <v/>
      </c>
      <c r="Q15" s="1764">
        <f>N15*I15/1000</f>
        <v/>
      </c>
    </row>
    <row r="16" ht="13.8" customHeight="1">
      <c r="A16" s="728" t="inlineStr">
        <is>
          <t>FO23010012</t>
        </is>
      </c>
      <c r="B16" s="729" t="n">
        <v>44930</v>
      </c>
      <c r="C16" s="730" t="inlineStr">
        <is>
          <t>มัลติแบกซ์</t>
        </is>
      </c>
      <c r="D16" s="730" t="inlineStr">
        <is>
          <t>ท่าเรือแหลมฉบัง</t>
        </is>
      </c>
      <c r="E16" s="731" t="n">
        <v>6.2</v>
      </c>
      <c r="F16" s="728" t="inlineStr">
        <is>
          <t>Km</t>
        </is>
      </c>
      <c r="G16" s="732" t="inlineStr">
        <is>
          <t>รถเทรลเลอร์</t>
        </is>
      </c>
      <c r="H16" s="728" t="inlineStr">
        <is>
          <t>SANTA TERESA, NM USA</t>
        </is>
      </c>
      <c r="I16" s="733" t="n">
        <v>17387</v>
      </c>
      <c r="J16" s="732" t="inlineStr">
        <is>
          <t>Km</t>
        </is>
      </c>
      <c r="K16" s="734" t="n">
        <v>3800</v>
      </c>
      <c r="L16" s="1770">
        <f>M16-K16</f>
        <v/>
      </c>
      <c r="M16" s="1771" t="n">
        <v>21773.48</v>
      </c>
      <c r="N16" s="1772" t="n">
        <v>15759</v>
      </c>
      <c r="O16" s="1762">
        <f>N16*E16/1000</f>
        <v/>
      </c>
      <c r="P16" s="1763">
        <f>O16/32</f>
        <v/>
      </c>
      <c r="Q16" s="1764">
        <f>N16*I16/1000</f>
        <v/>
      </c>
    </row>
    <row r="17" ht="13.8" customHeight="1">
      <c r="A17" s="719" t="inlineStr">
        <is>
          <t>FO23010013</t>
        </is>
      </c>
      <c r="B17" s="720" t="n">
        <v>44930</v>
      </c>
      <c r="C17" s="721" t="inlineStr">
        <is>
          <t>มัลติแบกซ์</t>
        </is>
      </c>
      <c r="D17" s="721" t="inlineStr">
        <is>
          <t>ท่าเรือแหลมฉบัง</t>
        </is>
      </c>
      <c r="E17" s="722" t="n">
        <v>6.2</v>
      </c>
      <c r="F17" s="719" t="inlineStr">
        <is>
          <t>Km</t>
        </is>
      </c>
      <c r="G17" s="723" t="inlineStr">
        <is>
          <t>รถเทรลเลอร์</t>
        </is>
      </c>
      <c r="H17" s="719" t="inlineStr">
        <is>
          <t>SANTA TERESA, NM USA</t>
        </is>
      </c>
      <c r="I17" s="724" t="n">
        <v>17387</v>
      </c>
      <c r="J17" s="723" t="inlineStr">
        <is>
          <t>Km</t>
        </is>
      </c>
      <c r="K17" s="725" t="n">
        <v>3700</v>
      </c>
      <c r="L17" s="1768">
        <f>M17-K17</f>
        <v/>
      </c>
      <c r="M17" s="1769" t="n">
        <v>20999.64</v>
      </c>
      <c r="N17" s="1773" t="n">
        <v>15188.82</v>
      </c>
      <c r="O17" s="1762">
        <f>N17*E17/1000</f>
        <v/>
      </c>
      <c r="P17" s="1763">
        <f>O17/32</f>
        <v/>
      </c>
      <c r="Q17" s="1764">
        <f>N17*I17/1000</f>
        <v/>
      </c>
    </row>
    <row r="18" ht="13.8" customHeight="1">
      <c r="A18" s="728" t="inlineStr">
        <is>
          <t>FO23010014</t>
        </is>
      </c>
      <c r="B18" s="729" t="n">
        <v>44930</v>
      </c>
      <c r="C18" s="730" t="inlineStr">
        <is>
          <t>มัลติแบกซ์</t>
        </is>
      </c>
      <c r="D18" s="730" t="inlineStr">
        <is>
          <t>ท่าเรือแหลมฉบัง</t>
        </is>
      </c>
      <c r="E18" s="731" t="n">
        <v>6.2</v>
      </c>
      <c r="F18" s="730" t="inlineStr">
        <is>
          <t>Km</t>
        </is>
      </c>
      <c r="G18" s="732" t="inlineStr">
        <is>
          <t>รถเทรลเลอร์</t>
        </is>
      </c>
      <c r="H18" s="728" t="inlineStr">
        <is>
          <t>COLUMBUS OHIO, USA</t>
        </is>
      </c>
      <c r="I18" s="733" t="n">
        <v>14000</v>
      </c>
      <c r="J18" s="737" t="inlineStr">
        <is>
          <t>Km</t>
        </is>
      </c>
      <c r="K18" s="734" t="n">
        <v>3700</v>
      </c>
      <c r="L18" s="1770">
        <f>M18-K18</f>
        <v/>
      </c>
      <c r="M18" s="1771" t="n">
        <v>22002.63</v>
      </c>
      <c r="N18" s="1772" t="n">
        <v>15983.79</v>
      </c>
      <c r="O18" s="1762">
        <f>N18*E18/1000</f>
        <v/>
      </c>
      <c r="P18" s="1763">
        <f>O18/32</f>
        <v/>
      </c>
      <c r="Q18" s="1764">
        <f>N18*I18/1000</f>
        <v/>
      </c>
    </row>
    <row r="19" ht="13.8" customHeight="1">
      <c r="A19" s="719" t="inlineStr">
        <is>
          <t>FO23010015</t>
        </is>
      </c>
      <c r="B19" s="720" t="n">
        <v>44936</v>
      </c>
      <c r="C19" s="721" t="inlineStr">
        <is>
          <t>มัลติแบกซ์</t>
        </is>
      </c>
      <c r="D19" s="721" t="inlineStr">
        <is>
          <t>ท่าเรือแหลมฉบัง</t>
        </is>
      </c>
      <c r="E19" s="722" t="n">
        <v>6.2</v>
      </c>
      <c r="F19" s="719" t="inlineStr">
        <is>
          <t>Km</t>
        </is>
      </c>
      <c r="G19" s="723" t="inlineStr">
        <is>
          <t>รถเทรลเลอร์</t>
        </is>
      </c>
      <c r="H19" s="719" t="inlineStr">
        <is>
          <t>JACKSONVILLE IL, USA</t>
        </is>
      </c>
      <c r="I19" s="724" t="n">
        <v>15168</v>
      </c>
      <c r="J19" s="723" t="inlineStr">
        <is>
          <t>Km</t>
        </is>
      </c>
      <c r="K19" s="725" t="n">
        <v>3800</v>
      </c>
      <c r="L19" s="1768">
        <f>M19-K19</f>
        <v/>
      </c>
      <c r="M19" s="1769" t="n">
        <v>23797.28</v>
      </c>
      <c r="N19" s="1773" t="n">
        <v>16872</v>
      </c>
      <c r="O19" s="1762">
        <f>N19*E19/1000</f>
        <v/>
      </c>
      <c r="P19" s="1763">
        <f>O19/32</f>
        <v/>
      </c>
      <c r="Q19" s="1764">
        <f>N19*I19/1000</f>
        <v/>
      </c>
    </row>
    <row r="20" ht="13.8" customHeight="1">
      <c r="A20" s="728" t="inlineStr">
        <is>
          <t>FO23010016</t>
        </is>
      </c>
      <c r="B20" s="729" t="n">
        <v>44939</v>
      </c>
      <c r="C20" s="730" t="inlineStr">
        <is>
          <t>มัลติแบกซ์</t>
        </is>
      </c>
      <c r="D20" s="730" t="inlineStr">
        <is>
          <t>ท่าเรือแหลมฉบัง</t>
        </is>
      </c>
      <c r="E20" s="731" t="n">
        <v>7.1</v>
      </c>
      <c r="F20" s="728" t="inlineStr">
        <is>
          <t>Km</t>
        </is>
      </c>
      <c r="G20" s="732" t="inlineStr">
        <is>
          <t>รถเทรลเลอร์</t>
        </is>
      </c>
      <c r="H20" s="728" t="inlineStr">
        <is>
          <t>JACKSONVILLE IL, USA</t>
        </is>
      </c>
      <c r="I20" s="733" t="n">
        <v>15168</v>
      </c>
      <c r="J20" s="732" t="inlineStr">
        <is>
          <t>Km</t>
        </is>
      </c>
      <c r="K20" s="734" t="n">
        <v>3760</v>
      </c>
      <c r="L20" s="1770">
        <f>M20-K20</f>
        <v/>
      </c>
      <c r="M20" s="1771" t="n">
        <v>20897</v>
      </c>
      <c r="N20" s="1772" t="n">
        <v>13759.2</v>
      </c>
      <c r="O20" s="1762">
        <f>N20*E20/1000</f>
        <v/>
      </c>
      <c r="P20" s="1763">
        <f>O20/32</f>
        <v/>
      </c>
      <c r="Q20" s="1764">
        <f>N20*I20/1000</f>
        <v/>
      </c>
    </row>
    <row r="21" ht="13.8" customHeight="1">
      <c r="A21" s="719" t="inlineStr">
        <is>
          <t>FO23010017</t>
        </is>
      </c>
      <c r="B21" s="720" t="n">
        <v>44936</v>
      </c>
      <c r="C21" s="721" t="inlineStr">
        <is>
          <t>มัลติแบกซ์</t>
        </is>
      </c>
      <c r="D21" s="721" t="inlineStr">
        <is>
          <t>ท่าเรือแหลมฉบัง</t>
        </is>
      </c>
      <c r="E21" s="722" t="n">
        <v>6.2</v>
      </c>
      <c r="F21" s="719" t="inlineStr">
        <is>
          <t>Km</t>
        </is>
      </c>
      <c r="G21" s="723" t="inlineStr">
        <is>
          <t>รถเทรลเลอร์</t>
        </is>
      </c>
      <c r="H21" s="719" t="inlineStr">
        <is>
          <t>SOUTH BOSTON VA, USA</t>
        </is>
      </c>
      <c r="I21" s="724" t="n">
        <v>13787</v>
      </c>
      <c r="J21" s="723" t="inlineStr">
        <is>
          <t>Km</t>
        </is>
      </c>
      <c r="K21" s="725" t="n">
        <v>3300</v>
      </c>
      <c r="L21" s="1768">
        <f>M21-K21</f>
        <v/>
      </c>
      <c r="M21" s="1769" t="n">
        <v>18139</v>
      </c>
      <c r="N21" s="1773" t="n">
        <v>12511.2</v>
      </c>
      <c r="O21" s="1762">
        <f>N21*E21/1000</f>
        <v/>
      </c>
      <c r="P21" s="1763">
        <f>O21/32</f>
        <v/>
      </c>
      <c r="Q21" s="1764">
        <f>N21*I21/1000</f>
        <v/>
      </c>
    </row>
    <row r="22" ht="13.8" customHeight="1">
      <c r="A22" s="728" t="inlineStr">
        <is>
          <t>FO23010018</t>
        </is>
      </c>
      <c r="B22" s="729" t="n">
        <v>44931</v>
      </c>
      <c r="C22" s="730" t="inlineStr">
        <is>
          <t>มัลติแบกซ์</t>
        </is>
      </c>
      <c r="D22" s="730" t="inlineStr">
        <is>
          <t>ท่าเรือแหลมฉบัง</t>
        </is>
      </c>
      <c r="E22" s="731" t="n">
        <v>11.9</v>
      </c>
      <c r="F22" s="728" t="inlineStr">
        <is>
          <t>Km</t>
        </is>
      </c>
      <c r="G22" s="732" t="inlineStr">
        <is>
          <t>รถเทรลเลอร์</t>
        </is>
      </c>
      <c r="H22" s="728" t="inlineStr">
        <is>
          <t>SINGAPORE</t>
        </is>
      </c>
      <c r="I22" s="733" t="n">
        <v>1931</v>
      </c>
      <c r="J22" s="732" t="inlineStr">
        <is>
          <t>Km</t>
        </is>
      </c>
      <c r="K22" s="734" t="n">
        <v>4814</v>
      </c>
      <c r="L22" s="1770">
        <f>M22-K22</f>
        <v/>
      </c>
      <c r="M22" s="1771" t="n">
        <v>5663</v>
      </c>
      <c r="N22" s="1772" t="n">
        <v>4814</v>
      </c>
      <c r="O22" s="1762">
        <f>N22*E22/1000</f>
        <v/>
      </c>
      <c r="P22" s="1763">
        <f>O22/32</f>
        <v/>
      </c>
      <c r="Q22" s="1764">
        <f>N22*I22/1000</f>
        <v/>
      </c>
    </row>
    <row r="23" ht="15.75" customHeight="1">
      <c r="A23" s="719" t="inlineStr">
        <is>
          <t>FO23010019</t>
        </is>
      </c>
      <c r="B23" s="720" t="n">
        <v>44935</v>
      </c>
      <c r="C23" s="721" t="inlineStr">
        <is>
          <t>มัลติแบกซ์</t>
        </is>
      </c>
      <c r="D23" s="721" t="inlineStr">
        <is>
          <t>ท่าเรือแหลมฉบัง</t>
        </is>
      </c>
      <c r="E23" s="722" t="n">
        <v>5.2</v>
      </c>
      <c r="F23" s="719" t="inlineStr">
        <is>
          <t>Km</t>
        </is>
      </c>
      <c r="G23" s="723" t="inlineStr">
        <is>
          <t>รถเทรลเลอร์</t>
        </is>
      </c>
      <c r="H23" s="719" t="inlineStr">
        <is>
          <t>MANZANILLO, MEXICO</t>
        </is>
      </c>
      <c r="I23" s="724" t="n">
        <v>15486</v>
      </c>
      <c r="J23" s="723" t="inlineStr">
        <is>
          <t>Km</t>
        </is>
      </c>
      <c r="K23" s="725" t="n">
        <v>3800</v>
      </c>
      <c r="L23" s="1768">
        <f>M23-K23</f>
        <v/>
      </c>
      <c r="M23" s="1769" t="n">
        <v>12257.57</v>
      </c>
      <c r="N23" s="1773" t="n">
        <v>6241.88</v>
      </c>
      <c r="O23" s="1762">
        <f>N23*E23/1000</f>
        <v/>
      </c>
      <c r="P23" s="1763">
        <f>O23/32</f>
        <v/>
      </c>
      <c r="Q23" s="1764">
        <f>N23*I23/1000</f>
        <v/>
      </c>
    </row>
    <row r="24" ht="15.75" customHeight="1">
      <c r="A24" s="728" t="inlineStr">
        <is>
          <t>FO23010020</t>
        </is>
      </c>
      <c r="B24" s="729" t="n">
        <v>44935</v>
      </c>
      <c r="C24" s="730" t="inlineStr">
        <is>
          <t>มัลติแบกซ์</t>
        </is>
      </c>
      <c r="D24" s="730" t="inlineStr">
        <is>
          <t>ท่าเรือแหลมฉบัง</t>
        </is>
      </c>
      <c r="E24" s="731" t="n">
        <v>5.2</v>
      </c>
      <c r="F24" s="728" t="inlineStr">
        <is>
          <t>Km</t>
        </is>
      </c>
      <c r="G24" s="732" t="inlineStr">
        <is>
          <t>รถเทรลเลอร์</t>
        </is>
      </c>
      <c r="H24" s="728" t="inlineStr">
        <is>
          <t>MANZANILLO, MEXICO</t>
        </is>
      </c>
      <c r="I24" s="733" t="n">
        <v>15486</v>
      </c>
      <c r="J24" s="732" t="inlineStr">
        <is>
          <t>Km</t>
        </is>
      </c>
      <c r="K24" s="734" t="n">
        <v>3800</v>
      </c>
      <c r="L24" s="1770">
        <f>M24-K24</f>
        <v/>
      </c>
      <c r="M24" s="1771" t="n">
        <v>14770.57</v>
      </c>
      <c r="N24" s="1772" t="n">
        <v>8567.190000000001</v>
      </c>
      <c r="O24" s="1762">
        <f>N24*E24/1000</f>
        <v/>
      </c>
      <c r="P24" s="1763">
        <f>O24/32</f>
        <v/>
      </c>
      <c r="Q24" s="1764">
        <f>N24*I24/1000</f>
        <v/>
      </c>
    </row>
    <row r="25" ht="15.75" customHeight="1">
      <c r="A25" s="719" t="inlineStr">
        <is>
          <t>FO23010021</t>
        </is>
      </c>
      <c r="B25" s="720" t="n">
        <v>44935</v>
      </c>
      <c r="C25" s="721" t="inlineStr">
        <is>
          <t>มัลติแบกซ์</t>
        </is>
      </c>
      <c r="D25" s="721" t="inlineStr">
        <is>
          <t>ท่าเรือแหลมฉบัง</t>
        </is>
      </c>
      <c r="E25" s="722" t="n">
        <v>6.2</v>
      </c>
      <c r="F25" s="719" t="inlineStr">
        <is>
          <t>Km</t>
        </is>
      </c>
      <c r="G25" s="723" t="inlineStr">
        <is>
          <t>รถเทรลเลอร์</t>
        </is>
      </c>
      <c r="H25" s="719" t="inlineStr">
        <is>
          <t>SYDNEY, AUSTRALIA</t>
        </is>
      </c>
      <c r="I25" s="724" t="n">
        <v>7448</v>
      </c>
      <c r="J25" s="723" t="inlineStr">
        <is>
          <t>Km</t>
        </is>
      </c>
      <c r="K25" s="725" t="n">
        <v>3870</v>
      </c>
      <c r="L25" s="1768">
        <f>M25-K25</f>
        <v/>
      </c>
      <c r="M25" s="1769" t="n">
        <v>29640</v>
      </c>
      <c r="N25" s="1773" t="n">
        <v>23189.4</v>
      </c>
      <c r="O25" s="1762">
        <f>N25*E25/1000</f>
        <v/>
      </c>
      <c r="P25" s="1763">
        <f>O25/32</f>
        <v/>
      </c>
      <c r="Q25" s="1764">
        <f>N25*I25/1000</f>
        <v/>
      </c>
    </row>
    <row r="26" ht="15.75" customHeight="1">
      <c r="A26" s="728" t="inlineStr">
        <is>
          <t>FO23010022</t>
        </is>
      </c>
      <c r="B26" s="729" t="n">
        <v>44935</v>
      </c>
      <c r="C26" s="730" t="inlineStr">
        <is>
          <t>มัลติแบกซ์</t>
        </is>
      </c>
      <c r="D26" s="730" t="inlineStr">
        <is>
          <t>ท่าเรือแหลมฉบัง</t>
        </is>
      </c>
      <c r="E26" s="731" t="n">
        <v>6.2</v>
      </c>
      <c r="F26" s="728" t="inlineStr">
        <is>
          <t>Km</t>
        </is>
      </c>
      <c r="G26" s="732" t="inlineStr">
        <is>
          <t>รถเทรลเลอร์</t>
        </is>
      </c>
      <c r="H26" s="728" t="inlineStr">
        <is>
          <t>SYDNEY, AUSTRALIA</t>
        </is>
      </c>
      <c r="I26" s="733" t="n">
        <v>7448</v>
      </c>
      <c r="J26" s="732" t="inlineStr">
        <is>
          <t>Km</t>
        </is>
      </c>
      <c r="K26" s="734" t="n">
        <v>3840</v>
      </c>
      <c r="L26" s="1770">
        <f>M26-K26</f>
        <v/>
      </c>
      <c r="M26" s="1771" t="n">
        <v>21192</v>
      </c>
      <c r="N26" s="1772" t="n">
        <v>10713.2</v>
      </c>
      <c r="O26" s="1762">
        <f>N26*E26/1000</f>
        <v/>
      </c>
      <c r="P26" s="1763">
        <f>O26/32</f>
        <v/>
      </c>
      <c r="Q26" s="1764">
        <f>N26*I26/1000</f>
        <v/>
      </c>
    </row>
    <row r="27" ht="15.75" customHeight="1">
      <c r="A27" s="719" t="inlineStr">
        <is>
          <t>FO23010023</t>
        </is>
      </c>
      <c r="B27" s="720" t="n">
        <v>44935</v>
      </c>
      <c r="C27" s="721" t="inlineStr">
        <is>
          <t>มัลติแบกซ์</t>
        </is>
      </c>
      <c r="D27" s="721" t="inlineStr">
        <is>
          <t>ท่าเรือแหลมฉบัง</t>
        </is>
      </c>
      <c r="E27" s="722" t="n">
        <v>6.2</v>
      </c>
      <c r="F27" s="719" t="inlineStr">
        <is>
          <t>Km</t>
        </is>
      </c>
      <c r="G27" s="723" t="inlineStr">
        <is>
          <t>รถเทรลเลอร์</t>
        </is>
      </c>
      <c r="H27" s="719" t="inlineStr">
        <is>
          <t>MELBOURNE, AUSTRALIA</t>
        </is>
      </c>
      <c r="I27" s="724" t="n">
        <v>7283</v>
      </c>
      <c r="J27" s="723" t="inlineStr">
        <is>
          <t>Km</t>
        </is>
      </c>
      <c r="K27" s="725" t="n">
        <v>2190</v>
      </c>
      <c r="L27" s="1768">
        <f>M27-K27</f>
        <v/>
      </c>
      <c r="M27" s="1769" t="n">
        <v>13482</v>
      </c>
      <c r="N27" s="1773" t="n">
        <v>9411</v>
      </c>
      <c r="O27" s="1762">
        <f>N27*E27/1000</f>
        <v/>
      </c>
      <c r="P27" s="1763">
        <f>O27/32</f>
        <v/>
      </c>
      <c r="Q27" s="1764">
        <f>N27*I27/1000</f>
        <v/>
      </c>
    </row>
    <row r="28" ht="15.75" customHeight="1">
      <c r="A28" s="728" t="inlineStr">
        <is>
          <t>FO23010024</t>
        </is>
      </c>
      <c r="B28" s="729" t="n">
        <v>44935</v>
      </c>
      <c r="C28" s="730" t="inlineStr">
        <is>
          <t>มัลติแบกซ์</t>
        </is>
      </c>
      <c r="D28" s="730" t="inlineStr">
        <is>
          <t>ท่าเรือแหลมฉบัง</t>
        </is>
      </c>
      <c r="E28" s="731" t="n">
        <v>6</v>
      </c>
      <c r="F28" s="728" t="inlineStr">
        <is>
          <t>Km</t>
        </is>
      </c>
      <c r="G28" s="732" t="inlineStr">
        <is>
          <t>รถเทรลเลอร์</t>
        </is>
      </c>
      <c r="H28" s="728" t="inlineStr">
        <is>
          <t>SOHAR, OMAN</t>
        </is>
      </c>
      <c r="I28" s="733" t="n">
        <v>4795</v>
      </c>
      <c r="J28" s="732" t="inlineStr">
        <is>
          <t>Km</t>
        </is>
      </c>
      <c r="K28" s="734" t="n">
        <v>2130</v>
      </c>
      <c r="L28" s="1770">
        <f>M28-K28</f>
        <v/>
      </c>
      <c r="M28" s="1771" t="n">
        <v>8724.27</v>
      </c>
      <c r="N28" s="1772" t="n">
        <v>5401.23</v>
      </c>
      <c r="O28" s="1762">
        <f>N28*E28/1000</f>
        <v/>
      </c>
      <c r="P28" s="1763">
        <f>O28/32</f>
        <v/>
      </c>
      <c r="Q28" s="1764">
        <f>N28*I28/1000</f>
        <v/>
      </c>
    </row>
    <row r="29" ht="15.75" customHeight="1">
      <c r="A29" s="719" t="inlineStr">
        <is>
          <t>FO23010025</t>
        </is>
      </c>
      <c r="B29" s="720" t="n">
        <v>44932</v>
      </c>
      <c r="C29" s="721" t="inlineStr">
        <is>
          <t>มัลติแบกซ์</t>
        </is>
      </c>
      <c r="D29" s="721" t="inlineStr">
        <is>
          <t>ท่าเรือแหลมฉบัง</t>
        </is>
      </c>
      <c r="E29" s="722" t="n">
        <v>5.3</v>
      </c>
      <c r="F29" s="719" t="inlineStr">
        <is>
          <t>Km</t>
        </is>
      </c>
      <c r="G29" s="723" t="inlineStr">
        <is>
          <t>รถเทรลเลอร์</t>
        </is>
      </c>
      <c r="H29" s="719" t="inlineStr">
        <is>
          <t>MANZANILLO, MEXICO</t>
        </is>
      </c>
      <c r="I29" s="724" t="n">
        <v>15486</v>
      </c>
      <c r="J29" s="723" t="inlineStr">
        <is>
          <t>Km</t>
        </is>
      </c>
      <c r="K29" s="725" t="n">
        <v>3800</v>
      </c>
      <c r="L29" s="1768">
        <f>M29-K29</f>
        <v/>
      </c>
      <c r="M29" s="1769" t="n">
        <v>13596.56</v>
      </c>
      <c r="N29" s="1773" t="n">
        <v>7147.44</v>
      </c>
      <c r="O29" s="1762">
        <f>N29*E29/1000</f>
        <v/>
      </c>
      <c r="P29" s="1763">
        <f>O29/32</f>
        <v/>
      </c>
      <c r="Q29" s="1764">
        <f>N29*I29/1000</f>
        <v/>
      </c>
    </row>
    <row r="30" ht="15.75" customHeight="1">
      <c r="A30" s="728" t="inlineStr">
        <is>
          <t>FO23010026</t>
        </is>
      </c>
      <c r="B30" s="729" t="n">
        <v>44936</v>
      </c>
      <c r="C30" s="730" t="inlineStr">
        <is>
          <t>มัลติแบกซ์</t>
        </is>
      </c>
      <c r="D30" s="730" t="inlineStr">
        <is>
          <t>ท่าเรือแหลมฉบัง</t>
        </is>
      </c>
      <c r="E30" s="731" t="n">
        <v>6.2</v>
      </c>
      <c r="F30" s="728" t="inlineStr">
        <is>
          <t>Km</t>
        </is>
      </c>
      <c r="G30" s="732" t="inlineStr">
        <is>
          <t>รถเทรลเลอร์</t>
        </is>
      </c>
      <c r="H30" s="728" t="inlineStr">
        <is>
          <t>CARROLLTON TX, USA</t>
        </is>
      </c>
      <c r="I30" s="733" t="n">
        <v>14544</v>
      </c>
      <c r="J30" s="732" t="inlineStr">
        <is>
          <t>Km</t>
        </is>
      </c>
      <c r="K30" s="734" t="n">
        <v>3780</v>
      </c>
      <c r="L30" s="1770">
        <f>M30-K30</f>
        <v/>
      </c>
      <c r="M30" s="1771" t="n">
        <v>18619</v>
      </c>
      <c r="N30" s="1772" t="n">
        <v>12511.2</v>
      </c>
      <c r="O30" s="1762">
        <f>N30*E30/1000</f>
        <v/>
      </c>
      <c r="P30" s="1763">
        <f>O30/32</f>
        <v/>
      </c>
      <c r="Q30" s="1764">
        <f>N30*I30/1000</f>
        <v/>
      </c>
    </row>
    <row r="31" ht="15.75" customHeight="1">
      <c r="A31" s="719" t="inlineStr">
        <is>
          <t>FO23010027</t>
        </is>
      </c>
      <c r="B31" s="720" t="n">
        <v>44935</v>
      </c>
      <c r="C31" s="721" t="inlineStr">
        <is>
          <t>มัลติแบกซ์</t>
        </is>
      </c>
      <c r="D31" s="721" t="inlineStr">
        <is>
          <t>ท่าเรือแหลมฉบัง</t>
        </is>
      </c>
      <c r="E31" s="722" t="n">
        <v>11.7</v>
      </c>
      <c r="F31" s="719" t="inlineStr">
        <is>
          <t>Km</t>
        </is>
      </c>
      <c r="G31" s="723" t="inlineStr">
        <is>
          <t>รถเทรลเลอร์</t>
        </is>
      </c>
      <c r="H31" s="719" t="inlineStr">
        <is>
          <t>JEBEL ALI, UAE</t>
        </is>
      </c>
      <c r="I31" s="724" t="n">
        <v>4972</v>
      </c>
      <c r="J31" s="723" t="inlineStr">
        <is>
          <t>Km</t>
        </is>
      </c>
      <c r="K31" s="725" t="n">
        <v>3800</v>
      </c>
      <c r="L31" s="1768">
        <f>M31-K31</f>
        <v/>
      </c>
      <c r="M31" s="1769" t="n">
        <v>20523.69</v>
      </c>
      <c r="N31" s="1773" t="n">
        <v>14665.8</v>
      </c>
      <c r="O31" s="1762">
        <f>N31*E31/1000</f>
        <v/>
      </c>
      <c r="P31" s="1763">
        <f>O31/32</f>
        <v/>
      </c>
      <c r="Q31" s="1764">
        <f>N31*I31/1000</f>
        <v/>
      </c>
    </row>
    <row r="32" ht="15.75" customHeight="1">
      <c r="A32" s="728" t="inlineStr">
        <is>
          <t>FO23010028</t>
        </is>
      </c>
      <c r="B32" s="729" t="n">
        <v>44935</v>
      </c>
      <c r="C32" s="730" t="inlineStr">
        <is>
          <t>มัลติแบกซ์</t>
        </is>
      </c>
      <c r="D32" s="730" t="inlineStr">
        <is>
          <t>ท่าเรือแหลมฉบัง</t>
        </is>
      </c>
      <c r="E32" s="731" t="n">
        <v>6.5</v>
      </c>
      <c r="F32" s="728" t="inlineStr">
        <is>
          <t>Km</t>
        </is>
      </c>
      <c r="G32" s="732" t="inlineStr">
        <is>
          <t>รถเทรลเลอร์</t>
        </is>
      </c>
      <c r="H32" s="728" t="inlineStr">
        <is>
          <t>JEBEL ALI, UAE</t>
        </is>
      </c>
      <c r="I32" s="733" t="n">
        <v>4972</v>
      </c>
      <c r="J32" s="732" t="inlineStr">
        <is>
          <t>Km</t>
        </is>
      </c>
      <c r="K32" s="734" t="n">
        <v>3800</v>
      </c>
      <c r="L32" s="1770">
        <f>M32-K32</f>
        <v/>
      </c>
      <c r="M32" s="1771" t="n">
        <v>16592.77</v>
      </c>
      <c r="N32" s="1772" t="n">
        <v>10413.45</v>
      </c>
      <c r="O32" s="1762">
        <f>N32*E32/1000</f>
        <v/>
      </c>
      <c r="P32" s="1763">
        <f>O32/32</f>
        <v/>
      </c>
      <c r="Q32" s="1764">
        <f>N32*I32/1000</f>
        <v/>
      </c>
    </row>
    <row r="33" ht="15.75" customHeight="1">
      <c r="A33" s="719" t="inlineStr">
        <is>
          <t>FO23010029</t>
        </is>
      </c>
      <c r="B33" s="720" t="n">
        <v>44952</v>
      </c>
      <c r="C33" s="721" t="inlineStr">
        <is>
          <t>มัลติแบกซ์</t>
        </is>
      </c>
      <c r="D33" s="721" t="inlineStr">
        <is>
          <t>ท่าเรือแหลมฉบัง</t>
        </is>
      </c>
      <c r="E33" s="722" t="n">
        <v>11.9</v>
      </c>
      <c r="F33" s="719" t="inlineStr">
        <is>
          <t>Km</t>
        </is>
      </c>
      <c r="G33" s="723" t="inlineStr">
        <is>
          <t>รถเทรลเลอร์</t>
        </is>
      </c>
      <c r="H33" s="719" t="inlineStr">
        <is>
          <t>AUCKLAND, NEW ZEALAND</t>
        </is>
      </c>
      <c r="I33" s="724" t="n">
        <v>9486</v>
      </c>
      <c r="J33" s="723" t="inlineStr">
        <is>
          <t>Km</t>
        </is>
      </c>
      <c r="K33" s="725" t="n">
        <v>3700</v>
      </c>
      <c r="L33" s="1768">
        <f>M33-K33</f>
        <v/>
      </c>
      <c r="M33" s="725" t="n">
        <v>21958.25</v>
      </c>
      <c r="N33" s="1773" t="n">
        <v>13858.94</v>
      </c>
      <c r="O33" s="1762">
        <f>N33*E33/1000</f>
        <v/>
      </c>
      <c r="P33" s="1763">
        <f>O33/32</f>
        <v/>
      </c>
      <c r="Q33" s="1764">
        <f>N33*I33/1000</f>
        <v/>
      </c>
    </row>
    <row r="34" ht="15.75" customHeight="1">
      <c r="A34" s="728" t="inlineStr">
        <is>
          <t>FO23010030</t>
        </is>
      </c>
      <c r="B34" s="729" t="n">
        <v>44952</v>
      </c>
      <c r="C34" s="730" t="inlineStr">
        <is>
          <t>มัลติแบกซ์</t>
        </is>
      </c>
      <c r="D34" s="730" t="inlineStr">
        <is>
          <t>ท่าเรือแหลมฉบัง</t>
        </is>
      </c>
      <c r="E34" s="731" t="n">
        <v>11.9</v>
      </c>
      <c r="F34" s="728" t="inlineStr">
        <is>
          <t>Km</t>
        </is>
      </c>
      <c r="G34" s="732" t="inlineStr">
        <is>
          <t>รถเทรลเลอร์</t>
        </is>
      </c>
      <c r="H34" s="728" t="inlineStr">
        <is>
          <t>AUCKLAND, NEW ZEALAND</t>
        </is>
      </c>
      <c r="I34" s="733" t="n">
        <v>9486</v>
      </c>
      <c r="J34" s="732" t="inlineStr">
        <is>
          <t>Km</t>
        </is>
      </c>
      <c r="K34" s="734" t="n">
        <v>3740</v>
      </c>
      <c r="L34" s="1770">
        <f>M34-K34</f>
        <v/>
      </c>
      <c r="M34" s="734" t="n">
        <v>19989.4</v>
      </c>
      <c r="N34" s="1772" t="n">
        <v>13345.3</v>
      </c>
      <c r="O34" s="1762">
        <f>N34*E34/1000</f>
        <v/>
      </c>
      <c r="P34" s="1763">
        <f>O34/32</f>
        <v/>
      </c>
      <c r="Q34" s="1764">
        <f>N34*I34/1000</f>
        <v/>
      </c>
    </row>
    <row r="35" ht="15.75" customHeight="1">
      <c r="A35" s="719" t="inlineStr">
        <is>
          <t>FO23010031</t>
        </is>
      </c>
      <c r="B35" s="720" t="n">
        <v>44939</v>
      </c>
      <c r="C35" s="721" t="inlineStr">
        <is>
          <t>มัลติแบกซ์</t>
        </is>
      </c>
      <c r="D35" s="721" t="inlineStr">
        <is>
          <t>ท่าเรือแหลมฉบัง</t>
        </is>
      </c>
      <c r="E35" s="722" t="n">
        <v>7.1</v>
      </c>
      <c r="F35" s="719" t="inlineStr">
        <is>
          <t>Km</t>
        </is>
      </c>
      <c r="G35" s="723" t="inlineStr">
        <is>
          <t>รถเทรลเลอร์</t>
        </is>
      </c>
      <c r="H35" s="719" t="inlineStr">
        <is>
          <t>SHUWAIKH, KUWAIT</t>
        </is>
      </c>
      <c r="I35" s="724" t="n">
        <v>5727</v>
      </c>
      <c r="J35" s="723" t="inlineStr">
        <is>
          <t>Km</t>
        </is>
      </c>
      <c r="K35" s="725" t="n">
        <v>2280</v>
      </c>
      <c r="L35" s="1768">
        <f>M35-K35</f>
        <v/>
      </c>
      <c r="M35" s="1769" t="n">
        <v>9470.129999999999</v>
      </c>
      <c r="N35" s="1773" t="n">
        <v>6290.01</v>
      </c>
      <c r="O35" s="1762">
        <f>N35*E35/1000</f>
        <v/>
      </c>
      <c r="P35" s="1763">
        <f>O35/32</f>
        <v/>
      </c>
      <c r="Q35" s="1764">
        <f>N35*I35/1000</f>
        <v/>
      </c>
    </row>
    <row r="36" ht="15.75" customHeight="1">
      <c r="A36" s="728" t="inlineStr">
        <is>
          <t>FO23010032</t>
        </is>
      </c>
      <c r="B36" s="729" t="n">
        <v>44942</v>
      </c>
      <c r="C36" s="730" t="inlineStr">
        <is>
          <t>มัลติแบกซ์</t>
        </is>
      </c>
      <c r="D36" s="730" t="inlineStr">
        <is>
          <t>ท่าเรือแหลมฉบัง</t>
        </is>
      </c>
      <c r="E36" s="731" t="n">
        <v>11.9</v>
      </c>
      <c r="F36" s="728" t="inlineStr">
        <is>
          <t>Km</t>
        </is>
      </c>
      <c r="G36" s="732" t="inlineStr">
        <is>
          <t>รถเทรลเลอร์</t>
        </is>
      </c>
      <c r="H36" s="728" t="inlineStr">
        <is>
          <t>HAMAD, QATAR</t>
        </is>
      </c>
      <c r="I36" s="733" t="n">
        <v>5317</v>
      </c>
      <c r="J36" s="732" t="inlineStr">
        <is>
          <t>Km</t>
        </is>
      </c>
      <c r="K36" s="734" t="n">
        <v>2230</v>
      </c>
      <c r="L36" s="1770">
        <f>M36-K36</f>
        <v/>
      </c>
      <c r="M36" s="1771" t="n">
        <v>8984.799999999999</v>
      </c>
      <c r="N36" s="1772" t="n">
        <v>5739.63</v>
      </c>
      <c r="O36" s="1762">
        <f>N36*E36/1000</f>
        <v/>
      </c>
      <c r="P36" s="1763">
        <f>O36/32</f>
        <v/>
      </c>
      <c r="Q36" s="1764">
        <f>N36*I36/1000</f>
        <v/>
      </c>
    </row>
    <row r="37" ht="15.75" customHeight="1">
      <c r="A37" s="719" t="inlineStr">
        <is>
          <t>FO23010033</t>
        </is>
      </c>
      <c r="B37" s="720" t="n">
        <v>44942</v>
      </c>
      <c r="C37" s="721" t="inlineStr">
        <is>
          <t>มัลติแบกซ์</t>
        </is>
      </c>
      <c r="D37" s="721" t="inlineStr">
        <is>
          <t>ท่าเรือแหลมฉบัง</t>
        </is>
      </c>
      <c r="E37" s="722" t="n">
        <v>6</v>
      </c>
      <c r="F37" s="719" t="inlineStr">
        <is>
          <t>Km</t>
        </is>
      </c>
      <c r="G37" s="723" t="inlineStr">
        <is>
          <t>รถเทรลเลอร์</t>
        </is>
      </c>
      <c r="H37" s="719" t="inlineStr">
        <is>
          <t>BUSAN, KOREA</t>
        </is>
      </c>
      <c r="I37" s="724" t="n">
        <v>3740</v>
      </c>
      <c r="J37" s="723" t="inlineStr">
        <is>
          <t>Km</t>
        </is>
      </c>
      <c r="K37" s="725" t="n">
        <v>3850</v>
      </c>
      <c r="L37" s="1768">
        <f>M37-K37</f>
        <v/>
      </c>
      <c r="M37" s="725" t="n">
        <v>9594.440000000001</v>
      </c>
      <c r="N37" s="1773" t="n">
        <v>3798.56</v>
      </c>
      <c r="O37" s="1762">
        <f>N37*E37/1000</f>
        <v/>
      </c>
      <c r="P37" s="1763">
        <f>O37/32</f>
        <v/>
      </c>
      <c r="Q37" s="1764">
        <f>N37*I37/1000</f>
        <v/>
      </c>
    </row>
    <row r="38" ht="15.75" customHeight="1">
      <c r="A38" s="728" t="inlineStr">
        <is>
          <t>FO23010034</t>
        </is>
      </c>
      <c r="B38" s="729" t="n">
        <v>44945</v>
      </c>
      <c r="C38" s="730" t="inlineStr">
        <is>
          <t>มัลติแบกซ์</t>
        </is>
      </c>
      <c r="D38" s="730" t="inlineStr">
        <is>
          <t>ท่าเรือแหลมฉบัง</t>
        </is>
      </c>
      <c r="E38" s="731" t="n">
        <v>6.5</v>
      </c>
      <c r="F38" s="728" t="inlineStr">
        <is>
          <t>Km</t>
        </is>
      </c>
      <c r="G38" s="732" t="inlineStr">
        <is>
          <t>รถเทรลเลอร์</t>
        </is>
      </c>
      <c r="H38" s="728" t="inlineStr">
        <is>
          <t>UK PORT</t>
        </is>
      </c>
      <c r="I38" s="733" t="n">
        <v>9687</v>
      </c>
      <c r="J38" s="732" t="inlineStr">
        <is>
          <t>Km</t>
        </is>
      </c>
      <c r="K38" s="734" t="n">
        <v>3630</v>
      </c>
      <c r="L38" s="1770">
        <f>M38-K38</f>
        <v/>
      </c>
      <c r="M38" s="734" t="n">
        <v>23527</v>
      </c>
      <c r="N38" s="1772" t="n">
        <v>18561</v>
      </c>
      <c r="O38" s="1762">
        <f>N38*E38/1000</f>
        <v/>
      </c>
      <c r="P38" s="1763">
        <f>O38/32</f>
        <v/>
      </c>
      <c r="Q38" s="1764">
        <f>N38*I38/1000</f>
        <v/>
      </c>
    </row>
    <row r="39" ht="15.75" customHeight="1">
      <c r="A39" s="719" t="inlineStr">
        <is>
          <t>FO23010035</t>
        </is>
      </c>
      <c r="B39" s="720" t="n">
        <v>44944</v>
      </c>
      <c r="C39" s="721" t="inlineStr">
        <is>
          <t>มัลติแบกซ์</t>
        </is>
      </c>
      <c r="D39" s="721" t="inlineStr">
        <is>
          <t>ท่าเรือแหลมฉบัง</t>
        </is>
      </c>
      <c r="E39" s="722" t="n">
        <v>6.5</v>
      </c>
      <c r="F39" s="719" t="inlineStr">
        <is>
          <t>Km</t>
        </is>
      </c>
      <c r="G39" s="723" t="inlineStr">
        <is>
          <t>รถเทรลเลอร์</t>
        </is>
      </c>
      <c r="H39" s="719" t="inlineStr">
        <is>
          <t>UK PORT</t>
        </is>
      </c>
      <c r="I39" s="724" t="n">
        <v>9687</v>
      </c>
      <c r="J39" s="723" t="inlineStr">
        <is>
          <t>Km</t>
        </is>
      </c>
      <c r="K39" s="725" t="n">
        <v>3770</v>
      </c>
      <c r="L39" s="1768">
        <f>M39-K39</f>
        <v/>
      </c>
      <c r="M39" s="738" t="n">
        <v>23850.2</v>
      </c>
      <c r="N39" s="1773" t="n">
        <v>18565.8</v>
      </c>
      <c r="O39" s="1762">
        <f>N39*E39/1000</f>
        <v/>
      </c>
      <c r="P39" s="1763">
        <f>O39/32</f>
        <v/>
      </c>
      <c r="Q39" s="1764">
        <f>N39*I39/1000</f>
        <v/>
      </c>
    </row>
    <row r="40" ht="15.75" customHeight="1">
      <c r="A40" s="728" t="inlineStr">
        <is>
          <t>FO23010036</t>
        </is>
      </c>
      <c r="B40" s="729" t="n">
        <v>44939</v>
      </c>
      <c r="C40" s="730" t="inlineStr">
        <is>
          <t>มัลติแบกซ์</t>
        </is>
      </c>
      <c r="D40" s="730" t="inlineStr">
        <is>
          <t>ท่าเรือแหลมฉบัง</t>
        </is>
      </c>
      <c r="E40" s="731" t="n">
        <v>5.2</v>
      </c>
      <c r="F40" s="728" t="inlineStr">
        <is>
          <t>Km</t>
        </is>
      </c>
      <c r="G40" s="732" t="inlineStr">
        <is>
          <t>รถเทรลเลอร์</t>
        </is>
      </c>
      <c r="H40" s="728" t="inlineStr">
        <is>
          <t>MANZANILLO, MEXICO</t>
        </is>
      </c>
      <c r="I40" s="733" t="n">
        <v>15486</v>
      </c>
      <c r="J40" s="732" t="inlineStr">
        <is>
          <t>Km</t>
        </is>
      </c>
      <c r="K40" s="734" t="n">
        <v>3800</v>
      </c>
      <c r="L40" s="1770">
        <f>M40-K40</f>
        <v/>
      </c>
      <c r="M40" s="1771" t="n">
        <v>13093.12</v>
      </c>
      <c r="N40" s="1772" t="n">
        <v>6641.12</v>
      </c>
      <c r="O40" s="1762">
        <f>N40*E40/1000</f>
        <v/>
      </c>
      <c r="P40" s="1763">
        <f>O40/32</f>
        <v/>
      </c>
      <c r="Q40" s="1764">
        <f>N40*I40/1000</f>
        <v/>
      </c>
    </row>
    <row r="41" ht="15.75" customHeight="1">
      <c r="A41" s="719" t="inlineStr">
        <is>
          <t>FO23010037</t>
        </is>
      </c>
      <c r="B41" s="720" t="n">
        <v>44945</v>
      </c>
      <c r="C41" s="721" t="inlineStr">
        <is>
          <t>มัลติแบกซ์</t>
        </is>
      </c>
      <c r="D41" s="721" t="inlineStr">
        <is>
          <t>ท่าเรือแหลมฉบัง</t>
        </is>
      </c>
      <c r="E41" s="722" t="n">
        <v>6</v>
      </c>
      <c r="F41" s="719" t="inlineStr">
        <is>
          <t>Km</t>
        </is>
      </c>
      <c r="G41" s="723" t="inlineStr">
        <is>
          <t>รถเทรลเลอร์</t>
        </is>
      </c>
      <c r="H41" s="719" t="inlineStr">
        <is>
          <t>DURBAN, SOUTH AFRICA</t>
        </is>
      </c>
      <c r="I41" s="724" t="n">
        <v>8865</v>
      </c>
      <c r="J41" s="723" t="inlineStr">
        <is>
          <t>Km</t>
        </is>
      </c>
      <c r="K41" s="725" t="n">
        <v>2245</v>
      </c>
      <c r="L41" s="1768">
        <f>M41-K41</f>
        <v/>
      </c>
      <c r="M41" s="738" t="n">
        <v>6534.5</v>
      </c>
      <c r="N41" s="1773" t="n">
        <v>3022</v>
      </c>
      <c r="O41" s="1762">
        <f>N41*E41/1000</f>
        <v/>
      </c>
      <c r="P41" s="1763">
        <f>O41/32</f>
        <v/>
      </c>
      <c r="Q41" s="1764">
        <f>N41*I41/1000</f>
        <v/>
      </c>
    </row>
    <row r="42" ht="15.75" customHeight="1">
      <c r="A42" s="728" t="inlineStr">
        <is>
          <t>FO23010038</t>
        </is>
      </c>
      <c r="B42" s="729" t="n">
        <v>44939</v>
      </c>
      <c r="C42" s="730" t="inlineStr">
        <is>
          <t>มัลติแบกซ์</t>
        </is>
      </c>
      <c r="D42" s="730" t="inlineStr">
        <is>
          <t>ท่าเรือแหลมฉบัง</t>
        </is>
      </c>
      <c r="E42" s="731" t="n">
        <v>7.1</v>
      </c>
      <c r="F42" s="728" t="inlineStr">
        <is>
          <t>Km</t>
        </is>
      </c>
      <c r="G42" s="732" t="inlineStr">
        <is>
          <t>รถเทรลเลอร์</t>
        </is>
      </c>
      <c r="H42" s="728" t="inlineStr">
        <is>
          <t>COLUMBUS OHIO, USA</t>
        </is>
      </c>
      <c r="I42" s="733" t="n">
        <v>14000</v>
      </c>
      <c r="J42" s="732" t="inlineStr">
        <is>
          <t>Km</t>
        </is>
      </c>
      <c r="K42" s="734" t="n">
        <v>3700</v>
      </c>
      <c r="L42" s="1770">
        <f>M42-K42</f>
        <v/>
      </c>
      <c r="M42" s="1771" t="n">
        <v>21261.56</v>
      </c>
      <c r="N42" s="1772" t="n">
        <v>15283.2</v>
      </c>
      <c r="O42" s="1762">
        <f>N42*E42/1000</f>
        <v/>
      </c>
      <c r="P42" s="1763">
        <f>O42/32</f>
        <v/>
      </c>
      <c r="Q42" s="1764">
        <f>N42*I42/1000</f>
        <v/>
      </c>
    </row>
    <row r="43" ht="15.75" customHeight="1">
      <c r="A43" s="719" t="inlineStr">
        <is>
          <t>FO23010039</t>
        </is>
      </c>
      <c r="B43" s="720" t="n">
        <v>44942</v>
      </c>
      <c r="C43" s="721" t="inlineStr">
        <is>
          <t>มัลติแบกซ์</t>
        </is>
      </c>
      <c r="D43" s="721" t="inlineStr">
        <is>
          <t>ท่าเรือแหลมฉบัง</t>
        </is>
      </c>
      <c r="E43" s="722" t="n">
        <v>7.1</v>
      </c>
      <c r="F43" s="719" t="inlineStr">
        <is>
          <t>Km</t>
        </is>
      </c>
      <c r="G43" s="723" t="inlineStr">
        <is>
          <t>รถเทรลเลอร์</t>
        </is>
      </c>
      <c r="H43" s="719" t="inlineStr">
        <is>
          <t>JEBEL ALI, UAE</t>
        </is>
      </c>
      <c r="I43" s="724" t="n">
        <v>4972</v>
      </c>
      <c r="J43" s="723" t="inlineStr">
        <is>
          <t>Km</t>
        </is>
      </c>
      <c r="K43" s="725" t="n">
        <v>2265</v>
      </c>
      <c r="L43" s="1768">
        <f>M43-K43</f>
        <v/>
      </c>
      <c r="M43" s="1769" t="n">
        <v>7196.6</v>
      </c>
      <c r="N43" s="1773" t="n">
        <v>3619.2</v>
      </c>
      <c r="O43" s="1762">
        <f>N43*E43/1000</f>
        <v/>
      </c>
      <c r="P43" s="1763">
        <f>O43/32</f>
        <v/>
      </c>
      <c r="Q43" s="1764">
        <f>N43*I43/1000</f>
        <v/>
      </c>
    </row>
    <row r="44" ht="15.75" customHeight="1">
      <c r="A44" s="728" t="inlineStr">
        <is>
          <t>FO23010040</t>
        </is>
      </c>
      <c r="B44" s="729" t="n">
        <v>44942</v>
      </c>
      <c r="C44" s="730" t="inlineStr">
        <is>
          <t>มัลติแบกซ์</t>
        </is>
      </c>
      <c r="D44" s="730" t="inlineStr">
        <is>
          <t>ท่าเรือแหลมฉบัง</t>
        </is>
      </c>
      <c r="E44" s="731" t="n">
        <v>6</v>
      </c>
      <c r="F44" s="728" t="inlineStr">
        <is>
          <t>Km</t>
        </is>
      </c>
      <c r="G44" s="732" t="inlineStr">
        <is>
          <t>รถเทรลเลอร์</t>
        </is>
      </c>
      <c r="H44" s="728" t="inlineStr">
        <is>
          <t>JEBEL ALI, UAE</t>
        </is>
      </c>
      <c r="I44" s="733" t="n">
        <v>4972</v>
      </c>
      <c r="J44" s="732" t="inlineStr">
        <is>
          <t>Km</t>
        </is>
      </c>
      <c r="K44" s="734" t="n">
        <v>3900</v>
      </c>
      <c r="L44" s="1770">
        <f>M44-K44</f>
        <v/>
      </c>
      <c r="M44" s="739" t="n">
        <v>11118.61</v>
      </c>
      <c r="N44" s="1772" t="n">
        <v>5213.46</v>
      </c>
      <c r="O44" s="1762">
        <f>N44*E44/1000</f>
        <v/>
      </c>
      <c r="P44" s="1763">
        <f>O44/32</f>
        <v/>
      </c>
      <c r="Q44" s="1764">
        <f>N44*I44/1000</f>
        <v/>
      </c>
    </row>
    <row r="45" ht="15.75" customHeight="1">
      <c r="A45" s="719" t="inlineStr">
        <is>
          <t>FO23010041</t>
        </is>
      </c>
      <c r="B45" s="720" t="n">
        <v>44942</v>
      </c>
      <c r="C45" s="721" t="inlineStr">
        <is>
          <t>มัลติแบกซ์</t>
        </is>
      </c>
      <c r="D45" s="721" t="inlineStr">
        <is>
          <t>ท่าเรือแหลมฉบัง</t>
        </is>
      </c>
      <c r="E45" s="722" t="n">
        <v>6.5</v>
      </c>
      <c r="F45" s="719" t="inlineStr">
        <is>
          <t>Km</t>
        </is>
      </c>
      <c r="G45" s="723" t="inlineStr">
        <is>
          <t>รถเทรลเลอร์</t>
        </is>
      </c>
      <c r="H45" s="719" t="inlineStr">
        <is>
          <t>CARROLLTON TX, USA</t>
        </is>
      </c>
      <c r="I45" s="724" t="n">
        <v>14544</v>
      </c>
      <c r="J45" s="723" t="inlineStr">
        <is>
          <t>Km</t>
        </is>
      </c>
      <c r="K45" s="725" t="n">
        <v>3850</v>
      </c>
      <c r="L45" s="1768">
        <f>M45-K45</f>
        <v/>
      </c>
      <c r="M45" s="738" t="n">
        <v>18689</v>
      </c>
      <c r="N45" s="1773" t="n">
        <v>12511.2</v>
      </c>
      <c r="O45" s="1762">
        <f>N45*E45/1000</f>
        <v/>
      </c>
      <c r="P45" s="1763">
        <f>O45/32</f>
        <v/>
      </c>
      <c r="Q45" s="1764">
        <f>N45*I45/1000</f>
        <v/>
      </c>
    </row>
    <row r="46" ht="15.75" customHeight="1">
      <c r="A46" s="728" t="inlineStr">
        <is>
          <t>FO23010042</t>
        </is>
      </c>
      <c r="B46" s="729" t="n">
        <v>44952</v>
      </c>
      <c r="C46" s="730" t="inlineStr">
        <is>
          <t>มัลติแบกซ์</t>
        </is>
      </c>
      <c r="D46" s="730" t="inlineStr">
        <is>
          <t>ท่าเรือแหลมฉบัง</t>
        </is>
      </c>
      <c r="E46" s="731" t="n">
        <v>11.9</v>
      </c>
      <c r="F46" s="728" t="inlineStr">
        <is>
          <t>Km</t>
        </is>
      </c>
      <c r="G46" s="732" t="inlineStr">
        <is>
          <t>รถเทรลเลอร์</t>
        </is>
      </c>
      <c r="H46" s="728" t="inlineStr">
        <is>
          <t>AUCKLAND, NEW ZEALAND</t>
        </is>
      </c>
      <c r="I46" s="733" t="n">
        <v>9486</v>
      </c>
      <c r="J46" s="732" t="inlineStr">
        <is>
          <t>Km</t>
        </is>
      </c>
      <c r="K46" s="734" t="n">
        <v>3910</v>
      </c>
      <c r="L46" s="1770">
        <f>M46-K46</f>
        <v/>
      </c>
      <c r="M46" s="739" t="n">
        <v>23517.85</v>
      </c>
      <c r="N46" s="1772" t="n">
        <v>15982.1</v>
      </c>
      <c r="O46" s="1762">
        <f>N46*E46/1000</f>
        <v/>
      </c>
      <c r="P46" s="1763">
        <f>O46/32</f>
        <v/>
      </c>
      <c r="Q46" s="1764">
        <f>N46*I46/1000</f>
        <v/>
      </c>
    </row>
    <row r="47" ht="15.75" customHeight="1">
      <c r="A47" s="719" t="inlineStr">
        <is>
          <t>FO23010043</t>
        </is>
      </c>
      <c r="B47" s="720" t="n">
        <v>44943</v>
      </c>
      <c r="C47" s="721" t="inlineStr">
        <is>
          <t>มัลติแบกซ์</t>
        </is>
      </c>
      <c r="D47" s="721" t="inlineStr">
        <is>
          <t>ท่าเรือแหลมฉบัง</t>
        </is>
      </c>
      <c r="E47" s="722" t="n">
        <v>6.2</v>
      </c>
      <c r="F47" s="719" t="inlineStr">
        <is>
          <t>Km</t>
        </is>
      </c>
      <c r="G47" s="723" t="inlineStr">
        <is>
          <t>รถเทรลเลอร์</t>
        </is>
      </c>
      <c r="H47" s="719" t="inlineStr">
        <is>
          <t>SOUTH BOSTON VA, USA</t>
        </is>
      </c>
      <c r="I47" s="724" t="n">
        <v>13787</v>
      </c>
      <c r="J47" s="723" t="inlineStr">
        <is>
          <t>Km</t>
        </is>
      </c>
      <c r="K47" s="725" t="n">
        <v>3770</v>
      </c>
      <c r="L47" s="1768">
        <f>M47-K47</f>
        <v/>
      </c>
      <c r="M47" s="725" t="n">
        <v>16385</v>
      </c>
      <c r="N47" s="1773" t="n">
        <v>8688.6</v>
      </c>
      <c r="O47" s="1762">
        <f>N47*E47/1000</f>
        <v/>
      </c>
      <c r="P47" s="1763">
        <f>O47/32</f>
        <v/>
      </c>
      <c r="Q47" s="1764">
        <f>N47*I47/1000</f>
        <v/>
      </c>
    </row>
    <row r="48" ht="15.75" customHeight="1">
      <c r="A48" s="728" t="inlineStr">
        <is>
          <t>FO23010044</t>
        </is>
      </c>
      <c r="B48" s="729" t="n">
        <v>44949</v>
      </c>
      <c r="C48" s="730" t="inlineStr">
        <is>
          <t>มัลติแบกซ์</t>
        </is>
      </c>
      <c r="D48" s="730" t="inlineStr">
        <is>
          <t>ท่าเรือแหลมฉบัง</t>
        </is>
      </c>
      <c r="E48" s="731" t="n">
        <v>5.2</v>
      </c>
      <c r="F48" s="728" t="inlineStr">
        <is>
          <t>Km</t>
        </is>
      </c>
      <c r="G48" s="732" t="inlineStr">
        <is>
          <t>รถเทรลเลอร์</t>
        </is>
      </c>
      <c r="H48" s="728" t="inlineStr">
        <is>
          <t>JACKSONVILLE IL, USA</t>
        </is>
      </c>
      <c r="I48" s="733" t="n">
        <v>15168</v>
      </c>
      <c r="J48" s="732" t="inlineStr">
        <is>
          <t>Km</t>
        </is>
      </c>
      <c r="K48" s="734" t="n">
        <v>3810</v>
      </c>
      <c r="L48" s="1770">
        <f>M48-K48</f>
        <v/>
      </c>
      <c r="M48" s="739" t="n">
        <v>23699.28</v>
      </c>
      <c r="N48" s="1772" t="n">
        <v>16872</v>
      </c>
      <c r="O48" s="1762">
        <f>N48*E48/1000</f>
        <v/>
      </c>
      <c r="P48" s="1763">
        <f>O48/32</f>
        <v/>
      </c>
      <c r="Q48" s="1764">
        <f>N48*I48/1000</f>
        <v/>
      </c>
    </row>
    <row r="49" ht="15.75" customHeight="1">
      <c r="A49" s="719" t="inlineStr">
        <is>
          <t>FO23010045</t>
        </is>
      </c>
      <c r="B49" s="720" t="n">
        <v>44949</v>
      </c>
      <c r="C49" s="721" t="inlineStr">
        <is>
          <t>มัลติแบกซ์</t>
        </is>
      </c>
      <c r="D49" s="721" t="inlineStr">
        <is>
          <t>ท่าเรือแหลมฉบัง</t>
        </is>
      </c>
      <c r="E49" s="722" t="n">
        <v>10.2</v>
      </c>
      <c r="F49" s="719" t="inlineStr">
        <is>
          <t>Km</t>
        </is>
      </c>
      <c r="G49" s="723" t="inlineStr">
        <is>
          <t>รถเทรลเลอร์</t>
        </is>
      </c>
      <c r="H49" s="719" t="inlineStr">
        <is>
          <t>JEBEL ALI, UAE</t>
        </is>
      </c>
      <c r="I49" s="724" t="n">
        <v>4972</v>
      </c>
      <c r="J49" s="723" t="inlineStr">
        <is>
          <t>Km</t>
        </is>
      </c>
      <c r="K49" s="725" t="n">
        <v>3700</v>
      </c>
      <c r="L49" s="1768">
        <f>M49-K49</f>
        <v/>
      </c>
      <c r="M49" s="738" t="n">
        <v>18015.6</v>
      </c>
      <c r="N49" s="1773" t="n">
        <v>11882.6</v>
      </c>
      <c r="O49" s="1762">
        <f>N49*E49/1000</f>
        <v/>
      </c>
      <c r="P49" s="1763">
        <f>O49/32</f>
        <v/>
      </c>
      <c r="Q49" s="1764">
        <f>N49*I49/1000</f>
        <v/>
      </c>
    </row>
    <row r="50" ht="15.75" customHeight="1">
      <c r="A50" s="728" t="inlineStr">
        <is>
          <t>FO23010046</t>
        </is>
      </c>
      <c r="B50" s="729" t="n">
        <v>44949</v>
      </c>
      <c r="C50" s="730" t="inlineStr">
        <is>
          <t>มัลติแบกซ์</t>
        </is>
      </c>
      <c r="D50" s="730" t="inlineStr">
        <is>
          <t>ท่าเรือแหลมฉบัง</t>
        </is>
      </c>
      <c r="E50" s="731" t="n">
        <v>6</v>
      </c>
      <c r="F50" s="728" t="inlineStr">
        <is>
          <t>Km</t>
        </is>
      </c>
      <c r="G50" s="732" t="inlineStr">
        <is>
          <t>รถเทรลเลอร์</t>
        </is>
      </c>
      <c r="H50" s="728" t="inlineStr">
        <is>
          <t>JEBEL ALI, UAE</t>
        </is>
      </c>
      <c r="I50" s="733" t="n">
        <v>4972</v>
      </c>
      <c r="J50" s="732" t="inlineStr">
        <is>
          <t>Km</t>
        </is>
      </c>
      <c r="K50" s="734" t="n">
        <v>2150</v>
      </c>
      <c r="L50" s="1770">
        <f>M50-K50</f>
        <v/>
      </c>
      <c r="M50" s="739" t="n">
        <v>7081.6</v>
      </c>
      <c r="N50" s="1772" t="n">
        <v>3619.2</v>
      </c>
      <c r="O50" s="1762">
        <f>N50*E50/1000</f>
        <v/>
      </c>
      <c r="P50" s="1763">
        <f>O50/32</f>
        <v/>
      </c>
      <c r="Q50" s="1764">
        <f>N50*I50/1000</f>
        <v/>
      </c>
    </row>
    <row r="51" ht="15.75" customHeight="1">
      <c r="A51" s="719" t="inlineStr">
        <is>
          <t>FO23010047</t>
        </is>
      </c>
      <c r="B51" s="720" t="n">
        <v>44949</v>
      </c>
      <c r="C51" s="721" t="inlineStr">
        <is>
          <t>มัลติแบกซ์</t>
        </is>
      </c>
      <c r="D51" s="721" t="inlineStr">
        <is>
          <t>ท่าเรือแหลมฉบัง</t>
        </is>
      </c>
      <c r="E51" s="722" t="n">
        <v>6</v>
      </c>
      <c r="F51" s="719" t="inlineStr">
        <is>
          <t>Km</t>
        </is>
      </c>
      <c r="G51" s="723" t="inlineStr">
        <is>
          <t>รถเทรลเลอร์</t>
        </is>
      </c>
      <c r="H51" s="719" t="inlineStr">
        <is>
          <t>JEBEL ALI, UAE</t>
        </is>
      </c>
      <c r="I51" s="724" t="n">
        <v>4972</v>
      </c>
      <c r="J51" s="723" t="inlineStr">
        <is>
          <t>Km</t>
        </is>
      </c>
      <c r="K51" s="725" t="n">
        <v>3670</v>
      </c>
      <c r="L51" s="1768">
        <f>M51-K51</f>
        <v/>
      </c>
      <c r="M51" s="738" t="n">
        <v>11734.53</v>
      </c>
      <c r="N51" s="1773" t="n">
        <v>5985.95</v>
      </c>
      <c r="O51" s="1762">
        <f>N51*E51/1000</f>
        <v/>
      </c>
      <c r="P51" s="1763">
        <f>O51/32</f>
        <v/>
      </c>
      <c r="Q51" s="1764">
        <f>N51*I51/1000</f>
        <v/>
      </c>
    </row>
    <row r="52" ht="15.75" customHeight="1">
      <c r="A52" s="728" t="inlineStr">
        <is>
          <t>FO23010048</t>
        </is>
      </c>
      <c r="B52" s="729" t="n">
        <v>44943</v>
      </c>
      <c r="C52" s="730" t="inlineStr">
        <is>
          <t>มัลติแบกซ์</t>
        </is>
      </c>
      <c r="D52" s="730" t="inlineStr">
        <is>
          <t>ท่าเรือแหลมฉบัง</t>
        </is>
      </c>
      <c r="E52" s="731" t="n">
        <v>6.2</v>
      </c>
      <c r="F52" s="728" t="inlineStr">
        <is>
          <t>Km</t>
        </is>
      </c>
      <c r="G52" s="732" t="inlineStr">
        <is>
          <t>รถเทรลเลอร์</t>
        </is>
      </c>
      <c r="H52" s="728" t="inlineStr">
        <is>
          <t>GUANGZHOU, CHINA</t>
        </is>
      </c>
      <c r="I52" s="733" t="n">
        <v>2597</v>
      </c>
      <c r="J52" s="732" t="inlineStr">
        <is>
          <t>Km</t>
        </is>
      </c>
      <c r="K52" s="734" t="n">
        <v>2140</v>
      </c>
      <c r="L52" s="1770">
        <f>M52-K52</f>
        <v/>
      </c>
      <c r="M52" s="734" t="n">
        <v>7116</v>
      </c>
      <c r="N52" s="1772" t="n">
        <v>3721</v>
      </c>
      <c r="O52" s="1762">
        <f>N52*E52/1000</f>
        <v/>
      </c>
      <c r="P52" s="1763">
        <f>O52/32</f>
        <v/>
      </c>
      <c r="Q52" s="1764">
        <f>N52*I52/1000</f>
        <v/>
      </c>
    </row>
    <row r="53" ht="15.75" customHeight="1">
      <c r="A53" s="719" t="inlineStr">
        <is>
          <t>FO23010049</t>
        </is>
      </c>
      <c r="B53" s="720" t="n">
        <v>44956</v>
      </c>
      <c r="C53" s="721" t="inlineStr">
        <is>
          <t>มัลติแบกซ์</t>
        </is>
      </c>
      <c r="D53" s="721" t="inlineStr">
        <is>
          <t>ท่าเรือแหลมฉบัง</t>
        </is>
      </c>
      <c r="E53" s="722" t="n">
        <v>6.2</v>
      </c>
      <c r="F53" s="719" t="inlineStr">
        <is>
          <t>Km</t>
        </is>
      </c>
      <c r="G53" s="723" t="inlineStr">
        <is>
          <t>รถเทรลเลอร์</t>
        </is>
      </c>
      <c r="H53" s="719" t="inlineStr">
        <is>
          <t>SOUTH BOSTON VA, USA</t>
        </is>
      </c>
      <c r="I53" s="724" t="n">
        <v>13787</v>
      </c>
      <c r="J53" s="723" t="inlineStr">
        <is>
          <t>Km</t>
        </is>
      </c>
      <c r="K53" s="725" t="n">
        <v>3850</v>
      </c>
      <c r="L53" s="1768">
        <f>M53-K53</f>
        <v/>
      </c>
      <c r="M53" s="738" t="n">
        <v>17672</v>
      </c>
      <c r="N53" s="1773" t="n">
        <v>11280</v>
      </c>
      <c r="O53" s="1762">
        <f>N53*E53/1000</f>
        <v/>
      </c>
      <c r="P53" s="1763">
        <f>O53/32</f>
        <v/>
      </c>
      <c r="Q53" s="1764">
        <f>N53*I53/1000</f>
        <v/>
      </c>
    </row>
    <row r="54" ht="15.75" customHeight="1">
      <c r="A54" s="728" t="inlineStr">
        <is>
          <t>FO23010050</t>
        </is>
      </c>
      <c r="B54" s="729" t="n">
        <v>44949</v>
      </c>
      <c r="C54" s="730" t="inlineStr">
        <is>
          <t>มัลติแบกซ์</t>
        </is>
      </c>
      <c r="D54" s="730" t="inlineStr">
        <is>
          <t>ท่าเรือแหลมฉบัง</t>
        </is>
      </c>
      <c r="E54" s="731" t="n">
        <v>4.1</v>
      </c>
      <c r="F54" s="728" t="inlineStr">
        <is>
          <t>Km</t>
        </is>
      </c>
      <c r="G54" s="732" t="inlineStr">
        <is>
          <t>รถเทรลเลอร์</t>
        </is>
      </c>
      <c r="H54" s="728" t="inlineStr">
        <is>
          <t>UK PORT</t>
        </is>
      </c>
      <c r="I54" s="733" t="n">
        <v>9687</v>
      </c>
      <c r="J54" s="732" t="inlineStr">
        <is>
          <t>Km</t>
        </is>
      </c>
      <c r="K54" s="734" t="n">
        <v>2170</v>
      </c>
      <c r="L54" s="1770">
        <f>M54-K54</f>
        <v/>
      </c>
      <c r="M54" s="734" t="n">
        <v>7947</v>
      </c>
      <c r="N54" s="1772" t="n">
        <v>4550</v>
      </c>
      <c r="O54" s="1762">
        <f>N54*E54/1000</f>
        <v/>
      </c>
      <c r="P54" s="1763">
        <f>O54/32</f>
        <v/>
      </c>
      <c r="Q54" s="1764">
        <f>N54*I54/1000</f>
        <v/>
      </c>
    </row>
    <row r="55" ht="15.75" customHeight="1">
      <c r="A55" s="719" t="inlineStr">
        <is>
          <t>FO23010051</t>
        </is>
      </c>
      <c r="B55" s="720" t="n">
        <v>44957</v>
      </c>
      <c r="C55" s="721" t="inlineStr">
        <is>
          <t>มัลติแบกซ์</t>
        </is>
      </c>
      <c r="D55" s="721" t="inlineStr">
        <is>
          <t>ท่าเรือแหลมฉบัง</t>
        </is>
      </c>
      <c r="E55" s="722" t="n">
        <v>6.2</v>
      </c>
      <c r="F55" s="719" t="inlineStr">
        <is>
          <t>Km</t>
        </is>
      </c>
      <c r="G55" s="723" t="inlineStr">
        <is>
          <t>รถเทรลเลอร์</t>
        </is>
      </c>
      <c r="H55" s="719" t="inlineStr">
        <is>
          <t>SYDNEY, AUSTRALIA</t>
        </is>
      </c>
      <c r="I55" s="724" t="n">
        <v>7448</v>
      </c>
      <c r="J55" s="723" t="inlineStr">
        <is>
          <t>Km</t>
        </is>
      </c>
      <c r="K55" s="725" t="n">
        <v>3700</v>
      </c>
      <c r="L55" s="1768">
        <f>M55-K55</f>
        <v/>
      </c>
      <c r="M55" s="738" t="n">
        <v>29072.75</v>
      </c>
      <c r="N55" s="1774" t="n">
        <v>19947.36</v>
      </c>
      <c r="O55" s="1762">
        <f>N55*E55/1000</f>
        <v/>
      </c>
      <c r="P55" s="1763">
        <f>O55/32</f>
        <v/>
      </c>
      <c r="Q55" s="1764">
        <f>N55*I55/1000</f>
        <v/>
      </c>
    </row>
    <row r="56" ht="15.75" customHeight="1">
      <c r="A56" s="728" t="inlineStr">
        <is>
          <t>FO23010052</t>
        </is>
      </c>
      <c r="B56" s="729" t="n">
        <v>44951</v>
      </c>
      <c r="C56" s="730" t="inlineStr">
        <is>
          <t>มัลติแบกซ์</t>
        </is>
      </c>
      <c r="D56" s="730" t="inlineStr">
        <is>
          <t>ท่าเรือแหลมฉบัง</t>
        </is>
      </c>
      <c r="E56" s="731" t="n">
        <v>7.1</v>
      </c>
      <c r="F56" s="728" t="inlineStr">
        <is>
          <t>Km</t>
        </is>
      </c>
      <c r="G56" s="732" t="inlineStr">
        <is>
          <t>รถเทรลเลอร์</t>
        </is>
      </c>
      <c r="H56" s="728" t="inlineStr">
        <is>
          <t>COLUMBUS OHIO, USA</t>
        </is>
      </c>
      <c r="I56" s="733" t="n">
        <v>14000</v>
      </c>
      <c r="J56" s="732" t="inlineStr">
        <is>
          <t>Km</t>
        </is>
      </c>
      <c r="K56" s="734" t="n">
        <v>3890</v>
      </c>
      <c r="L56" s="1770">
        <f>M56-K56</f>
        <v/>
      </c>
      <c r="M56" s="739" t="n">
        <v>23520.77</v>
      </c>
      <c r="N56" s="1772" t="n">
        <v>17135.17</v>
      </c>
      <c r="O56" s="1762">
        <f>N56*E56/1000</f>
        <v/>
      </c>
      <c r="P56" s="1763">
        <f>O56/32</f>
        <v/>
      </c>
      <c r="Q56" s="1764">
        <f>N56*I56/1000</f>
        <v/>
      </c>
    </row>
    <row r="57" ht="15.75" customHeight="1">
      <c r="A57" s="719" t="inlineStr">
        <is>
          <t>FO23010053</t>
        </is>
      </c>
      <c r="B57" s="720" t="n">
        <v>44953</v>
      </c>
      <c r="C57" s="721" t="inlineStr">
        <is>
          <t>มัลติแบกซ์</t>
        </is>
      </c>
      <c r="D57" s="721" t="inlineStr">
        <is>
          <t>ท่าเรือแหลมฉบัง</t>
        </is>
      </c>
      <c r="E57" s="722" t="n">
        <v>5.3</v>
      </c>
      <c r="F57" s="719" t="inlineStr">
        <is>
          <t>Km</t>
        </is>
      </c>
      <c r="G57" s="723" t="inlineStr">
        <is>
          <t>รถเทรลเลอร์</t>
        </is>
      </c>
      <c r="H57" s="719" t="inlineStr">
        <is>
          <t>HONG KONG</t>
        </is>
      </c>
      <c r="I57" s="724" t="n">
        <v>1734</v>
      </c>
      <c r="J57" s="723" t="inlineStr">
        <is>
          <t>Km</t>
        </is>
      </c>
      <c r="K57" s="725" t="n">
        <v>3760</v>
      </c>
      <c r="L57" s="1768">
        <f>M57-K57</f>
        <v/>
      </c>
      <c r="M57" s="738" t="n">
        <v>14203</v>
      </c>
      <c r="N57" s="1773" t="n">
        <v>7915.5</v>
      </c>
      <c r="O57" s="1762">
        <f>N57*E57/1000</f>
        <v/>
      </c>
      <c r="P57" s="1763">
        <f>O57/32</f>
        <v/>
      </c>
      <c r="Q57" s="1764">
        <f>N57*I57/1000</f>
        <v/>
      </c>
    </row>
    <row r="58" ht="15.75" customHeight="1">
      <c r="A58" s="728" t="inlineStr">
        <is>
          <t>FO23010054</t>
        </is>
      </c>
      <c r="B58" s="729" t="n">
        <v>44952</v>
      </c>
      <c r="C58" s="730" t="inlineStr">
        <is>
          <t>มัลติแบกซ์</t>
        </is>
      </c>
      <c r="D58" s="730" t="inlineStr">
        <is>
          <t>ท่าเรือแหลมฉบัง</t>
        </is>
      </c>
      <c r="E58" s="731" t="n">
        <v>3.6</v>
      </c>
      <c r="F58" s="728" t="inlineStr">
        <is>
          <t>Km</t>
        </is>
      </c>
      <c r="G58" s="732" t="inlineStr">
        <is>
          <t>รถเทรลเลอร์</t>
        </is>
      </c>
      <c r="H58" s="728" t="inlineStr">
        <is>
          <t>NINGBO, CHINA</t>
        </is>
      </c>
      <c r="I58" s="733" t="n">
        <v>3824</v>
      </c>
      <c r="J58" s="732" t="inlineStr">
        <is>
          <t>Km</t>
        </is>
      </c>
      <c r="K58" s="734" t="n">
        <v>3850</v>
      </c>
      <c r="L58" s="1770">
        <f>M58-K58</f>
        <v/>
      </c>
      <c r="M58" s="1771" t="n">
        <v>15202.41</v>
      </c>
      <c r="N58" s="1772" t="n">
        <v>8515.290000000001</v>
      </c>
      <c r="O58" s="1762">
        <f>N58*E58/1000</f>
        <v/>
      </c>
      <c r="P58" s="1763">
        <f>O58/32</f>
        <v/>
      </c>
      <c r="Q58" s="1764">
        <f>N58*I58/1000</f>
        <v/>
      </c>
    </row>
    <row r="59" ht="15.75" customHeight="1">
      <c r="A59" s="719" t="inlineStr">
        <is>
          <t>FO23010055</t>
        </is>
      </c>
      <c r="B59" s="720" t="n">
        <v>44951</v>
      </c>
      <c r="C59" s="721" t="inlineStr">
        <is>
          <t>มัลติแบกซ์</t>
        </is>
      </c>
      <c r="D59" s="721" t="inlineStr">
        <is>
          <t>ท่าเรือแหลมฉบัง</t>
        </is>
      </c>
      <c r="E59" s="722" t="n">
        <v>7.1</v>
      </c>
      <c r="F59" s="719" t="inlineStr">
        <is>
          <t>Km</t>
        </is>
      </c>
      <c r="G59" s="723" t="inlineStr">
        <is>
          <t>รถเทรลเลอร์</t>
        </is>
      </c>
      <c r="H59" s="719" t="inlineStr">
        <is>
          <t>SANTA TERESA, NM USA</t>
        </is>
      </c>
      <c r="I59" s="724" t="n">
        <v>17387</v>
      </c>
      <c r="J59" s="723" t="inlineStr">
        <is>
          <t>Km</t>
        </is>
      </c>
      <c r="K59" s="725" t="n">
        <v>3800</v>
      </c>
      <c r="L59" s="1768">
        <f>M59-K59</f>
        <v/>
      </c>
      <c r="M59" s="738" t="n">
        <v>22454.57</v>
      </c>
      <c r="N59" s="1773" t="n">
        <v>15940.41</v>
      </c>
      <c r="O59" s="1762">
        <f>N59*E59/1000</f>
        <v/>
      </c>
      <c r="P59" s="1763">
        <f>O59/32</f>
        <v/>
      </c>
      <c r="Q59" s="1764">
        <f>N59*I59/1000</f>
        <v/>
      </c>
    </row>
    <row r="60" ht="15.75" customHeight="1">
      <c r="A60" s="728" t="inlineStr">
        <is>
          <t>FO23010056</t>
        </is>
      </c>
      <c r="B60" s="729" t="n">
        <v>44953</v>
      </c>
      <c r="C60" s="730" t="inlineStr">
        <is>
          <t>มัลติแบกซ์</t>
        </is>
      </c>
      <c r="D60" s="730" t="inlineStr">
        <is>
          <t>ท่าเรือแหลมฉบัง</t>
        </is>
      </c>
      <c r="E60" s="731" t="n">
        <v>6.2</v>
      </c>
      <c r="F60" s="728" t="inlineStr">
        <is>
          <t>Km</t>
        </is>
      </c>
      <c r="G60" s="732" t="inlineStr">
        <is>
          <t>รถเทรลเลอร์</t>
        </is>
      </c>
      <c r="H60" s="728" t="inlineStr">
        <is>
          <t>JACKSONVILLE IL, USA</t>
        </is>
      </c>
      <c r="I60" s="733" t="n">
        <v>15168</v>
      </c>
      <c r="J60" s="732" t="inlineStr">
        <is>
          <t>Km</t>
        </is>
      </c>
      <c r="K60" s="734" t="n">
        <v>3830</v>
      </c>
      <c r="L60" s="1770">
        <f>M60-K60</f>
        <v/>
      </c>
      <c r="M60" s="739" t="n">
        <v>23719.28</v>
      </c>
      <c r="N60" s="1772" t="n">
        <v>16872</v>
      </c>
      <c r="O60" s="1762">
        <f>N60*E60/1000</f>
        <v/>
      </c>
      <c r="P60" s="1763">
        <f>O60/32</f>
        <v/>
      </c>
      <c r="Q60" s="1764">
        <f>N60*I60/1000</f>
        <v/>
      </c>
    </row>
    <row r="61" ht="15.75" customHeight="1">
      <c r="A61" s="719" t="inlineStr">
        <is>
          <t>FO23010057</t>
        </is>
      </c>
      <c r="B61" s="720" t="n">
        <v>44953</v>
      </c>
      <c r="C61" s="721" t="inlineStr">
        <is>
          <t>มัลติแบกซ์</t>
        </is>
      </c>
      <c r="D61" s="721" t="inlineStr">
        <is>
          <t>ท่าเรือแหลมฉบัง</t>
        </is>
      </c>
      <c r="E61" s="722" t="n">
        <v>6.2</v>
      </c>
      <c r="F61" s="719" t="inlineStr">
        <is>
          <t>Km</t>
        </is>
      </c>
      <c r="G61" s="723" t="inlineStr">
        <is>
          <t>รถเทรลเลอร์</t>
        </is>
      </c>
      <c r="H61" s="719" t="inlineStr">
        <is>
          <t>JACKSONVILLE IL, USA</t>
        </is>
      </c>
      <c r="I61" s="724" t="n">
        <v>15168</v>
      </c>
      <c r="J61" s="723" t="inlineStr">
        <is>
          <t>Km</t>
        </is>
      </c>
      <c r="K61" s="725" t="n">
        <v>3700</v>
      </c>
      <c r="L61" s="1768">
        <f>M61-K61</f>
        <v/>
      </c>
      <c r="M61" s="738" t="n">
        <v>23589.28</v>
      </c>
      <c r="N61" s="1773" t="n">
        <v>16872</v>
      </c>
      <c r="O61" s="1762">
        <f>N61*E61/1000</f>
        <v/>
      </c>
      <c r="P61" s="1763">
        <f>O61/32</f>
        <v/>
      </c>
      <c r="Q61" s="1764">
        <f>N61*I61/1000</f>
        <v/>
      </c>
    </row>
    <row r="62" ht="15.75" customHeight="1">
      <c r="A62" s="728" t="inlineStr">
        <is>
          <t>FO23010058</t>
        </is>
      </c>
      <c r="B62" s="729" t="n">
        <v>44953</v>
      </c>
      <c r="C62" s="730" t="inlineStr">
        <is>
          <t>มัลติแบกซ์</t>
        </is>
      </c>
      <c r="D62" s="730" t="inlineStr">
        <is>
          <t>ท่าเรือแหลมฉบัง</t>
        </is>
      </c>
      <c r="E62" s="731" t="n">
        <v>6.2</v>
      </c>
      <c r="F62" s="728" t="inlineStr">
        <is>
          <t>Km</t>
        </is>
      </c>
      <c r="G62" s="732" t="inlineStr">
        <is>
          <t>รถเทรลเลอร์</t>
        </is>
      </c>
      <c r="H62" s="728" t="inlineStr">
        <is>
          <t>JACKSONVILLE IL, USA</t>
        </is>
      </c>
      <c r="I62" s="733" t="n">
        <v>15168</v>
      </c>
      <c r="J62" s="732" t="inlineStr">
        <is>
          <t>Km</t>
        </is>
      </c>
      <c r="K62" s="734" t="n">
        <v>3870</v>
      </c>
      <c r="L62" s="1770">
        <f>M62-K62</f>
        <v/>
      </c>
      <c r="M62" s="739" t="n">
        <v>21007</v>
      </c>
      <c r="N62" s="1772" t="n">
        <v>13759.2</v>
      </c>
      <c r="O62" s="1762">
        <f>N62*E62/1000</f>
        <v/>
      </c>
      <c r="P62" s="1763">
        <f>O62/32</f>
        <v/>
      </c>
      <c r="Q62" s="1764">
        <f>N62*I62/1000</f>
        <v/>
      </c>
    </row>
    <row r="63" ht="15.75" customHeight="1">
      <c r="A63" s="719" t="inlineStr">
        <is>
          <t>FO23010059</t>
        </is>
      </c>
      <c r="B63" s="720" t="n">
        <v>44953</v>
      </c>
      <c r="C63" s="721" t="inlineStr">
        <is>
          <t>มัลติแบกซ์</t>
        </is>
      </c>
      <c r="D63" s="721" t="inlineStr">
        <is>
          <t>ท่าเรือแหลมฉบัง</t>
        </is>
      </c>
      <c r="E63" s="722" t="n">
        <v>6.2</v>
      </c>
      <c r="F63" s="719" t="inlineStr">
        <is>
          <t>Km</t>
        </is>
      </c>
      <c r="G63" s="723" t="inlineStr">
        <is>
          <t>รถเทรลเลอร์</t>
        </is>
      </c>
      <c r="H63" s="719" t="inlineStr">
        <is>
          <t>JACKSONVILLE IL, USA</t>
        </is>
      </c>
      <c r="I63" s="724" t="n">
        <v>15168</v>
      </c>
      <c r="J63" s="723" t="inlineStr">
        <is>
          <t>Km</t>
        </is>
      </c>
      <c r="K63" s="725" t="n">
        <v>3720</v>
      </c>
      <c r="L63" s="1768">
        <f>M63-K63</f>
        <v/>
      </c>
      <c r="M63" s="738" t="n">
        <v>22470</v>
      </c>
      <c r="N63" s="1773" t="n">
        <v>14962.5</v>
      </c>
      <c r="O63" s="1762">
        <f>N63*E63/1000</f>
        <v/>
      </c>
      <c r="P63" s="1763">
        <f>O63/32</f>
        <v/>
      </c>
      <c r="Q63" s="1764">
        <f>N63*I63/1000</f>
        <v/>
      </c>
    </row>
    <row r="64" ht="15.75" customHeight="1">
      <c r="A64" s="728" t="inlineStr">
        <is>
          <t>FO23010060</t>
        </is>
      </c>
      <c r="B64" s="729" t="n">
        <v>44953</v>
      </c>
      <c r="C64" s="730" t="inlineStr">
        <is>
          <t>มัลติแบกซ์</t>
        </is>
      </c>
      <c r="D64" s="730" t="inlineStr">
        <is>
          <t>ท่าเรือแหลมฉบัง</t>
        </is>
      </c>
      <c r="E64" s="731" t="n">
        <v>6.2</v>
      </c>
      <c r="F64" s="728" t="inlineStr">
        <is>
          <t>Km</t>
        </is>
      </c>
      <c r="G64" s="732" t="inlineStr">
        <is>
          <t>รถเทรลเลอร์</t>
        </is>
      </c>
      <c r="H64" s="728" t="inlineStr">
        <is>
          <t>APPLETON WI , USA</t>
        </is>
      </c>
      <c r="I64" s="733" t="n">
        <v>13558</v>
      </c>
      <c r="J64" s="732" t="inlineStr">
        <is>
          <t>Km</t>
        </is>
      </c>
      <c r="K64" s="734" t="n">
        <v>3860</v>
      </c>
      <c r="L64" s="1770">
        <f>M64-K64</f>
        <v/>
      </c>
      <c r="M64" s="739" t="n">
        <v>18865</v>
      </c>
      <c r="N64" s="1772" t="n">
        <v>12414</v>
      </c>
      <c r="O64" s="1762">
        <f>N64*E64/1000</f>
        <v/>
      </c>
      <c r="P64" s="1763">
        <f>O64/32</f>
        <v/>
      </c>
      <c r="Q64" s="1764">
        <f>N64*I64/1000</f>
        <v/>
      </c>
    </row>
    <row r="65" ht="15.75" customHeight="1">
      <c r="A65" s="719" t="inlineStr">
        <is>
          <t>FO23010061</t>
        </is>
      </c>
      <c r="B65" s="720" t="n">
        <v>44953</v>
      </c>
      <c r="C65" s="721" t="inlineStr">
        <is>
          <t>มัลติแบกซ์</t>
        </is>
      </c>
      <c r="D65" s="721" t="inlineStr">
        <is>
          <t>ท่าเรือแหลมฉบัง</t>
        </is>
      </c>
      <c r="E65" s="722" t="n">
        <v>6.2</v>
      </c>
      <c r="F65" s="719" t="inlineStr">
        <is>
          <t>Km</t>
        </is>
      </c>
      <c r="G65" s="723" t="inlineStr">
        <is>
          <t>รถเทรลเลอร์</t>
        </is>
      </c>
      <c r="H65" s="719" t="inlineStr">
        <is>
          <t>JACKSONVILLE IL, USA</t>
        </is>
      </c>
      <c r="I65" s="724" t="n">
        <v>15168</v>
      </c>
      <c r="J65" s="723" t="inlineStr">
        <is>
          <t>Km</t>
        </is>
      </c>
      <c r="K65" s="725" t="n">
        <v>3700</v>
      </c>
      <c r="L65" s="1768">
        <f>M65-K65</f>
        <v/>
      </c>
      <c r="M65" s="738" t="n">
        <v>20777</v>
      </c>
      <c r="N65" s="1773" t="n">
        <v>15333.35</v>
      </c>
      <c r="O65" s="1762">
        <f>N65*E65/1000</f>
        <v/>
      </c>
      <c r="P65" s="1763">
        <f>O65/32</f>
        <v/>
      </c>
      <c r="Q65" s="1764">
        <f>N65*I65/1000</f>
        <v/>
      </c>
    </row>
    <row r="66" ht="15.75" customHeight="1">
      <c r="A66" s="728" t="inlineStr">
        <is>
          <t>FO23010062</t>
        </is>
      </c>
      <c r="B66" s="729" t="n">
        <v>44953</v>
      </c>
      <c r="C66" s="730" t="inlineStr">
        <is>
          <t>มัลติแบกซ์</t>
        </is>
      </c>
      <c r="D66" s="730" t="inlineStr">
        <is>
          <t>ท่าเรือแหลมฉบัง</t>
        </is>
      </c>
      <c r="E66" s="731" t="n">
        <v>6.2</v>
      </c>
      <c r="F66" s="728" t="inlineStr">
        <is>
          <t>Km</t>
        </is>
      </c>
      <c r="G66" s="732" t="inlineStr">
        <is>
          <t>รถเทรลเลอร์</t>
        </is>
      </c>
      <c r="H66" s="728" t="inlineStr">
        <is>
          <t>JACKSONVILLE IL, USA</t>
        </is>
      </c>
      <c r="I66" s="733" t="n">
        <v>15168</v>
      </c>
      <c r="J66" s="732" t="inlineStr">
        <is>
          <t>Km</t>
        </is>
      </c>
      <c r="K66" s="734" t="n">
        <v>3700</v>
      </c>
      <c r="L66" s="1770">
        <f>M66-K66</f>
        <v/>
      </c>
      <c r="M66" s="739" t="n">
        <v>19020</v>
      </c>
      <c r="N66" s="1772" t="n">
        <v>12558</v>
      </c>
      <c r="O66" s="1762">
        <f>N66*E66/1000</f>
        <v/>
      </c>
      <c r="P66" s="1763">
        <f>O66/32</f>
        <v/>
      </c>
      <c r="Q66" s="1764">
        <f>N66*I66/1000</f>
        <v/>
      </c>
    </row>
    <row r="67" ht="15.75" customHeight="1">
      <c r="A67" s="719" t="inlineStr">
        <is>
          <t>FO23010063</t>
        </is>
      </c>
      <c r="B67" s="720" t="n">
        <v>44953</v>
      </c>
      <c r="C67" s="721" t="inlineStr">
        <is>
          <t>มัลติแบกซ์</t>
        </is>
      </c>
      <c r="D67" s="721" t="inlineStr">
        <is>
          <t>ท่าเรือแหลมฉบัง</t>
        </is>
      </c>
      <c r="E67" s="722" t="n">
        <v>6.2</v>
      </c>
      <c r="F67" s="719" t="inlineStr">
        <is>
          <t>Km</t>
        </is>
      </c>
      <c r="G67" s="723" t="inlineStr">
        <is>
          <t>รถเทรลเลอร์</t>
        </is>
      </c>
      <c r="H67" s="719" t="inlineStr">
        <is>
          <t>PERRIS CA, USA</t>
        </is>
      </c>
      <c r="I67" s="724" t="n">
        <v>13413</v>
      </c>
      <c r="J67" s="723" t="inlineStr">
        <is>
          <t>Km</t>
        </is>
      </c>
      <c r="K67" s="725" t="n">
        <v>3840</v>
      </c>
      <c r="L67" s="1768">
        <f>M67-K67</f>
        <v/>
      </c>
      <c r="M67" s="725" t="n">
        <v>18679</v>
      </c>
      <c r="N67" s="1773" t="n">
        <v>12511.2</v>
      </c>
      <c r="O67" s="1762">
        <f>N67*E67/1000</f>
        <v/>
      </c>
      <c r="P67" s="1763">
        <f>O67/32</f>
        <v/>
      </c>
      <c r="Q67" s="1764">
        <f>N67*I67/1000</f>
        <v/>
      </c>
    </row>
    <row r="68" ht="15.75" customHeight="1">
      <c r="A68" s="728" t="inlineStr">
        <is>
          <t>FO23010064</t>
        </is>
      </c>
      <c r="B68" s="729" t="n">
        <v>44952</v>
      </c>
      <c r="C68" s="730" t="inlineStr">
        <is>
          <t>มัลติแบกซ์</t>
        </is>
      </c>
      <c r="D68" s="730" t="inlineStr">
        <is>
          <t>ท่าเรือแหลมฉบัง</t>
        </is>
      </c>
      <c r="E68" s="731" t="n">
        <v>7.1</v>
      </c>
      <c r="F68" s="728" t="inlineStr">
        <is>
          <t>Km</t>
        </is>
      </c>
      <c r="G68" s="732" t="inlineStr">
        <is>
          <t>รถเทรลเลอร์</t>
        </is>
      </c>
      <c r="H68" s="728" t="inlineStr">
        <is>
          <t>UNIVERSITY PARK IL, USA</t>
        </is>
      </c>
      <c r="I68" s="733" t="n">
        <v>13877</v>
      </c>
      <c r="J68" s="732" t="inlineStr">
        <is>
          <t>Km</t>
        </is>
      </c>
      <c r="K68" s="734" t="n">
        <v>3840</v>
      </c>
      <c r="L68" s="1770">
        <f>M68-K68</f>
        <v/>
      </c>
      <c r="M68" s="739" t="n">
        <v>14029.8</v>
      </c>
      <c r="N68" s="1772" t="n">
        <v>7660</v>
      </c>
      <c r="O68" s="1762">
        <f>N68*E68/1000</f>
        <v/>
      </c>
      <c r="P68" s="1763">
        <f>O68/32</f>
        <v/>
      </c>
      <c r="Q68" s="1764">
        <f>N68*I68/1000</f>
        <v/>
      </c>
    </row>
    <row r="69" ht="15.75" customHeight="1">
      <c r="A69" s="719" t="inlineStr">
        <is>
          <t>FO23010065</t>
        </is>
      </c>
      <c r="B69" s="720" t="n">
        <v>44952</v>
      </c>
      <c r="C69" s="721" t="inlineStr">
        <is>
          <t>มัลติแบกซ์</t>
        </is>
      </c>
      <c r="D69" s="721" t="inlineStr">
        <is>
          <t>ท่าเรือแหลมฉบัง</t>
        </is>
      </c>
      <c r="E69" s="722" t="n">
        <v>7.1</v>
      </c>
      <c r="F69" s="719" t="inlineStr">
        <is>
          <t>Km</t>
        </is>
      </c>
      <c r="G69" s="723" t="inlineStr">
        <is>
          <t>รถเทรลเลอร์</t>
        </is>
      </c>
      <c r="H69" s="719" t="inlineStr">
        <is>
          <t>UNIVERSITY PARK IL, USA</t>
        </is>
      </c>
      <c r="I69" s="724" t="n">
        <v>13877</v>
      </c>
      <c r="J69" s="723" t="inlineStr">
        <is>
          <t>Km</t>
        </is>
      </c>
      <c r="K69" s="725" t="n">
        <v>3700</v>
      </c>
      <c r="L69" s="1768">
        <f>M69-K69</f>
        <v/>
      </c>
      <c r="M69" s="738" t="n">
        <v>15714</v>
      </c>
      <c r="N69" s="1773" t="n">
        <v>8988</v>
      </c>
      <c r="O69" s="1762">
        <f>N69*E69/1000</f>
        <v/>
      </c>
      <c r="P69" s="1763">
        <f>O69/32</f>
        <v/>
      </c>
      <c r="Q69" s="1764">
        <f>N69*I69/1000</f>
        <v/>
      </c>
    </row>
    <row r="70" ht="15.75" customHeight="1">
      <c r="A70" s="728" t="inlineStr">
        <is>
          <t>FO23010066</t>
        </is>
      </c>
      <c r="B70" s="729" t="n">
        <v>44952</v>
      </c>
      <c r="C70" s="730" t="inlineStr">
        <is>
          <t>มัลติแบกซ์</t>
        </is>
      </c>
      <c r="D70" s="730" t="inlineStr">
        <is>
          <t>ท่าเรือแหลมฉบัง</t>
        </is>
      </c>
      <c r="E70" s="731" t="n">
        <v>7.1</v>
      </c>
      <c r="F70" s="728" t="inlineStr">
        <is>
          <t>Km</t>
        </is>
      </c>
      <c r="G70" s="732" t="inlineStr">
        <is>
          <t>รถเทรลเลอร์</t>
        </is>
      </c>
      <c r="H70" s="728" t="inlineStr">
        <is>
          <t>UNIVERSITY PARK IL, USA</t>
        </is>
      </c>
      <c r="I70" s="733" t="n">
        <v>13877</v>
      </c>
      <c r="J70" s="732" t="inlineStr">
        <is>
          <t>Km</t>
        </is>
      </c>
      <c r="K70" s="734" t="n">
        <v>3900</v>
      </c>
      <c r="L70" s="1770">
        <f>M70-K70</f>
        <v/>
      </c>
      <c r="M70" s="739" t="n">
        <v>23499.5</v>
      </c>
      <c r="N70" s="1772" t="n">
        <v>15795</v>
      </c>
      <c r="O70" s="1762">
        <f>N70*E70/1000</f>
        <v/>
      </c>
      <c r="P70" s="1763">
        <f>O70/32</f>
        <v/>
      </c>
      <c r="Q70" s="1764">
        <f>N70*I70/1000</f>
        <v/>
      </c>
    </row>
    <row r="71" ht="15.75" customHeight="1">
      <c r="A71" s="719" t="inlineStr">
        <is>
          <t>FO23010067</t>
        </is>
      </c>
      <c r="B71" s="720" t="n">
        <v>44952</v>
      </c>
      <c r="C71" s="721" t="inlineStr">
        <is>
          <t>มัลติแบกซ์</t>
        </is>
      </c>
      <c r="D71" s="721" t="inlineStr">
        <is>
          <t>ท่าเรือแหลมฉบัง</t>
        </is>
      </c>
      <c r="E71" s="722" t="n">
        <v>7.1</v>
      </c>
      <c r="F71" s="719" t="inlineStr">
        <is>
          <t>Km</t>
        </is>
      </c>
      <c r="G71" s="723" t="inlineStr">
        <is>
          <t>รถเทรลเลอร์</t>
        </is>
      </c>
      <c r="H71" s="719" t="inlineStr">
        <is>
          <t>UNIVERSITY PARK IL, USA</t>
        </is>
      </c>
      <c r="I71" s="724" t="n">
        <v>13877</v>
      </c>
      <c r="J71" s="723" t="inlineStr">
        <is>
          <t>Km</t>
        </is>
      </c>
      <c r="K71" s="725" t="n">
        <v>3840</v>
      </c>
      <c r="L71" s="1768">
        <f>M71-K71</f>
        <v/>
      </c>
      <c r="M71" s="738" t="n">
        <v>23439.5</v>
      </c>
      <c r="N71" s="1773" t="n">
        <v>15795</v>
      </c>
      <c r="O71" s="1762">
        <f>N71*E71/1000</f>
        <v/>
      </c>
      <c r="P71" s="1763">
        <f>O71/32</f>
        <v/>
      </c>
      <c r="Q71" s="1764">
        <f>N71*I71/1000</f>
        <v/>
      </c>
    </row>
    <row r="72" ht="15.75" customHeight="1">
      <c r="A72" s="728" t="inlineStr">
        <is>
          <t>FO23010068</t>
        </is>
      </c>
      <c r="B72" s="729" t="n">
        <v>44957</v>
      </c>
      <c r="C72" s="730" t="inlineStr">
        <is>
          <t>มัลติแบกซ์</t>
        </is>
      </c>
      <c r="D72" s="730" t="inlineStr">
        <is>
          <t>ท่าเรือแหลมฉบัง</t>
        </is>
      </c>
      <c r="E72" s="731" t="n">
        <v>5.2</v>
      </c>
      <c r="F72" s="728" t="inlineStr">
        <is>
          <t>Km</t>
        </is>
      </c>
      <c r="G72" s="732" t="inlineStr">
        <is>
          <t>รถเทรลเลอร์</t>
        </is>
      </c>
      <c r="H72" s="728" t="inlineStr">
        <is>
          <t>SHUWAIKH, KUWAIT</t>
        </is>
      </c>
      <c r="I72" s="733" t="n">
        <v>5727</v>
      </c>
      <c r="J72" s="732" t="inlineStr">
        <is>
          <t>Km</t>
        </is>
      </c>
      <c r="K72" s="734" t="n">
        <v>2265</v>
      </c>
      <c r="L72" s="1770">
        <f>M72-K72</f>
        <v/>
      </c>
      <c r="M72" s="739" t="n">
        <v>5904.2</v>
      </c>
      <c r="N72" s="1772" t="n">
        <v>2567.16</v>
      </c>
      <c r="O72" s="1762">
        <f>N72*E72/1000</f>
        <v/>
      </c>
      <c r="P72" s="1763">
        <f>O72/32</f>
        <v/>
      </c>
      <c r="Q72" s="1764">
        <f>N72*I72/1000</f>
        <v/>
      </c>
    </row>
    <row r="73" ht="15.75" customHeight="1">
      <c r="A73" s="719" t="inlineStr">
        <is>
          <t>FO23010069</t>
        </is>
      </c>
      <c r="B73" s="720" t="n">
        <v>44958</v>
      </c>
      <c r="C73" s="721" t="inlineStr">
        <is>
          <t>มัลติแบกซ์</t>
        </is>
      </c>
      <c r="D73" s="721" t="inlineStr">
        <is>
          <t>ท่าเรือแหลมฉบัง</t>
        </is>
      </c>
      <c r="E73" s="722" t="n">
        <v>6.2</v>
      </c>
      <c r="F73" s="719" t="inlineStr">
        <is>
          <t>Km</t>
        </is>
      </c>
      <c r="G73" s="723" t="inlineStr">
        <is>
          <t>รถเทรลเลอร์</t>
        </is>
      </c>
      <c r="H73" s="719" t="inlineStr">
        <is>
          <t>SANTA TERESA, NM USA</t>
        </is>
      </c>
      <c r="I73" s="724" t="n">
        <v>17387</v>
      </c>
      <c r="J73" s="723" t="inlineStr">
        <is>
          <t>Km</t>
        </is>
      </c>
      <c r="K73" s="725" t="n">
        <v>3830</v>
      </c>
      <c r="L73" s="1768">
        <f>M73-K73</f>
        <v/>
      </c>
      <c r="M73" s="738" t="n">
        <v>22912.07</v>
      </c>
      <c r="N73" s="1774" t="n">
        <v>16552.45</v>
      </c>
      <c r="O73" s="1762">
        <f>N73*E73/1000</f>
        <v/>
      </c>
      <c r="P73" s="1763">
        <f>O73/32</f>
        <v/>
      </c>
      <c r="Q73" s="1764">
        <f>N73*I73/1000</f>
        <v/>
      </c>
    </row>
    <row r="74" ht="15.75" customHeight="1">
      <c r="A74" s="728" t="inlineStr">
        <is>
          <t>FO23010070</t>
        </is>
      </c>
      <c r="B74" s="729" t="n">
        <v>44956</v>
      </c>
      <c r="C74" s="730" t="inlineStr">
        <is>
          <t>มัลติแบกซ์</t>
        </is>
      </c>
      <c r="D74" s="730" t="inlineStr">
        <is>
          <t>ท่าเรือแหลมฉบัง</t>
        </is>
      </c>
      <c r="E74" s="731" t="n">
        <v>5.2</v>
      </c>
      <c r="F74" s="728" t="inlineStr">
        <is>
          <t>Km</t>
        </is>
      </c>
      <c r="G74" s="732" t="inlineStr">
        <is>
          <t>รถเทรลเลอร์</t>
        </is>
      </c>
      <c r="H74" s="728" t="inlineStr">
        <is>
          <t>MANILA, PHILIPPINES</t>
        </is>
      </c>
      <c r="I74" s="733" t="n">
        <v>2167</v>
      </c>
      <c r="J74" s="732" t="inlineStr">
        <is>
          <t>Km</t>
        </is>
      </c>
      <c r="K74" s="734" t="n">
        <v>2200</v>
      </c>
      <c r="L74" s="1770">
        <f>M74-K74</f>
        <v/>
      </c>
      <c r="M74" s="739" t="n">
        <v>6598.4</v>
      </c>
      <c r="N74" s="1772" t="n">
        <v>3272.8</v>
      </c>
      <c r="O74" s="1762">
        <f>N74*E74/1000</f>
        <v/>
      </c>
      <c r="P74" s="1763">
        <f>O74/32</f>
        <v/>
      </c>
      <c r="Q74" s="1764">
        <f>N74*I74/1000</f>
        <v/>
      </c>
    </row>
    <row r="75" ht="15.75" customHeight="1">
      <c r="A75" s="719" t="inlineStr">
        <is>
          <t>FO23010071</t>
        </is>
      </c>
      <c r="B75" s="720" t="n">
        <v>44956</v>
      </c>
      <c r="C75" s="721" t="inlineStr">
        <is>
          <t>มัลติแบกซ์</t>
        </is>
      </c>
      <c r="D75" s="721" t="inlineStr">
        <is>
          <t>ท่าเรือแหลมฉบัง</t>
        </is>
      </c>
      <c r="E75" s="722" t="n">
        <v>5.2</v>
      </c>
      <c r="F75" s="719" t="inlineStr">
        <is>
          <t>Km</t>
        </is>
      </c>
      <c r="G75" s="723" t="inlineStr">
        <is>
          <t>รถเทรลเลอร์</t>
        </is>
      </c>
      <c r="H75" s="719" t="inlineStr">
        <is>
          <t>APPLETON WI , USA</t>
        </is>
      </c>
      <c r="I75" s="724" t="n">
        <v>13558</v>
      </c>
      <c r="J75" s="723" t="inlineStr">
        <is>
          <t>Km</t>
        </is>
      </c>
      <c r="K75" s="725" t="n">
        <v>3770</v>
      </c>
      <c r="L75" s="1768">
        <f>M75-K75</f>
        <v/>
      </c>
      <c r="M75" s="738" t="n">
        <v>18663.5</v>
      </c>
      <c r="N75" s="1773" t="n">
        <v>12312.5</v>
      </c>
      <c r="O75" s="1762">
        <f>N75*E75/1000</f>
        <v/>
      </c>
      <c r="P75" s="1763">
        <f>O75/32</f>
        <v/>
      </c>
      <c r="Q75" s="1764">
        <f>N75*I75/1000</f>
        <v/>
      </c>
    </row>
    <row r="76" ht="15.75" customHeight="1">
      <c r="A76" s="728" t="inlineStr">
        <is>
          <t>FO23010072</t>
        </is>
      </c>
      <c r="B76" s="729" t="n">
        <v>44953</v>
      </c>
      <c r="C76" s="730" t="inlineStr">
        <is>
          <t>มัลติแบกซ์</t>
        </is>
      </c>
      <c r="D76" s="730" t="inlineStr">
        <is>
          <t>ท่าเรือแหลมฉบัง</t>
        </is>
      </c>
      <c r="E76" s="731" t="n">
        <v>11.9</v>
      </c>
      <c r="F76" s="728" t="inlineStr">
        <is>
          <t>Km</t>
        </is>
      </c>
      <c r="G76" s="732" t="inlineStr">
        <is>
          <t>รถเทรลเลอร์</t>
        </is>
      </c>
      <c r="H76" s="728" t="inlineStr">
        <is>
          <t>DURBAN, SOUTH AFRICA</t>
        </is>
      </c>
      <c r="I76" s="733" t="n">
        <v>8865</v>
      </c>
      <c r="J76" s="732" t="inlineStr">
        <is>
          <t>Km</t>
        </is>
      </c>
      <c r="K76" s="734" t="n">
        <v>2230</v>
      </c>
      <c r="L76" s="1770">
        <f>M76-K76</f>
        <v/>
      </c>
      <c r="M76" s="734" t="n">
        <v>13005.5</v>
      </c>
      <c r="N76" s="1772" t="n">
        <v>9915</v>
      </c>
      <c r="O76" s="1762">
        <f>N76*E76/1000</f>
        <v/>
      </c>
      <c r="P76" s="1763">
        <f>O76/32</f>
        <v/>
      </c>
      <c r="Q76" s="1764">
        <f>N76*I76/1000</f>
        <v/>
      </c>
    </row>
    <row r="77" ht="15.75" customHeight="1">
      <c r="A77" s="719" t="inlineStr">
        <is>
          <t>FO23010073</t>
        </is>
      </c>
      <c r="B77" s="720" t="n">
        <v>44957</v>
      </c>
      <c r="C77" s="721" t="inlineStr">
        <is>
          <t>มัลติแบกซ์</t>
        </is>
      </c>
      <c r="D77" s="721" t="inlineStr">
        <is>
          <t>ท่าเรือแหลมฉบัง</t>
        </is>
      </c>
      <c r="E77" s="722" t="n">
        <v>6.2</v>
      </c>
      <c r="F77" s="719" t="inlineStr">
        <is>
          <t>Km</t>
        </is>
      </c>
      <c r="G77" s="723" t="inlineStr">
        <is>
          <t>รถเทรลเลอร์</t>
        </is>
      </c>
      <c r="H77" s="719" t="inlineStr">
        <is>
          <t>CARROLLTON TX, USA</t>
        </is>
      </c>
      <c r="I77" s="724" t="n">
        <v>14544</v>
      </c>
      <c r="J77" s="723" t="inlineStr">
        <is>
          <t>Km</t>
        </is>
      </c>
      <c r="K77" s="725" t="n">
        <v>3870</v>
      </c>
      <c r="L77" s="1768">
        <f>M77-K77</f>
        <v/>
      </c>
      <c r="M77" s="738" t="n">
        <v>17820.4</v>
      </c>
      <c r="N77" s="1773" t="n">
        <v>12112.5</v>
      </c>
      <c r="O77" s="1762">
        <f>N77*E77/1000</f>
        <v/>
      </c>
      <c r="P77" s="1763">
        <f>O77/32</f>
        <v/>
      </c>
      <c r="Q77" s="1764">
        <f>N77*I77/1000</f>
        <v/>
      </c>
    </row>
    <row r="78" ht="15.75" customHeight="1">
      <c r="A78" s="728" t="inlineStr">
        <is>
          <t>FO23010074</t>
        </is>
      </c>
      <c r="B78" s="729" t="n">
        <v>44957</v>
      </c>
      <c r="C78" s="730" t="inlineStr">
        <is>
          <t>มัลติแบกซ์</t>
        </is>
      </c>
      <c r="D78" s="730" t="inlineStr">
        <is>
          <t>ท่าเรือแหลมฉบัง</t>
        </is>
      </c>
      <c r="E78" s="731" t="n">
        <v>6.5</v>
      </c>
      <c r="F78" s="728" t="inlineStr">
        <is>
          <t>Km</t>
        </is>
      </c>
      <c r="G78" s="732" t="inlineStr">
        <is>
          <t>รถเทรลเลอร์</t>
        </is>
      </c>
      <c r="H78" s="728" t="inlineStr">
        <is>
          <t>JACKSONVILLE IL, USA</t>
        </is>
      </c>
      <c r="I78" s="733" t="n">
        <v>15168</v>
      </c>
      <c r="J78" s="732" t="inlineStr">
        <is>
          <t>Km</t>
        </is>
      </c>
      <c r="K78" s="734" t="n">
        <v>3810</v>
      </c>
      <c r="L78" s="1770">
        <f>M78-K78</f>
        <v/>
      </c>
      <c r="M78" s="739" t="n">
        <v>22537</v>
      </c>
      <c r="N78" s="1772" t="n">
        <v>14962.5</v>
      </c>
      <c r="O78" s="1762">
        <f>N78*E78/1000</f>
        <v/>
      </c>
      <c r="P78" s="1763">
        <f>O78/32</f>
        <v/>
      </c>
      <c r="Q78" s="1764">
        <f>N78*I78/1000</f>
        <v/>
      </c>
    </row>
    <row r="79" ht="15.75" customHeight="1">
      <c r="A79" s="719" t="inlineStr">
        <is>
          <t>FO23010075</t>
        </is>
      </c>
      <c r="B79" s="720" t="n">
        <v>44958</v>
      </c>
      <c r="C79" s="721" t="inlineStr">
        <is>
          <t>มัลติแบกซ์</t>
        </is>
      </c>
      <c r="D79" s="721" t="inlineStr">
        <is>
          <t>ท่าเรือแหลมฉบัง</t>
        </is>
      </c>
      <c r="E79" s="722" t="n">
        <v>6.2</v>
      </c>
      <c r="F79" s="719" t="inlineStr">
        <is>
          <t>Km</t>
        </is>
      </c>
      <c r="G79" s="723" t="inlineStr">
        <is>
          <t>รถเทรลเลอร์</t>
        </is>
      </c>
      <c r="H79" s="719" t="inlineStr">
        <is>
          <t>MANZANILLO, MEXICO</t>
        </is>
      </c>
      <c r="I79" s="724" t="n">
        <v>15486</v>
      </c>
      <c r="J79" s="723" t="inlineStr">
        <is>
          <t>Km</t>
        </is>
      </c>
      <c r="K79" s="725" t="n">
        <v>3700</v>
      </c>
      <c r="L79" s="1768">
        <f>M79-K79</f>
        <v/>
      </c>
      <c r="M79" s="738" t="n">
        <v>13493.4</v>
      </c>
      <c r="N79" s="1774" t="n">
        <v>7122</v>
      </c>
      <c r="O79" s="1762">
        <f>N79*E79/1000</f>
        <v/>
      </c>
      <c r="P79" s="1763">
        <f>O79/32</f>
        <v/>
      </c>
      <c r="Q79" s="1764">
        <f>N79*I79/1000</f>
        <v/>
      </c>
    </row>
    <row r="80" ht="15.75" customHeight="1">
      <c r="A80" s="719" t="inlineStr">
        <is>
          <t>FO23020001</t>
        </is>
      </c>
      <c r="B80" s="720" t="n">
        <v>44960</v>
      </c>
      <c r="C80" s="721" t="inlineStr">
        <is>
          <t>มัลติแบกซ์</t>
        </is>
      </c>
      <c r="D80" s="721" t="inlineStr">
        <is>
          <t>ท่าเรือแหลมฉบัง</t>
        </is>
      </c>
      <c r="E80" s="722" t="n">
        <v>6.5</v>
      </c>
      <c r="F80" s="719" t="inlineStr">
        <is>
          <t>Km</t>
        </is>
      </c>
      <c r="G80" s="719" t="inlineStr">
        <is>
          <t>รถเทรลเลอร์</t>
        </is>
      </c>
      <c r="H80" s="719" t="inlineStr">
        <is>
          <t>UK PORT</t>
        </is>
      </c>
      <c r="I80" s="724" t="n">
        <v>9687</v>
      </c>
      <c r="J80" s="723" t="inlineStr">
        <is>
          <t>Km</t>
        </is>
      </c>
      <c r="K80" s="725" t="n">
        <v>3900</v>
      </c>
      <c r="L80" s="740">
        <f>M80-K80</f>
        <v/>
      </c>
      <c r="M80" s="738" t="n">
        <v>28927</v>
      </c>
      <c r="N80" s="1773" t="n">
        <v>23842</v>
      </c>
      <c r="O80" s="1762">
        <f>N80*E80/1000</f>
        <v/>
      </c>
      <c r="P80" s="1763">
        <f>O80/32</f>
        <v/>
      </c>
      <c r="Q80" s="1764">
        <f>N80*I80/1000</f>
        <v/>
      </c>
    </row>
    <row r="81" ht="15.75" customHeight="1">
      <c r="A81" s="728" t="inlineStr">
        <is>
          <t>FO23020002</t>
        </is>
      </c>
      <c r="B81" s="729" t="n">
        <v>44964</v>
      </c>
      <c r="C81" s="730" t="inlineStr">
        <is>
          <t>มัลติแบกซ์</t>
        </is>
      </c>
      <c r="D81" s="730" t="inlineStr">
        <is>
          <t>ท่าเรือแหลมฉบัง</t>
        </is>
      </c>
      <c r="E81" s="731" t="n">
        <v>6.2</v>
      </c>
      <c r="F81" s="728" t="inlineStr">
        <is>
          <t>Km</t>
        </is>
      </c>
      <c r="G81" s="728" t="inlineStr">
        <is>
          <t>รถเทรลเลอร์</t>
        </is>
      </c>
      <c r="H81" s="728" t="inlineStr">
        <is>
          <t>SYDNEY, AUSTRALIA</t>
        </is>
      </c>
      <c r="I81" s="733" t="n">
        <v>7448</v>
      </c>
      <c r="J81" s="732" t="inlineStr">
        <is>
          <t>Km</t>
        </is>
      </c>
      <c r="K81" s="734" t="n">
        <v>3860</v>
      </c>
      <c r="L81" s="741">
        <f>M81-K81</f>
        <v/>
      </c>
      <c r="M81" s="1771" t="n">
        <v>14402</v>
      </c>
      <c r="N81" s="1772" t="n">
        <v>5202</v>
      </c>
      <c r="O81" s="1762">
        <f>N81*E81/1000</f>
        <v/>
      </c>
      <c r="P81" s="1763">
        <f>O81/32</f>
        <v/>
      </c>
      <c r="Q81" s="1764">
        <f>N81*I81/1000</f>
        <v/>
      </c>
    </row>
    <row r="82" ht="15.75" customHeight="1">
      <c r="A82" s="719" t="inlineStr">
        <is>
          <t>FO23020003</t>
        </is>
      </c>
      <c r="B82" s="720" t="n">
        <v>44964</v>
      </c>
      <c r="C82" s="721" t="inlineStr">
        <is>
          <t>มัลติแบกซ์</t>
        </is>
      </c>
      <c r="D82" s="721" t="inlineStr">
        <is>
          <t>ท่าเรือแหลมฉบัง</t>
        </is>
      </c>
      <c r="E82" s="722" t="n">
        <v>6.2</v>
      </c>
      <c r="F82" s="719" t="inlineStr">
        <is>
          <t>Km</t>
        </is>
      </c>
      <c r="G82" s="719" t="inlineStr">
        <is>
          <t>รถเทรลเลอร์</t>
        </is>
      </c>
      <c r="H82" s="719" t="inlineStr">
        <is>
          <t>SYDNEY, AUSTRALIA</t>
        </is>
      </c>
      <c r="I82" s="724" t="n">
        <v>7448</v>
      </c>
      <c r="J82" s="723" t="inlineStr">
        <is>
          <t>Km</t>
        </is>
      </c>
      <c r="K82" s="725" t="n">
        <v>3700</v>
      </c>
      <c r="L82" s="740">
        <f>M82-K82</f>
        <v/>
      </c>
      <c r="M82" s="1769" t="n">
        <v>14242</v>
      </c>
      <c r="N82" s="1773" t="n">
        <v>5202</v>
      </c>
      <c r="O82" s="1762">
        <f>N82*E82/1000</f>
        <v/>
      </c>
      <c r="P82" s="1763">
        <f>O82/32</f>
        <v/>
      </c>
      <c r="Q82" s="1764">
        <f>N82*I82/1000</f>
        <v/>
      </c>
    </row>
    <row r="83" ht="15.75" customHeight="1">
      <c r="A83" s="728" t="inlineStr">
        <is>
          <t>FO23020004</t>
        </is>
      </c>
      <c r="B83" s="729" t="n">
        <v>44959</v>
      </c>
      <c r="C83" s="730" t="inlineStr">
        <is>
          <t>มัลติแบกซ์</t>
        </is>
      </c>
      <c r="D83" s="730" t="inlineStr">
        <is>
          <t>ท่าเรือแหลมฉบัง</t>
        </is>
      </c>
      <c r="E83" s="731" t="n">
        <v>6.2</v>
      </c>
      <c r="F83" s="730" t="inlineStr">
        <is>
          <t>Km</t>
        </is>
      </c>
      <c r="G83" s="730" t="inlineStr">
        <is>
          <t>รถเทรลเลอร์</t>
        </is>
      </c>
      <c r="H83" s="728" t="inlineStr">
        <is>
          <t>JACKSONVILLE IL, USA</t>
        </is>
      </c>
      <c r="I83" s="733" t="n">
        <v>15168</v>
      </c>
      <c r="J83" s="737" t="inlineStr">
        <is>
          <t>Km</t>
        </is>
      </c>
      <c r="K83" s="734" t="n">
        <v>3660</v>
      </c>
      <c r="L83" s="741">
        <f>M83-K83</f>
        <v/>
      </c>
      <c r="M83" s="739" t="n">
        <v>19860</v>
      </c>
      <c r="N83" s="1772" t="n">
        <v>13083</v>
      </c>
      <c r="O83" s="1762">
        <f>N83*E83/1000</f>
        <v/>
      </c>
      <c r="P83" s="1763">
        <f>O83/32</f>
        <v/>
      </c>
      <c r="Q83" s="1764">
        <f>N83*I83/1000</f>
        <v/>
      </c>
    </row>
    <row r="84" ht="15.75" customHeight="1">
      <c r="A84" s="719" t="inlineStr">
        <is>
          <t>FO23020005</t>
        </is>
      </c>
      <c r="B84" s="720" t="n">
        <v>44963</v>
      </c>
      <c r="C84" s="721" t="inlineStr">
        <is>
          <t>มัลติแบกซ์</t>
        </is>
      </c>
      <c r="D84" s="721" t="inlineStr">
        <is>
          <t>ท่าเรือแหลมฉบัง</t>
        </is>
      </c>
      <c r="E84" s="722" t="n">
        <v>5.3</v>
      </c>
      <c r="F84" s="719" t="inlineStr">
        <is>
          <t>Km</t>
        </is>
      </c>
      <c r="G84" s="719" t="inlineStr">
        <is>
          <t>รถเทรลเลอร์</t>
        </is>
      </c>
      <c r="H84" s="719" t="inlineStr">
        <is>
          <t>JACKSONVILLE IL, USA</t>
        </is>
      </c>
      <c r="I84" s="724" t="n">
        <v>15168</v>
      </c>
      <c r="J84" s="723" t="inlineStr">
        <is>
          <t>Km</t>
        </is>
      </c>
      <c r="K84" s="725" t="n">
        <v>3850</v>
      </c>
      <c r="L84" s="740">
        <f>M84-K84</f>
        <v/>
      </c>
      <c r="M84" s="738" t="n">
        <v>22928</v>
      </c>
      <c r="N84" s="1773" t="n">
        <v>16275</v>
      </c>
      <c r="O84" s="1762">
        <f>N84*E84/1000</f>
        <v/>
      </c>
      <c r="P84" s="1763">
        <f>O84/32</f>
        <v/>
      </c>
      <c r="Q84" s="1764">
        <f>N84*I84/1000</f>
        <v/>
      </c>
    </row>
    <row r="85" ht="15.75" customHeight="1">
      <c r="A85" s="728" t="inlineStr">
        <is>
          <t>FO23020006</t>
        </is>
      </c>
      <c r="B85" s="729" t="n">
        <v>44961</v>
      </c>
      <c r="C85" s="730" t="inlineStr">
        <is>
          <t>มัลติแบกซ์</t>
        </is>
      </c>
      <c r="D85" s="730" t="inlineStr">
        <is>
          <t>ท่าเรือแหลมฉบัง</t>
        </is>
      </c>
      <c r="E85" s="731" t="n">
        <v>6</v>
      </c>
      <c r="F85" s="728" t="inlineStr">
        <is>
          <t>Km</t>
        </is>
      </c>
      <c r="G85" s="728" t="inlineStr">
        <is>
          <t>รถเทรลเลอร์</t>
        </is>
      </c>
      <c r="H85" s="728" t="inlineStr">
        <is>
          <t>JACKSONVILLE IL, USA</t>
        </is>
      </c>
      <c r="I85" s="733" t="n">
        <v>15168</v>
      </c>
      <c r="J85" s="732" t="inlineStr">
        <is>
          <t>Km</t>
        </is>
      </c>
      <c r="K85" s="734" t="n">
        <v>3700</v>
      </c>
      <c r="L85" s="741">
        <f>M85-K85</f>
        <v/>
      </c>
      <c r="M85" s="739" t="n">
        <v>22778</v>
      </c>
      <c r="N85" s="1772" t="n">
        <v>16275</v>
      </c>
      <c r="O85" s="1762">
        <f>N85*E85/1000</f>
        <v/>
      </c>
      <c r="P85" s="1763">
        <f>O85/32</f>
        <v/>
      </c>
      <c r="Q85" s="1764">
        <f>N85*I85/1000</f>
        <v/>
      </c>
    </row>
    <row r="86" ht="15.75" customHeight="1">
      <c r="A86" s="719" t="inlineStr">
        <is>
          <t>FO23020007</t>
        </is>
      </c>
      <c r="B86" s="720" t="n">
        <v>44985</v>
      </c>
      <c r="C86" s="721" t="inlineStr">
        <is>
          <t>มัลติแบกซ์</t>
        </is>
      </c>
      <c r="D86" s="721" t="inlineStr">
        <is>
          <t>ท่าเรือแหลมฉบัง</t>
        </is>
      </c>
      <c r="E86" s="722" t="n">
        <v>6.2</v>
      </c>
      <c r="F86" s="719" t="inlineStr">
        <is>
          <t>Km</t>
        </is>
      </c>
      <c r="G86" s="719" t="inlineStr">
        <is>
          <t>รถเทรลเลอร์</t>
        </is>
      </c>
      <c r="H86" s="719" t="inlineStr">
        <is>
          <t>PERRIS CA, USA</t>
        </is>
      </c>
      <c r="I86" s="724" t="n">
        <v>13413</v>
      </c>
      <c r="J86" s="723" t="inlineStr">
        <is>
          <t>Km</t>
        </is>
      </c>
      <c r="K86" s="725" t="n">
        <v>3700</v>
      </c>
      <c r="L86" s="740">
        <f>M86-K86</f>
        <v/>
      </c>
      <c r="M86" s="1769" t="n">
        <v>18539</v>
      </c>
      <c r="N86" s="1773" t="n">
        <v>12511.2</v>
      </c>
      <c r="O86" s="1762">
        <f>N86*E86/1000</f>
        <v/>
      </c>
      <c r="P86" s="1763">
        <f>O86/32</f>
        <v/>
      </c>
      <c r="Q86" s="1764">
        <f>N86*I86/1000</f>
        <v/>
      </c>
    </row>
    <row r="87" ht="15.75" customHeight="1">
      <c r="A87" s="728" t="inlineStr">
        <is>
          <t>FO23020008</t>
        </is>
      </c>
      <c r="B87" s="729" t="n">
        <v>44960</v>
      </c>
      <c r="C87" s="730" t="inlineStr">
        <is>
          <t>มัลติแบกซ์</t>
        </is>
      </c>
      <c r="D87" s="730" t="inlineStr">
        <is>
          <t>ท่าเรือแหลมฉบัง</t>
        </is>
      </c>
      <c r="E87" s="731" t="n">
        <v>5.3</v>
      </c>
      <c r="F87" s="728" t="inlineStr">
        <is>
          <t>Km</t>
        </is>
      </c>
      <c r="G87" s="728" t="inlineStr">
        <is>
          <t>รถเทรลเลอร์</t>
        </is>
      </c>
      <c r="H87" s="728" t="inlineStr">
        <is>
          <t>COLUMBUS OHIO, USA</t>
        </is>
      </c>
      <c r="I87" s="733" t="n">
        <v>14000</v>
      </c>
      <c r="J87" s="732" t="inlineStr">
        <is>
          <t>Km</t>
        </is>
      </c>
      <c r="K87" s="734" t="n">
        <v>3830</v>
      </c>
      <c r="L87" s="741">
        <f>M87-K87</f>
        <v/>
      </c>
      <c r="M87" s="739" t="n">
        <v>21865.26</v>
      </c>
      <c r="N87" s="1772" t="n">
        <v>15154.58</v>
      </c>
      <c r="O87" s="1762">
        <f>N87*E87/1000</f>
        <v/>
      </c>
      <c r="P87" s="1763">
        <f>O87/32</f>
        <v/>
      </c>
      <c r="Q87" s="1764">
        <f>N87*I87/1000</f>
        <v/>
      </c>
    </row>
    <row r="88" ht="15.75" customHeight="1">
      <c r="A88" s="719" t="inlineStr">
        <is>
          <t>FO23020009</t>
        </is>
      </c>
      <c r="B88" s="720" t="n">
        <v>44961</v>
      </c>
      <c r="C88" s="721" t="inlineStr">
        <is>
          <t>มัลติแบกซ์</t>
        </is>
      </c>
      <c r="D88" s="721" t="inlineStr">
        <is>
          <t>ท่าเรือแหลมฉบัง</t>
        </is>
      </c>
      <c r="E88" s="722" t="n">
        <v>6</v>
      </c>
      <c r="F88" s="719" t="inlineStr">
        <is>
          <t>Km</t>
        </is>
      </c>
      <c r="G88" s="719" t="inlineStr">
        <is>
          <t>รถเทรลเลอร์</t>
        </is>
      </c>
      <c r="H88" s="719" t="inlineStr">
        <is>
          <t>JEDDAH , SAUDI ARABIA</t>
        </is>
      </c>
      <c r="I88" s="724" t="n">
        <v>6579</v>
      </c>
      <c r="J88" s="723" t="inlineStr">
        <is>
          <t>Km</t>
        </is>
      </c>
      <c r="K88" s="725" t="n">
        <v>3900</v>
      </c>
      <c r="L88" s="740">
        <f>M88-K88</f>
        <v/>
      </c>
      <c r="M88" s="738" t="n">
        <v>14235.38</v>
      </c>
      <c r="N88" s="1773" t="n">
        <v>8194.049999999999</v>
      </c>
      <c r="O88" s="1762">
        <f>N88*E88/1000</f>
        <v/>
      </c>
      <c r="P88" s="1763">
        <f>O88/32</f>
        <v/>
      </c>
      <c r="Q88" s="1764">
        <f>N88*I88/1000</f>
        <v/>
      </c>
    </row>
    <row r="89" ht="15.75" customHeight="1">
      <c r="A89" s="728" t="inlineStr">
        <is>
          <t>FO23020010</t>
        </is>
      </c>
      <c r="B89" s="729" t="n">
        <v>44960</v>
      </c>
      <c r="C89" s="730" t="inlineStr">
        <is>
          <t>มัลติแบกซ์</t>
        </is>
      </c>
      <c r="D89" s="730" t="inlineStr">
        <is>
          <t>ท่าเรือแหลมฉบัง</t>
        </is>
      </c>
      <c r="E89" s="731" t="n">
        <v>11.9</v>
      </c>
      <c r="F89" s="728" t="inlineStr">
        <is>
          <t>Km</t>
        </is>
      </c>
      <c r="G89" s="728" t="inlineStr">
        <is>
          <t>รถเทรลเลอร์</t>
        </is>
      </c>
      <c r="H89" s="728" t="inlineStr">
        <is>
          <t>SHUWAIKH, KUWAIT</t>
        </is>
      </c>
      <c r="I89" s="733" t="n">
        <v>5727</v>
      </c>
      <c r="J89" s="732" t="inlineStr">
        <is>
          <t>Km</t>
        </is>
      </c>
      <c r="K89" s="734" t="n">
        <v>2200</v>
      </c>
      <c r="L89" s="741">
        <f>M89-K89</f>
        <v/>
      </c>
      <c r="M89" s="739" t="n">
        <v>8908.15</v>
      </c>
      <c r="N89" s="1772" t="n">
        <v>5684.31</v>
      </c>
      <c r="O89" s="1762">
        <f>N89*E89/1000</f>
        <v/>
      </c>
      <c r="P89" s="1763">
        <f>O89/32</f>
        <v/>
      </c>
      <c r="Q89" s="1764">
        <f>N89*I89/1000</f>
        <v/>
      </c>
    </row>
    <row r="90" ht="15.75" customHeight="1">
      <c r="A90" s="719" t="inlineStr">
        <is>
          <t>FO23020011</t>
        </is>
      </c>
      <c r="B90" s="720" t="n">
        <v>44960</v>
      </c>
      <c r="C90" s="721" t="inlineStr">
        <is>
          <t>มัลติแบกซ์</t>
        </is>
      </c>
      <c r="D90" s="721" t="inlineStr">
        <is>
          <t>ท่าเรือแหลมฉบัง</t>
        </is>
      </c>
      <c r="E90" s="722" t="n">
        <v>11.9</v>
      </c>
      <c r="F90" s="719" t="inlineStr">
        <is>
          <t>Km</t>
        </is>
      </c>
      <c r="G90" s="719" t="inlineStr">
        <is>
          <t>รถเทรลเลอร์</t>
        </is>
      </c>
      <c r="H90" s="719" t="inlineStr">
        <is>
          <t>HAMAD, QATAR</t>
        </is>
      </c>
      <c r="I90" s="724" t="n">
        <v>5317</v>
      </c>
      <c r="J90" s="723" t="inlineStr">
        <is>
          <t>Km</t>
        </is>
      </c>
      <c r="K90" s="725" t="n">
        <v>2180</v>
      </c>
      <c r="L90" s="740">
        <f>M90-K90</f>
        <v/>
      </c>
      <c r="M90" s="738" t="n">
        <v>8935.08</v>
      </c>
      <c r="N90" s="1773" t="n">
        <v>5656.48</v>
      </c>
      <c r="O90" s="1762">
        <f>N90*E90/1000</f>
        <v/>
      </c>
      <c r="P90" s="1763">
        <f>O90/32</f>
        <v/>
      </c>
      <c r="Q90" s="1764">
        <f>N90*I90/1000</f>
        <v/>
      </c>
    </row>
    <row r="91" ht="15.75" customHeight="1">
      <c r="A91" s="728" t="inlineStr">
        <is>
          <t>FO23020012</t>
        </is>
      </c>
      <c r="B91" s="729" t="n">
        <v>44967</v>
      </c>
      <c r="C91" s="730" t="inlineStr">
        <is>
          <t>มัลติแบกซ์</t>
        </is>
      </c>
      <c r="D91" s="730" t="inlineStr">
        <is>
          <t>ท่าเรือแหลมฉบัง</t>
        </is>
      </c>
      <c r="E91" s="731" t="n">
        <v>6.2</v>
      </c>
      <c r="F91" s="728" t="inlineStr">
        <is>
          <t>Km</t>
        </is>
      </c>
      <c r="G91" s="728" t="inlineStr">
        <is>
          <t>รถเทรลเลอร์</t>
        </is>
      </c>
      <c r="H91" s="728" t="inlineStr">
        <is>
          <t>AJMAN PORT, UAE</t>
        </is>
      </c>
      <c r="I91" s="733" t="n">
        <v>4929</v>
      </c>
      <c r="J91" s="732" t="inlineStr">
        <is>
          <t>Km</t>
        </is>
      </c>
      <c r="K91" s="734" t="n">
        <v>3780</v>
      </c>
      <c r="L91" s="741">
        <f>M91-K91</f>
        <v/>
      </c>
      <c r="M91" s="1771" t="n">
        <v>19049</v>
      </c>
      <c r="N91" s="1772" t="n">
        <v>13988.44</v>
      </c>
      <c r="O91" s="1762">
        <f>N91*E91/1000</f>
        <v/>
      </c>
      <c r="P91" s="1763">
        <f>O91/32</f>
        <v/>
      </c>
      <c r="Q91" s="1764">
        <f>N91*I91/1000</f>
        <v/>
      </c>
    </row>
    <row r="92" ht="15.75" customHeight="1">
      <c r="A92" s="719" t="inlineStr">
        <is>
          <t>FO23020013</t>
        </is>
      </c>
      <c r="B92" s="720" t="n">
        <v>44967</v>
      </c>
      <c r="C92" s="721" t="inlineStr">
        <is>
          <t>มัลติแบกซ์</t>
        </is>
      </c>
      <c r="D92" s="721" t="inlineStr">
        <is>
          <t>ท่าเรือแหลมฉบัง</t>
        </is>
      </c>
      <c r="E92" s="722" t="n">
        <v>11.9</v>
      </c>
      <c r="F92" s="719" t="inlineStr">
        <is>
          <t>Km</t>
        </is>
      </c>
      <c r="G92" s="719" t="inlineStr">
        <is>
          <t>รถเทรลเลอร์</t>
        </is>
      </c>
      <c r="H92" s="719" t="inlineStr">
        <is>
          <t>AJMAN PORT, UAE</t>
        </is>
      </c>
      <c r="I92" s="724" t="n">
        <v>4929</v>
      </c>
      <c r="J92" s="723" t="inlineStr">
        <is>
          <t>Km</t>
        </is>
      </c>
      <c r="K92" s="725" t="n">
        <v>3800</v>
      </c>
      <c r="L92" s="740">
        <f>M92-K92</f>
        <v/>
      </c>
      <c r="M92" s="1769" t="n">
        <v>16820.2</v>
      </c>
      <c r="N92" s="1773" t="n">
        <v>10330.8</v>
      </c>
      <c r="O92" s="1762">
        <f>N92*E92/1000</f>
        <v/>
      </c>
      <c r="P92" s="1763">
        <f>O92/32</f>
        <v/>
      </c>
      <c r="Q92" s="1764">
        <f>N92*I92/1000</f>
        <v/>
      </c>
    </row>
    <row r="93" ht="15.75" customHeight="1">
      <c r="A93" s="728" t="inlineStr">
        <is>
          <t>FO23020014</t>
        </is>
      </c>
      <c r="B93" s="729" t="n">
        <v>44967</v>
      </c>
      <c r="C93" s="730" t="inlineStr">
        <is>
          <t>มัลติแบกซ์</t>
        </is>
      </c>
      <c r="D93" s="730" t="inlineStr">
        <is>
          <t>ท่าเรือแหลมฉบัง</t>
        </is>
      </c>
      <c r="E93" s="731" t="n">
        <v>11.9</v>
      </c>
      <c r="F93" s="728" t="inlineStr">
        <is>
          <t>Km</t>
        </is>
      </c>
      <c r="G93" s="728" t="inlineStr">
        <is>
          <t>รถเทรลเลอร์</t>
        </is>
      </c>
      <c r="H93" s="728" t="inlineStr">
        <is>
          <t>AJMAN PORT, UAE</t>
        </is>
      </c>
      <c r="I93" s="733" t="n">
        <v>4929</v>
      </c>
      <c r="J93" s="732" t="inlineStr">
        <is>
          <t>Km</t>
        </is>
      </c>
      <c r="K93" s="734" t="n">
        <v>2180</v>
      </c>
      <c r="L93" s="741">
        <f>M93-K93</f>
        <v/>
      </c>
      <c r="M93" s="739" t="n">
        <v>9807.950000000001</v>
      </c>
      <c r="N93" s="1772" t="n">
        <v>6535.96</v>
      </c>
      <c r="O93" s="1762">
        <f>N93*E93/1000</f>
        <v/>
      </c>
      <c r="P93" s="1763">
        <f>O93/32</f>
        <v/>
      </c>
      <c r="Q93" s="1764">
        <f>N93*I93/1000</f>
        <v/>
      </c>
    </row>
    <row r="94" ht="15.75" customHeight="1">
      <c r="A94" s="719" t="inlineStr">
        <is>
          <t>FO23020015</t>
        </is>
      </c>
      <c r="B94" s="720" t="n">
        <v>44967</v>
      </c>
      <c r="C94" s="721" t="inlineStr">
        <is>
          <t>มัลติแบกซ์</t>
        </is>
      </c>
      <c r="D94" s="721" t="inlineStr">
        <is>
          <t>ท่าเรือแหลมฉบัง</t>
        </is>
      </c>
      <c r="E94" s="722" t="n">
        <v>11.9</v>
      </c>
      <c r="F94" s="719" t="inlineStr">
        <is>
          <t>Km</t>
        </is>
      </c>
      <c r="G94" s="719" t="inlineStr">
        <is>
          <t>รถเทรลเลอร์</t>
        </is>
      </c>
      <c r="H94" s="719" t="inlineStr">
        <is>
          <t>AJMAN PORT, UAE</t>
        </is>
      </c>
      <c r="I94" s="724" t="n">
        <v>4929</v>
      </c>
      <c r="J94" s="723" t="inlineStr">
        <is>
          <t>Km</t>
        </is>
      </c>
      <c r="K94" s="725" t="n">
        <v>3640</v>
      </c>
      <c r="L94" s="740">
        <f>M94-K94</f>
        <v/>
      </c>
      <c r="M94" s="738" t="n">
        <v>16922.26</v>
      </c>
      <c r="N94" s="1773" t="n">
        <v>11172.38</v>
      </c>
      <c r="O94" s="1762">
        <f>N94*E94/1000</f>
        <v/>
      </c>
      <c r="P94" s="1763">
        <f>O94/32</f>
        <v/>
      </c>
      <c r="Q94" s="1764">
        <f>N94*I94/1000</f>
        <v/>
      </c>
    </row>
    <row r="95" ht="15.75" customHeight="1">
      <c r="A95" s="728" t="inlineStr">
        <is>
          <t>FO23020016</t>
        </is>
      </c>
      <c r="B95" s="729" t="n">
        <v>44964</v>
      </c>
      <c r="C95" s="730" t="inlineStr">
        <is>
          <t>มัลติแบกซ์</t>
        </is>
      </c>
      <c r="D95" s="730" t="inlineStr">
        <is>
          <t>ท่าเรือแหลมฉบัง</t>
        </is>
      </c>
      <c r="E95" s="731" t="n">
        <v>6.2</v>
      </c>
      <c r="F95" s="728" t="inlineStr">
        <is>
          <t>Km</t>
        </is>
      </c>
      <c r="G95" s="728" t="inlineStr">
        <is>
          <t>รถเทรลเลอร์</t>
        </is>
      </c>
      <c r="H95" s="728" t="inlineStr">
        <is>
          <t>SOUTH BOSTON VA, USA</t>
        </is>
      </c>
      <c r="I95" s="733" t="n">
        <v>13787</v>
      </c>
      <c r="J95" s="732" t="inlineStr">
        <is>
          <t>Km</t>
        </is>
      </c>
      <c r="K95" s="734" t="n">
        <v>3700</v>
      </c>
      <c r="L95" s="741">
        <f>M95-K95</f>
        <v/>
      </c>
      <c r="M95" s="1771" t="n">
        <v>18369.5</v>
      </c>
      <c r="N95" s="1772" t="n">
        <v>10271.5</v>
      </c>
      <c r="O95" s="1762">
        <f>N95*E95/1000</f>
        <v/>
      </c>
      <c r="P95" s="1763">
        <f>O95/32</f>
        <v/>
      </c>
      <c r="Q95" s="1764">
        <f>N95*I95/1000</f>
        <v/>
      </c>
    </row>
    <row r="96" ht="15.75" customHeight="1">
      <c r="A96" s="719" t="inlineStr">
        <is>
          <t>FO23020017</t>
        </is>
      </c>
      <c r="B96" s="720" t="n">
        <v>44966</v>
      </c>
      <c r="C96" s="721" t="inlineStr">
        <is>
          <t>มัลติแบกซ์</t>
        </is>
      </c>
      <c r="D96" s="721" t="inlineStr">
        <is>
          <t>ท่าเรือแหลมฉบัง</t>
        </is>
      </c>
      <c r="E96" s="722" t="n">
        <v>6.2</v>
      </c>
      <c r="F96" s="719" t="inlineStr">
        <is>
          <t>Km</t>
        </is>
      </c>
      <c r="G96" s="719" t="inlineStr">
        <is>
          <t>รถเทรลเลอร์</t>
        </is>
      </c>
      <c r="H96" s="719" t="inlineStr">
        <is>
          <t>JACKSONVILLE IL, USA</t>
        </is>
      </c>
      <c r="I96" s="724" t="n">
        <v>15168</v>
      </c>
      <c r="J96" s="723" t="inlineStr">
        <is>
          <t>Km</t>
        </is>
      </c>
      <c r="K96" s="725" t="n">
        <v>3630</v>
      </c>
      <c r="L96" s="740">
        <f>M96-K96</f>
        <v/>
      </c>
      <c r="M96" s="1769" t="n">
        <v>20707</v>
      </c>
      <c r="N96" s="1773" t="n">
        <v>15333.35</v>
      </c>
      <c r="O96" s="1762">
        <f>N96*E96/1000</f>
        <v/>
      </c>
      <c r="P96" s="1763">
        <f>O96/32</f>
        <v/>
      </c>
      <c r="Q96" s="1764">
        <f>N96*I96/1000</f>
        <v/>
      </c>
    </row>
    <row r="97" ht="15.75" customHeight="1">
      <c r="A97" s="728" t="inlineStr">
        <is>
          <t>FO23020018</t>
        </is>
      </c>
      <c r="B97" s="729" t="n">
        <v>44965</v>
      </c>
      <c r="C97" s="730" t="inlineStr">
        <is>
          <t>มัลติแบกซ์</t>
        </is>
      </c>
      <c r="D97" s="730" t="inlineStr">
        <is>
          <t>ท่าเรือแหลมฉบัง</t>
        </is>
      </c>
      <c r="E97" s="731" t="n">
        <v>11.9</v>
      </c>
      <c r="F97" s="728" t="inlineStr">
        <is>
          <t>Km</t>
        </is>
      </c>
      <c r="G97" s="728" t="inlineStr">
        <is>
          <t>รถเทรลเลอร์</t>
        </is>
      </c>
      <c r="H97" s="728" t="inlineStr">
        <is>
          <t>JACKSONVILLE IL, USA</t>
        </is>
      </c>
      <c r="I97" s="733" t="n">
        <v>15168</v>
      </c>
      <c r="J97" s="732" t="inlineStr">
        <is>
          <t>Km</t>
        </is>
      </c>
      <c r="K97" s="734" t="n">
        <v>3820</v>
      </c>
      <c r="L97" s="741">
        <f>M97-K97</f>
        <v/>
      </c>
      <c r="M97" s="1771" t="n">
        <v>22899</v>
      </c>
      <c r="N97" s="1772" t="n">
        <v>16275</v>
      </c>
      <c r="O97" s="1762">
        <f>N97*E97/1000</f>
        <v/>
      </c>
      <c r="P97" s="1763">
        <f>O97/32</f>
        <v/>
      </c>
      <c r="Q97" s="1764">
        <f>N97*I97/1000</f>
        <v/>
      </c>
    </row>
    <row r="98" ht="15.75" customHeight="1">
      <c r="A98" s="719" t="inlineStr">
        <is>
          <t>FO23020019</t>
        </is>
      </c>
      <c r="B98" s="720" t="n">
        <v>44972</v>
      </c>
      <c r="C98" s="721" t="inlineStr">
        <is>
          <t>มัลติแบกซ์</t>
        </is>
      </c>
      <c r="D98" s="721" t="inlineStr">
        <is>
          <t>ท่าเรือแหลมฉบัง</t>
        </is>
      </c>
      <c r="E98" s="722" t="n">
        <v>4.9</v>
      </c>
      <c r="F98" s="719" t="inlineStr">
        <is>
          <t>Km</t>
        </is>
      </c>
      <c r="G98" s="719" t="inlineStr">
        <is>
          <t>รถเทรลเลอร์</t>
        </is>
      </c>
      <c r="H98" s="719" t="inlineStr">
        <is>
          <t>UK PORT</t>
        </is>
      </c>
      <c r="I98" s="724" t="n">
        <v>9687</v>
      </c>
      <c r="J98" s="723" t="inlineStr">
        <is>
          <t>Km</t>
        </is>
      </c>
      <c r="K98" s="725" t="n">
        <v>3700</v>
      </c>
      <c r="L98" s="740">
        <f>M98-K98</f>
        <v/>
      </c>
      <c r="M98" s="738" t="n">
        <v>23597</v>
      </c>
      <c r="N98" s="1773" t="n">
        <v>18561</v>
      </c>
      <c r="O98" s="1762">
        <f>N98*E98/1000</f>
        <v/>
      </c>
      <c r="P98" s="1763">
        <f>O98/32</f>
        <v/>
      </c>
      <c r="Q98" s="1764">
        <f>N98*I98/1000</f>
        <v/>
      </c>
    </row>
    <row r="99" ht="15.75" customHeight="1">
      <c r="A99" s="728" t="inlineStr">
        <is>
          <t>FO23020020</t>
        </is>
      </c>
      <c r="B99" s="729" t="n">
        <v>44965</v>
      </c>
      <c r="C99" s="730" t="inlineStr">
        <is>
          <t>มัลติแบกซ์</t>
        </is>
      </c>
      <c r="D99" s="730" t="inlineStr">
        <is>
          <t>ท่าเรือแหลมฉบัง</t>
        </is>
      </c>
      <c r="E99" s="731" t="n">
        <v>11.9</v>
      </c>
      <c r="F99" s="728" t="inlineStr">
        <is>
          <t>Km</t>
        </is>
      </c>
      <c r="G99" s="728" t="inlineStr">
        <is>
          <t>รถเทรลเลอร์</t>
        </is>
      </c>
      <c r="H99" s="728" t="inlineStr">
        <is>
          <t>JACKSONVILLE IL, USA</t>
        </is>
      </c>
      <c r="I99" s="733" t="n">
        <v>15168</v>
      </c>
      <c r="J99" s="732" t="inlineStr">
        <is>
          <t>Km</t>
        </is>
      </c>
      <c r="K99" s="734" t="n">
        <v>3700</v>
      </c>
      <c r="L99" s="741">
        <f>M99-K99</f>
        <v/>
      </c>
      <c r="M99" s="1771" t="n">
        <v>22779</v>
      </c>
      <c r="N99" s="1772" t="n">
        <v>16275</v>
      </c>
      <c r="O99" s="1762">
        <f>N99*E99/1000</f>
        <v/>
      </c>
      <c r="P99" s="1763">
        <f>O99/32</f>
        <v/>
      </c>
      <c r="Q99" s="1764">
        <f>N99*I99/1000</f>
        <v/>
      </c>
    </row>
    <row r="100" ht="15.75" customHeight="1">
      <c r="A100" s="719" t="inlineStr">
        <is>
          <t>FO23020021</t>
        </is>
      </c>
      <c r="B100" s="720" t="n">
        <v>44965</v>
      </c>
      <c r="C100" s="721" t="inlineStr">
        <is>
          <t>มัลติแบกซ์</t>
        </is>
      </c>
      <c r="D100" s="721" t="inlineStr">
        <is>
          <t>ท่าเรือแหลมฉบัง</t>
        </is>
      </c>
      <c r="E100" s="722" t="n">
        <v>11.9</v>
      </c>
      <c r="F100" s="719" t="inlineStr">
        <is>
          <t>Km</t>
        </is>
      </c>
      <c r="G100" s="719" t="inlineStr">
        <is>
          <t>รถเทรลเลอร์</t>
        </is>
      </c>
      <c r="H100" s="719" t="inlineStr">
        <is>
          <t>PERRIS CA, USA</t>
        </is>
      </c>
      <c r="I100" s="724" t="n">
        <v>13413</v>
      </c>
      <c r="J100" s="723" t="inlineStr">
        <is>
          <t>Km</t>
        </is>
      </c>
      <c r="K100" s="725" t="n">
        <v>3860</v>
      </c>
      <c r="L100" s="740">
        <f>M100-K100</f>
        <v/>
      </c>
      <c r="M100" s="1769" t="n">
        <v>17373</v>
      </c>
      <c r="N100" s="1773" t="n">
        <v>11057</v>
      </c>
      <c r="O100" s="1762">
        <f>N100*E100/1000</f>
        <v/>
      </c>
      <c r="P100" s="1763">
        <f>O100/32</f>
        <v/>
      </c>
      <c r="Q100" s="1764">
        <f>N100*I100/1000</f>
        <v/>
      </c>
    </row>
    <row r="101" ht="15.75" customHeight="1">
      <c r="A101" s="728" t="inlineStr">
        <is>
          <t>FO23020022</t>
        </is>
      </c>
      <c r="B101" s="729" t="n">
        <v>44967</v>
      </c>
      <c r="C101" s="730" t="inlineStr">
        <is>
          <t>มัลติแบกซ์</t>
        </is>
      </c>
      <c r="D101" s="730" t="inlineStr">
        <is>
          <t>ท่าเรือแหลมฉบัง</t>
        </is>
      </c>
      <c r="E101" s="731" t="n">
        <v>11.9</v>
      </c>
      <c r="F101" s="728" t="inlineStr">
        <is>
          <t>Km</t>
        </is>
      </c>
      <c r="G101" s="728" t="inlineStr">
        <is>
          <t>รถเทรลเลอร์</t>
        </is>
      </c>
      <c r="H101" s="728" t="inlineStr">
        <is>
          <t>DURBAN, SOUTH AFRICA</t>
        </is>
      </c>
      <c r="I101" s="733" t="n">
        <v>8865</v>
      </c>
      <c r="J101" s="732" t="inlineStr">
        <is>
          <t>Km</t>
        </is>
      </c>
      <c r="K101" s="734" t="n">
        <v>3745</v>
      </c>
      <c r="L101" s="741">
        <f>M101-K101</f>
        <v/>
      </c>
      <c r="M101" s="739" t="n">
        <v>25831.75</v>
      </c>
      <c r="N101" s="1772" t="n">
        <v>20199</v>
      </c>
      <c r="O101" s="1762">
        <f>N101*E101/1000</f>
        <v/>
      </c>
      <c r="P101" s="1763">
        <f>O101/32</f>
        <v/>
      </c>
      <c r="Q101" s="1764">
        <f>N101*I101/1000</f>
        <v/>
      </c>
    </row>
    <row r="102" ht="15.75" customHeight="1">
      <c r="A102" s="719" t="inlineStr">
        <is>
          <t>FO23020023</t>
        </is>
      </c>
      <c r="B102" s="720" t="n">
        <v>44967</v>
      </c>
      <c r="C102" s="721" t="inlineStr">
        <is>
          <t>มัลติแบกซ์</t>
        </is>
      </c>
      <c r="D102" s="721" t="inlineStr">
        <is>
          <t>ท่าเรือแหลมฉบัง</t>
        </is>
      </c>
      <c r="E102" s="722" t="n">
        <v>6</v>
      </c>
      <c r="F102" s="719" t="inlineStr">
        <is>
          <t>Km</t>
        </is>
      </c>
      <c r="G102" s="719" t="inlineStr">
        <is>
          <t>รถเทรลเลอร์</t>
        </is>
      </c>
      <c r="H102" s="719" t="inlineStr">
        <is>
          <t>JEBEL ALI, UAE</t>
        </is>
      </c>
      <c r="I102" s="724" t="n">
        <v>4972</v>
      </c>
      <c r="J102" s="723" t="inlineStr">
        <is>
          <t>Km</t>
        </is>
      </c>
      <c r="K102" s="725" t="n">
        <v>3820</v>
      </c>
      <c r="L102" s="740">
        <f>M102-K102</f>
        <v/>
      </c>
      <c r="M102" s="738" t="n">
        <v>15110.74</v>
      </c>
      <c r="N102" s="1773" t="n">
        <v>8580.01</v>
      </c>
      <c r="O102" s="1762">
        <f>N102*E102/1000</f>
        <v/>
      </c>
      <c r="P102" s="1763">
        <f>O102/32</f>
        <v/>
      </c>
      <c r="Q102" s="1764">
        <f>N102*I102/1000</f>
        <v/>
      </c>
    </row>
    <row r="103" ht="15.75" customHeight="1">
      <c r="A103" s="728" t="inlineStr">
        <is>
          <t>FO23020024</t>
        </is>
      </c>
      <c r="B103" s="729" t="n">
        <v>44972</v>
      </c>
      <c r="C103" s="730" t="inlineStr">
        <is>
          <t>มัลติแบกซ์</t>
        </is>
      </c>
      <c r="D103" s="730" t="inlineStr">
        <is>
          <t>ท่าเรือแหลมฉบัง</t>
        </is>
      </c>
      <c r="E103" s="731" t="n">
        <v>11.9</v>
      </c>
      <c r="F103" s="728" t="inlineStr">
        <is>
          <t>Km</t>
        </is>
      </c>
      <c r="G103" s="728" t="inlineStr">
        <is>
          <t>รถเทรลเลอร์</t>
        </is>
      </c>
      <c r="H103" s="728" t="inlineStr">
        <is>
          <t>HONG KONG</t>
        </is>
      </c>
      <c r="I103" s="733" t="n">
        <v>1734</v>
      </c>
      <c r="J103" s="732" t="inlineStr">
        <is>
          <t>Km</t>
        </is>
      </c>
      <c r="K103" s="734" t="n">
        <v>3820</v>
      </c>
      <c r="L103" s="741">
        <f>M103-K103</f>
        <v/>
      </c>
      <c r="M103" s="739" t="n">
        <v>15987.3</v>
      </c>
      <c r="N103" s="1772" t="n">
        <v>9494.700000000001</v>
      </c>
      <c r="O103" s="1762">
        <f>N103*E103/1000</f>
        <v/>
      </c>
      <c r="P103" s="1763">
        <f>O103/32</f>
        <v/>
      </c>
      <c r="Q103" s="1764">
        <f>N103*I103/1000</f>
        <v/>
      </c>
    </row>
    <row r="104" ht="15.75" customHeight="1">
      <c r="A104" s="719" t="inlineStr">
        <is>
          <t>FO23020025</t>
        </is>
      </c>
      <c r="B104" s="720" t="n">
        <v>44964</v>
      </c>
      <c r="C104" s="721" t="inlineStr">
        <is>
          <t>มัลติแบกซ์</t>
        </is>
      </c>
      <c r="D104" s="721" t="inlineStr">
        <is>
          <t>ท่าเรือแหลมฉบัง</t>
        </is>
      </c>
      <c r="E104" s="722" t="n">
        <v>11.9</v>
      </c>
      <c r="F104" s="719" t="inlineStr">
        <is>
          <t>Km</t>
        </is>
      </c>
      <c r="G104" s="719" t="inlineStr">
        <is>
          <t>รถเทรลเลอร์</t>
        </is>
      </c>
      <c r="H104" s="719" t="inlineStr">
        <is>
          <t>SINGAPORE</t>
        </is>
      </c>
      <c r="I104" s="724" t="n">
        <v>1931</v>
      </c>
      <c r="J104" s="723" t="inlineStr">
        <is>
          <t>Km</t>
        </is>
      </c>
      <c r="K104" s="725" t="n">
        <v>5303.5</v>
      </c>
      <c r="L104" s="740">
        <f>M104-K104</f>
        <v/>
      </c>
      <c r="M104" s="1769" t="n">
        <v>6259.5</v>
      </c>
      <c r="N104" s="1773" t="n">
        <v>5303.5</v>
      </c>
      <c r="O104" s="1762">
        <f>N104*E104/1000</f>
        <v/>
      </c>
      <c r="P104" s="1763">
        <f>O104/32</f>
        <v/>
      </c>
      <c r="Q104" s="1764">
        <f>N104*I104/1000</f>
        <v/>
      </c>
    </row>
    <row r="105" ht="15.75" customHeight="1">
      <c r="A105" s="710" t="inlineStr">
        <is>
          <t>FO23020026</t>
        </is>
      </c>
      <c r="B105" s="729" t="n">
        <v>44966</v>
      </c>
      <c r="C105" s="710" t="inlineStr">
        <is>
          <t>มัลติแบกซ์</t>
        </is>
      </c>
      <c r="D105" s="710" t="inlineStr">
        <is>
          <t>ท่าเรือแหลมฉบัง</t>
        </is>
      </c>
      <c r="E105" s="712" t="n">
        <v>11.9</v>
      </c>
      <c r="F105" s="710" t="inlineStr">
        <is>
          <t>Km</t>
        </is>
      </c>
      <c r="G105" s="710" t="inlineStr">
        <is>
          <t>รถเทรลเลอร์</t>
        </is>
      </c>
      <c r="H105" s="728" t="inlineStr">
        <is>
          <t>SINGAPORE</t>
        </is>
      </c>
      <c r="I105" s="733" t="n">
        <v>1931</v>
      </c>
      <c r="J105" s="715" t="inlineStr">
        <is>
          <t>Km</t>
        </is>
      </c>
      <c r="K105" s="716" t="n">
        <v>3336.51</v>
      </c>
      <c r="L105" s="742" t="n">
        <v>1360.48</v>
      </c>
      <c r="M105" s="743" t="n">
        <v>4696.99</v>
      </c>
      <c r="N105" s="1772" t="n">
        <v>3336.51</v>
      </c>
      <c r="O105" s="1762">
        <f>N105*E105/1000</f>
        <v/>
      </c>
      <c r="P105" s="1763">
        <f>O105/32</f>
        <v/>
      </c>
      <c r="Q105" s="1764">
        <f>N105*I105/1000</f>
        <v/>
      </c>
    </row>
    <row r="106" ht="15.75" customHeight="1">
      <c r="A106" s="719" t="inlineStr">
        <is>
          <t>FO23020027</t>
        </is>
      </c>
      <c r="B106" s="720" t="n">
        <v>44971</v>
      </c>
      <c r="C106" s="721" t="inlineStr">
        <is>
          <t>มัลติแบกซ์</t>
        </is>
      </c>
      <c r="D106" s="721" t="inlineStr">
        <is>
          <t>ท่าเรือแหลมฉบัง</t>
        </is>
      </c>
      <c r="E106" s="722" t="n">
        <v>6</v>
      </c>
      <c r="F106" s="719" t="inlineStr">
        <is>
          <t>Km</t>
        </is>
      </c>
      <c r="G106" s="719" t="inlineStr">
        <is>
          <t>รถเทรลเลอร์</t>
        </is>
      </c>
      <c r="H106" s="719" t="inlineStr">
        <is>
          <t>HAMAD, QATAR</t>
        </is>
      </c>
      <c r="I106" s="724" t="n">
        <v>5317</v>
      </c>
      <c r="J106" s="723" t="inlineStr">
        <is>
          <t>Km</t>
        </is>
      </c>
      <c r="K106" s="725" t="n">
        <v>2210</v>
      </c>
      <c r="L106" s="740">
        <f>M106-K106</f>
        <v/>
      </c>
      <c r="M106" s="738" t="n">
        <v>5889.16</v>
      </c>
      <c r="N106" s="1773" t="n">
        <v>2576.88</v>
      </c>
      <c r="O106" s="1762">
        <f>N106*E106/1000</f>
        <v/>
      </c>
      <c r="P106" s="1763">
        <f>O106/32</f>
        <v/>
      </c>
      <c r="Q106" s="1764">
        <f>N106*I106/1000</f>
        <v/>
      </c>
    </row>
    <row r="107" ht="15.75" customHeight="1">
      <c r="A107" s="728" t="inlineStr">
        <is>
          <t>FO23020028</t>
        </is>
      </c>
      <c r="B107" s="729" t="n">
        <v>44971</v>
      </c>
      <c r="C107" s="730" t="inlineStr">
        <is>
          <t>มัลติแบกซ์</t>
        </is>
      </c>
      <c r="D107" s="730" t="inlineStr">
        <is>
          <t>ท่าเรือแหลมฉบัง</t>
        </is>
      </c>
      <c r="E107" s="731" t="n">
        <v>5.3</v>
      </c>
      <c r="F107" s="728" t="inlineStr">
        <is>
          <t>Km</t>
        </is>
      </c>
      <c r="G107" s="728" t="inlineStr">
        <is>
          <t>รถเทรลเลอร์</t>
        </is>
      </c>
      <c r="H107" s="728" t="inlineStr">
        <is>
          <t>SANTA TERESA, NM USA</t>
        </is>
      </c>
      <c r="I107" s="733" t="n">
        <v>17387</v>
      </c>
      <c r="J107" s="732" t="inlineStr">
        <is>
          <t>Km</t>
        </is>
      </c>
      <c r="K107" s="734" t="n">
        <v>3760</v>
      </c>
      <c r="L107" s="741">
        <f>M107-K107</f>
        <v/>
      </c>
      <c r="M107" s="739" t="n">
        <v>22853.32</v>
      </c>
      <c r="N107" s="1772" t="n">
        <v>16282.18</v>
      </c>
      <c r="O107" s="1762">
        <f>N107*E107/1000</f>
        <v/>
      </c>
      <c r="P107" s="1763">
        <f>O107/32</f>
        <v/>
      </c>
      <c r="Q107" s="1764">
        <f>N107*I107/1000</f>
        <v/>
      </c>
    </row>
    <row r="108" ht="15.75" customHeight="1">
      <c r="A108" s="719" t="inlineStr">
        <is>
          <t>FO23020029</t>
        </is>
      </c>
      <c r="B108" s="720" t="n">
        <v>44971</v>
      </c>
      <c r="C108" s="721" t="inlineStr">
        <is>
          <t>มัลติแบกซ์</t>
        </is>
      </c>
      <c r="D108" s="721" t="inlineStr">
        <is>
          <t>ท่าเรือแหลมฉบัง</t>
        </is>
      </c>
      <c r="E108" s="722" t="n">
        <v>6.2</v>
      </c>
      <c r="F108" s="719" t="inlineStr">
        <is>
          <t>Km</t>
        </is>
      </c>
      <c r="G108" s="719" t="inlineStr">
        <is>
          <t>รถเทรลเลอร์</t>
        </is>
      </c>
      <c r="H108" s="719" t="inlineStr">
        <is>
          <t>CARROLLTON TX, USA</t>
        </is>
      </c>
      <c r="I108" s="724" t="n">
        <v>14544</v>
      </c>
      <c r="J108" s="723" t="inlineStr">
        <is>
          <t>Km</t>
        </is>
      </c>
      <c r="K108" s="725" t="n">
        <v>3700</v>
      </c>
      <c r="L108" s="740">
        <f>M108-K108</f>
        <v/>
      </c>
      <c r="M108" s="738" t="n">
        <v>18539</v>
      </c>
      <c r="N108" s="1773" t="n">
        <v>12511.2</v>
      </c>
      <c r="O108" s="1762">
        <f>N108*E108/1000</f>
        <v/>
      </c>
      <c r="P108" s="1763">
        <f>O108/32</f>
        <v/>
      </c>
      <c r="Q108" s="1764">
        <f>N108*I108/1000</f>
        <v/>
      </c>
    </row>
    <row r="109" ht="15.75" customHeight="1">
      <c r="A109" s="728" t="inlineStr">
        <is>
          <t>FO23020030</t>
        </is>
      </c>
      <c r="B109" s="729" t="n">
        <v>44972</v>
      </c>
      <c r="C109" s="730" t="inlineStr">
        <is>
          <t>มัลติแบกซ์</t>
        </is>
      </c>
      <c r="D109" s="730" t="inlineStr">
        <is>
          <t>ท่าเรือแหลมฉบัง</t>
        </is>
      </c>
      <c r="E109" s="731" t="n">
        <v>6.5</v>
      </c>
      <c r="F109" s="728" t="inlineStr">
        <is>
          <t>Km</t>
        </is>
      </c>
      <c r="G109" s="728" t="inlineStr">
        <is>
          <t>รถเทรลเลอร์</t>
        </is>
      </c>
      <c r="H109" s="728" t="inlineStr">
        <is>
          <t>APPLETON WI , USA</t>
        </is>
      </c>
      <c r="I109" s="733" t="n">
        <v>13558</v>
      </c>
      <c r="J109" s="732" t="inlineStr">
        <is>
          <t>Km</t>
        </is>
      </c>
      <c r="K109" s="734" t="n">
        <v>3950</v>
      </c>
      <c r="L109" s="741">
        <f>M109-K109</f>
        <v/>
      </c>
      <c r="M109" s="739" t="n">
        <v>15156</v>
      </c>
      <c r="N109" s="1772" t="n">
        <v>7130</v>
      </c>
      <c r="O109" s="1762">
        <f>N109*E109/1000</f>
        <v/>
      </c>
      <c r="P109" s="1763">
        <f>O109/32</f>
        <v/>
      </c>
      <c r="Q109" s="1764">
        <f>N109*I109/1000</f>
        <v/>
      </c>
    </row>
    <row r="110" ht="15.75" customHeight="1">
      <c r="A110" s="719" t="inlineStr">
        <is>
          <t>FO23020031</t>
        </is>
      </c>
      <c r="B110" s="720" t="n">
        <v>44977</v>
      </c>
      <c r="C110" s="721" t="inlineStr">
        <is>
          <t>มัลติแบกซ์</t>
        </is>
      </c>
      <c r="D110" s="721" t="inlineStr">
        <is>
          <t>ท่าเรือแหลมฉบัง</t>
        </is>
      </c>
      <c r="E110" s="722" t="n">
        <v>6.2</v>
      </c>
      <c r="F110" s="719" t="inlineStr">
        <is>
          <t>Km</t>
        </is>
      </c>
      <c r="G110" s="719" t="inlineStr">
        <is>
          <t>รถเทรลเลอร์</t>
        </is>
      </c>
      <c r="H110" s="719" t="inlineStr">
        <is>
          <t>SENDAI, JAPAN</t>
        </is>
      </c>
      <c r="I110" s="724" t="n">
        <v>4823</v>
      </c>
      <c r="J110" s="723" t="inlineStr">
        <is>
          <t>Km</t>
        </is>
      </c>
      <c r="K110" s="725" t="n">
        <v>2080</v>
      </c>
      <c r="L110" s="740">
        <f>M110-K110</f>
        <v/>
      </c>
      <c r="M110" s="738" t="n">
        <v>7407.7</v>
      </c>
      <c r="N110" s="1773" t="n">
        <v>4361.25</v>
      </c>
      <c r="O110" s="1762">
        <f>N110*E110/1000</f>
        <v/>
      </c>
      <c r="P110" s="1763">
        <f>O110/32</f>
        <v/>
      </c>
      <c r="Q110" s="1764">
        <f>N110*I110/1000</f>
        <v/>
      </c>
    </row>
    <row r="111" ht="15.75" customHeight="1">
      <c r="A111" s="728" t="inlineStr">
        <is>
          <t>FO23020032</t>
        </is>
      </c>
      <c r="B111" s="729" t="n">
        <v>44971</v>
      </c>
      <c r="C111" s="730" t="inlineStr">
        <is>
          <t>มัลติแบกซ์</t>
        </is>
      </c>
      <c r="D111" s="730" t="inlineStr">
        <is>
          <t>ท่าเรือแหลมฉบัง</t>
        </is>
      </c>
      <c r="E111" s="731" t="n">
        <v>6.2</v>
      </c>
      <c r="F111" s="728" t="inlineStr">
        <is>
          <t>Km</t>
        </is>
      </c>
      <c r="G111" s="728" t="inlineStr">
        <is>
          <t>รถเทรลเลอร์</t>
        </is>
      </c>
      <c r="H111" s="728" t="inlineStr">
        <is>
          <t>SOUTH BOSTON VA, USA</t>
        </is>
      </c>
      <c r="I111" s="733" t="n">
        <v>13787</v>
      </c>
      <c r="J111" s="732" t="inlineStr">
        <is>
          <t>Km</t>
        </is>
      </c>
      <c r="K111" s="734" t="n">
        <v>3900</v>
      </c>
      <c r="L111" s="741">
        <f>M111-K111</f>
        <v/>
      </c>
      <c r="M111" s="739" t="n">
        <v>13502</v>
      </c>
      <c r="N111" s="1772" t="n">
        <v>5376</v>
      </c>
      <c r="O111" s="1762">
        <f>N111*E111/1000</f>
        <v/>
      </c>
      <c r="P111" s="1763">
        <f>O111/32</f>
        <v/>
      </c>
      <c r="Q111" s="1764">
        <f>N111*I111/1000</f>
        <v/>
      </c>
    </row>
    <row r="112" ht="15.75" customHeight="1">
      <c r="A112" s="719" t="inlineStr">
        <is>
          <t>FO23020033</t>
        </is>
      </c>
      <c r="B112" s="720" t="n">
        <v>44971</v>
      </c>
      <c r="C112" s="721" t="inlineStr">
        <is>
          <t>มัลติแบกซ์</t>
        </is>
      </c>
      <c r="D112" s="721" t="inlineStr">
        <is>
          <t>ท่าเรือแหลมฉบัง</t>
        </is>
      </c>
      <c r="E112" s="722" t="n">
        <v>6.2</v>
      </c>
      <c r="F112" s="719" t="inlineStr">
        <is>
          <t>Km</t>
        </is>
      </c>
      <c r="G112" s="719" t="inlineStr">
        <is>
          <t>รถเทรลเลอร์</t>
        </is>
      </c>
      <c r="H112" s="719" t="inlineStr">
        <is>
          <t>PERRIS CA, USA</t>
        </is>
      </c>
      <c r="I112" s="724" t="n">
        <v>13413</v>
      </c>
      <c r="J112" s="723" t="inlineStr">
        <is>
          <t>Km</t>
        </is>
      </c>
      <c r="K112" s="725" t="n">
        <v>3830</v>
      </c>
      <c r="L112" s="740">
        <f>M112-K112</f>
        <v/>
      </c>
      <c r="M112" s="738" t="n">
        <v>20347</v>
      </c>
      <c r="N112" s="1773" t="n">
        <v>12697</v>
      </c>
      <c r="O112" s="1762">
        <f>N112*E112/1000</f>
        <v/>
      </c>
      <c r="P112" s="1763">
        <f>O112/32</f>
        <v/>
      </c>
      <c r="Q112" s="1764">
        <f>N112*I112/1000</f>
        <v/>
      </c>
    </row>
    <row r="113" ht="15.75" customHeight="1">
      <c r="A113" s="728" t="inlineStr">
        <is>
          <t>FO23020034</t>
        </is>
      </c>
      <c r="B113" s="729" t="n">
        <v>44972</v>
      </c>
      <c r="C113" s="730" t="inlineStr">
        <is>
          <t>มัลติแบกซ์</t>
        </is>
      </c>
      <c r="D113" s="730" t="inlineStr">
        <is>
          <t>ท่าเรือแหลมฉบัง</t>
        </is>
      </c>
      <c r="E113" s="731" t="n">
        <v>6.2</v>
      </c>
      <c r="F113" s="728" t="inlineStr">
        <is>
          <t>Km</t>
        </is>
      </c>
      <c r="G113" s="728" t="inlineStr">
        <is>
          <t>รถเทรลเลอร์</t>
        </is>
      </c>
      <c r="H113" s="728" t="inlineStr">
        <is>
          <t>JACKSONVILLE IL, USA</t>
        </is>
      </c>
      <c r="I113" s="733" t="n">
        <v>15168</v>
      </c>
      <c r="J113" s="732" t="inlineStr">
        <is>
          <t>Km</t>
        </is>
      </c>
      <c r="K113" s="734" t="n">
        <v>3690</v>
      </c>
      <c r="L113" s="741">
        <f>M113-K113</f>
        <v/>
      </c>
      <c r="M113" s="739" t="n">
        <v>22417</v>
      </c>
      <c r="N113" s="1772" t="n">
        <v>14962.5</v>
      </c>
      <c r="O113" s="1762">
        <f>N113*E113/1000</f>
        <v/>
      </c>
      <c r="P113" s="1763">
        <f>O113/32</f>
        <v/>
      </c>
      <c r="Q113" s="1764">
        <f>N113*I113/1000</f>
        <v/>
      </c>
    </row>
    <row r="114" ht="15.75" customHeight="1">
      <c r="A114" s="719" t="inlineStr">
        <is>
          <t>FO23020035</t>
        </is>
      </c>
      <c r="B114" s="720" t="n">
        <v>44978</v>
      </c>
      <c r="C114" s="721" t="inlineStr">
        <is>
          <t>มัลติแบกซ์</t>
        </is>
      </c>
      <c r="D114" s="721" t="inlineStr">
        <is>
          <t>ท่าเรือแหลมฉบัง</t>
        </is>
      </c>
      <c r="E114" s="722" t="n">
        <v>7.1</v>
      </c>
      <c r="F114" s="719" t="inlineStr">
        <is>
          <t>Km</t>
        </is>
      </c>
      <c r="G114" s="719" t="inlineStr">
        <is>
          <t>รถเทรลเลอร์</t>
        </is>
      </c>
      <c r="H114" s="719" t="inlineStr">
        <is>
          <t>UK PORT</t>
        </is>
      </c>
      <c r="I114" s="724" t="n">
        <v>9687</v>
      </c>
      <c r="J114" s="723" t="inlineStr">
        <is>
          <t>Km</t>
        </is>
      </c>
      <c r="K114" s="725" t="n">
        <v>2220</v>
      </c>
      <c r="L114" s="740">
        <f>M114-K114</f>
        <v/>
      </c>
      <c r="M114" s="738" t="n">
        <v>7997</v>
      </c>
      <c r="N114" s="1773" t="n">
        <v>4550</v>
      </c>
      <c r="O114" s="1762">
        <f>N114*E114/1000</f>
        <v/>
      </c>
      <c r="P114" s="1763">
        <f>O114/32</f>
        <v/>
      </c>
      <c r="Q114" s="1764">
        <f>N114*I114/1000</f>
        <v/>
      </c>
    </row>
    <row r="115" ht="15.75" customHeight="1">
      <c r="A115" s="728" t="inlineStr">
        <is>
          <t>FO23020036</t>
        </is>
      </c>
      <c r="B115" s="729" t="n">
        <v>44972</v>
      </c>
      <c r="C115" s="730" t="inlineStr">
        <is>
          <t>มัลติแบกซ์</t>
        </is>
      </c>
      <c r="D115" s="730" t="inlineStr">
        <is>
          <t>ท่าเรือแหลมฉบัง</t>
        </is>
      </c>
      <c r="E115" s="731" t="n">
        <v>6.5</v>
      </c>
      <c r="F115" s="728" t="inlineStr">
        <is>
          <t>Km</t>
        </is>
      </c>
      <c r="G115" s="728" t="inlineStr">
        <is>
          <t>รถเทรลเลอร์</t>
        </is>
      </c>
      <c r="H115" s="728" t="inlineStr">
        <is>
          <t>NINGBO, CHINA</t>
        </is>
      </c>
      <c r="I115" s="733" t="n">
        <v>3824</v>
      </c>
      <c r="J115" s="732" t="inlineStr">
        <is>
          <t>Km</t>
        </is>
      </c>
      <c r="K115" s="734" t="n">
        <v>3850</v>
      </c>
      <c r="L115" s="741">
        <f>M115-K115</f>
        <v/>
      </c>
      <c r="M115" s="739" t="n">
        <v>13513.05</v>
      </c>
      <c r="N115" s="1772" t="n">
        <v>7106.49</v>
      </c>
      <c r="O115" s="1762">
        <f>N115*E115/1000</f>
        <v/>
      </c>
      <c r="P115" s="1763">
        <f>O115/32</f>
        <v/>
      </c>
      <c r="Q115" s="1764">
        <f>N115*I115/1000</f>
        <v/>
      </c>
    </row>
    <row r="116" ht="15.75" customHeight="1">
      <c r="A116" s="719" t="inlineStr">
        <is>
          <t>FO23020037</t>
        </is>
      </c>
      <c r="B116" s="720" t="n">
        <v>44971</v>
      </c>
      <c r="C116" s="721" t="inlineStr">
        <is>
          <t>มัลติแบกซ์</t>
        </is>
      </c>
      <c r="D116" s="721" t="inlineStr">
        <is>
          <t>ท่าเรือแหลมฉบัง</t>
        </is>
      </c>
      <c r="E116" s="722" t="n">
        <v>6</v>
      </c>
      <c r="F116" s="719" t="inlineStr">
        <is>
          <t>Km</t>
        </is>
      </c>
      <c r="G116" s="719" t="inlineStr">
        <is>
          <t>รถเทรลเลอร์</t>
        </is>
      </c>
      <c r="H116" s="719" t="inlineStr">
        <is>
          <t>SINGAPORE</t>
        </is>
      </c>
      <c r="I116" s="724" t="n">
        <v>1931</v>
      </c>
      <c r="J116" s="723" t="inlineStr">
        <is>
          <t>Km</t>
        </is>
      </c>
      <c r="K116" s="725" t="n">
        <v>5482.2</v>
      </c>
      <c r="L116" s="740">
        <f>M116-K116</f>
        <v/>
      </c>
      <c r="M116" s="738" t="n">
        <v>6497.7</v>
      </c>
      <c r="N116" s="1773" t="n">
        <v>5482.2</v>
      </c>
      <c r="O116" s="1762">
        <f>N116*E116/1000</f>
        <v/>
      </c>
      <c r="P116" s="1763">
        <f>O116/32</f>
        <v/>
      </c>
      <c r="Q116" s="1764">
        <f>N116*I116/1000</f>
        <v/>
      </c>
    </row>
    <row r="117" ht="15.75" customHeight="1">
      <c r="A117" s="728" t="inlineStr">
        <is>
          <t>FO23020038</t>
        </is>
      </c>
      <c r="B117" s="729" t="n">
        <v>44985</v>
      </c>
      <c r="C117" s="730" t="inlineStr">
        <is>
          <t>มัลติแบกซ์</t>
        </is>
      </c>
      <c r="D117" s="730" t="inlineStr">
        <is>
          <t>ท่าเรือแหลมฉบัง</t>
        </is>
      </c>
      <c r="E117" s="731" t="n">
        <v>11.9</v>
      </c>
      <c r="F117" s="728" t="inlineStr">
        <is>
          <t>Km</t>
        </is>
      </c>
      <c r="G117" s="728" t="inlineStr">
        <is>
          <t>รถเทรลเลอร์</t>
        </is>
      </c>
      <c r="H117" s="728" t="inlineStr">
        <is>
          <t>SINGAPORE</t>
        </is>
      </c>
      <c r="I117" s="733" t="n">
        <v>1931</v>
      </c>
      <c r="J117" s="732" t="inlineStr">
        <is>
          <t>Km</t>
        </is>
      </c>
      <c r="K117" s="734" t="n">
        <v>5236.68</v>
      </c>
      <c r="L117" s="741">
        <f>M117-K117</f>
        <v/>
      </c>
      <c r="M117" s="739" t="n">
        <v>6223.18</v>
      </c>
      <c r="N117" s="1772" t="n">
        <v>5236.68</v>
      </c>
      <c r="O117" s="1762">
        <f>N117*E117/1000</f>
        <v/>
      </c>
      <c r="P117" s="1763">
        <f>O117/32</f>
        <v/>
      </c>
      <c r="Q117" s="1764">
        <f>N117*I117/1000</f>
        <v/>
      </c>
    </row>
    <row r="118" ht="15.75" customHeight="1">
      <c r="A118" s="719" t="inlineStr">
        <is>
          <t>FO23020039</t>
        </is>
      </c>
      <c r="B118" s="720" t="n">
        <v>44977</v>
      </c>
      <c r="C118" s="721" t="inlineStr">
        <is>
          <t>มัลติแบกซ์</t>
        </is>
      </c>
      <c r="D118" s="721" t="inlineStr">
        <is>
          <t>ท่าเรือแหลมฉบัง</t>
        </is>
      </c>
      <c r="E118" s="722" t="n">
        <v>6.5</v>
      </c>
      <c r="F118" s="719" t="inlineStr">
        <is>
          <t>Km</t>
        </is>
      </c>
      <c r="G118" s="719" t="inlineStr">
        <is>
          <t>รถเทรลเลอร์</t>
        </is>
      </c>
      <c r="H118" s="719" t="inlineStr">
        <is>
          <t>KLANG, MALAYSIA</t>
        </is>
      </c>
      <c r="I118" s="724" t="n">
        <v>1588</v>
      </c>
      <c r="J118" s="723" t="inlineStr">
        <is>
          <t>Km</t>
        </is>
      </c>
      <c r="K118" s="725" t="n">
        <v>2265</v>
      </c>
      <c r="L118" s="740">
        <f>M118-K118</f>
        <v/>
      </c>
      <c r="M118" s="725" t="n">
        <v>6630.37</v>
      </c>
      <c r="N118" s="1773" t="n">
        <v>3250.48</v>
      </c>
      <c r="O118" s="1762">
        <f>N118*E118/1000</f>
        <v/>
      </c>
      <c r="P118" s="1763">
        <f>O118/32</f>
        <v/>
      </c>
      <c r="Q118" s="1764">
        <f>N118*I118/1000</f>
        <v/>
      </c>
    </row>
    <row r="119" ht="15.75" customHeight="1">
      <c r="A119" s="728" t="inlineStr">
        <is>
          <t>FO23020040</t>
        </is>
      </c>
      <c r="B119" s="729" t="n">
        <v>44978</v>
      </c>
      <c r="C119" s="730" t="inlineStr">
        <is>
          <t>มัลติแบกซ์</t>
        </is>
      </c>
      <c r="D119" s="730" t="inlineStr">
        <is>
          <t>ท่าเรือแหลมฉบัง</t>
        </is>
      </c>
      <c r="E119" s="731" t="n">
        <v>6.2</v>
      </c>
      <c r="F119" s="728" t="inlineStr">
        <is>
          <t>Km</t>
        </is>
      </c>
      <c r="G119" s="728" t="inlineStr">
        <is>
          <t>รถเทรลเลอร์</t>
        </is>
      </c>
      <c r="H119" s="728" t="inlineStr">
        <is>
          <t>SYDNEY, AUSTRALIA</t>
        </is>
      </c>
      <c r="I119" s="733" t="n">
        <v>7448</v>
      </c>
      <c r="J119" s="732" t="inlineStr">
        <is>
          <t>Km</t>
        </is>
      </c>
      <c r="K119" s="734" t="n">
        <v>3860</v>
      </c>
      <c r="L119" s="741">
        <f>M119-K119</f>
        <v/>
      </c>
      <c r="M119" s="739" t="n">
        <v>27862</v>
      </c>
      <c r="N119" s="1772" t="n">
        <v>18990</v>
      </c>
      <c r="O119" s="1762">
        <f>N119*E119/1000</f>
        <v/>
      </c>
      <c r="P119" s="1763">
        <f>O119/32</f>
        <v/>
      </c>
      <c r="Q119" s="1764">
        <f>N119*I119/1000</f>
        <v/>
      </c>
    </row>
    <row r="120" ht="15.75" customHeight="1">
      <c r="A120" s="719" t="inlineStr">
        <is>
          <t>FO23020041</t>
        </is>
      </c>
      <c r="B120" s="720" t="n">
        <v>44978</v>
      </c>
      <c r="C120" s="721" t="inlineStr">
        <is>
          <t>มัลติแบกซ์</t>
        </is>
      </c>
      <c r="D120" s="721" t="inlineStr">
        <is>
          <t>ท่าเรือแหลมฉบัง</t>
        </is>
      </c>
      <c r="E120" s="722" t="n">
        <v>6.2</v>
      </c>
      <c r="F120" s="719" t="inlineStr">
        <is>
          <t>Km</t>
        </is>
      </c>
      <c r="G120" s="719" t="inlineStr">
        <is>
          <t>รถเทรลเลอร์</t>
        </is>
      </c>
      <c r="H120" s="719" t="inlineStr">
        <is>
          <t>SYDNEY, AUSTRALIA</t>
        </is>
      </c>
      <c r="I120" s="724" t="n">
        <v>7448</v>
      </c>
      <c r="J120" s="723" t="inlineStr">
        <is>
          <t>Km</t>
        </is>
      </c>
      <c r="K120" s="725" t="n">
        <v>3830</v>
      </c>
      <c r="L120" s="740">
        <f>M120-K120</f>
        <v/>
      </c>
      <c r="M120" s="738" t="n">
        <v>24332</v>
      </c>
      <c r="N120" s="1773" t="n">
        <v>16550</v>
      </c>
      <c r="O120" s="1762">
        <f>N120*E120/1000</f>
        <v/>
      </c>
      <c r="P120" s="1763">
        <f>O120/32</f>
        <v/>
      </c>
      <c r="Q120" s="1764">
        <f>N120*I120/1000</f>
        <v/>
      </c>
    </row>
    <row r="121" ht="15.75" customHeight="1">
      <c r="A121" s="728" t="inlineStr">
        <is>
          <t>FO23020042</t>
        </is>
      </c>
      <c r="B121" s="729" t="n">
        <v>44979</v>
      </c>
      <c r="C121" s="730" t="inlineStr">
        <is>
          <t>มัลติแบกซ์</t>
        </is>
      </c>
      <c r="D121" s="730" t="inlineStr">
        <is>
          <t>ท่าเรือแหลมฉบัง</t>
        </is>
      </c>
      <c r="E121" s="731" t="n">
        <v>6.2</v>
      </c>
      <c r="F121" s="728" t="inlineStr">
        <is>
          <t>Km</t>
        </is>
      </c>
      <c r="G121" s="728" t="inlineStr">
        <is>
          <t>รถเทรลเลอร์</t>
        </is>
      </c>
      <c r="H121" s="728" t="inlineStr">
        <is>
          <t>MELBOURNE, AUSTRALIA</t>
        </is>
      </c>
      <c r="I121" s="733" t="n">
        <v>7283</v>
      </c>
      <c r="J121" s="732" t="inlineStr">
        <is>
          <t>Km</t>
        </is>
      </c>
      <c r="K121" s="734" t="n">
        <v>3820</v>
      </c>
      <c r="L121" s="741">
        <f>M121-K121</f>
        <v/>
      </c>
      <c r="M121" s="739" t="n">
        <v>28622</v>
      </c>
      <c r="N121" s="1772" t="n">
        <v>20725</v>
      </c>
      <c r="O121" s="1762">
        <f>N121*E121/1000</f>
        <v/>
      </c>
      <c r="P121" s="1763">
        <f>O121/32</f>
        <v/>
      </c>
      <c r="Q121" s="1764">
        <f>N121*I121/1000</f>
        <v/>
      </c>
    </row>
    <row r="122" ht="15.75" customHeight="1">
      <c r="A122" s="719" t="inlineStr">
        <is>
          <t>FO23020043</t>
        </is>
      </c>
      <c r="B122" s="720" t="n">
        <v>44979</v>
      </c>
      <c r="C122" s="721" t="inlineStr">
        <is>
          <t>มัลติแบกซ์</t>
        </is>
      </c>
      <c r="D122" s="721" t="inlineStr">
        <is>
          <t>ท่าเรือแหลมฉบัง</t>
        </is>
      </c>
      <c r="E122" s="722" t="n">
        <v>6.2</v>
      </c>
      <c r="F122" s="719" t="inlineStr">
        <is>
          <t>Km</t>
        </is>
      </c>
      <c r="G122" s="719" t="inlineStr">
        <is>
          <t>รถเทรลเลอร์</t>
        </is>
      </c>
      <c r="H122" s="719" t="inlineStr">
        <is>
          <t>MELBOURNE, AUSTRALIA</t>
        </is>
      </c>
      <c r="I122" s="724" t="n">
        <v>7283</v>
      </c>
      <c r="J122" s="723" t="inlineStr">
        <is>
          <t>Km</t>
        </is>
      </c>
      <c r="K122" s="725" t="n">
        <v>3900</v>
      </c>
      <c r="L122" s="740">
        <f>M122-K122</f>
        <v/>
      </c>
      <c r="M122" s="738" t="n">
        <v>27132</v>
      </c>
      <c r="N122" s="1773" t="n">
        <v>20159</v>
      </c>
      <c r="O122" s="1762">
        <f>N122*E122/1000</f>
        <v/>
      </c>
      <c r="P122" s="1763">
        <f>O122/32</f>
        <v/>
      </c>
      <c r="Q122" s="1764">
        <f>N122*I122/1000</f>
        <v/>
      </c>
    </row>
    <row r="123" ht="15.75" customHeight="1">
      <c r="A123" s="728" t="inlineStr">
        <is>
          <t>FO23020044</t>
        </is>
      </c>
      <c r="B123" s="729" t="n">
        <v>44979</v>
      </c>
      <c r="C123" s="730" t="inlineStr">
        <is>
          <t>มัลติแบกซ์</t>
        </is>
      </c>
      <c r="D123" s="730" t="inlineStr">
        <is>
          <t>ท่าเรือแหลมฉบัง</t>
        </is>
      </c>
      <c r="E123" s="731" t="n">
        <v>6.2</v>
      </c>
      <c r="F123" s="728" t="inlineStr">
        <is>
          <t>Km</t>
        </is>
      </c>
      <c r="G123" s="728" t="inlineStr">
        <is>
          <t>รถเทรลเลอร์</t>
        </is>
      </c>
      <c r="H123" s="728" t="inlineStr">
        <is>
          <t>MELBOURNE, AUSTRALIA</t>
        </is>
      </c>
      <c r="I123" s="733" t="n">
        <v>7283</v>
      </c>
      <c r="J123" s="732" t="inlineStr">
        <is>
          <t>Km</t>
        </is>
      </c>
      <c r="K123" s="734" t="n">
        <v>2160</v>
      </c>
      <c r="L123" s="741">
        <f>M123-K123</f>
        <v/>
      </c>
      <c r="M123" s="739" t="n">
        <v>13162</v>
      </c>
      <c r="N123" s="1772" t="n">
        <v>9340</v>
      </c>
      <c r="O123" s="1762">
        <f>N123*E123/1000</f>
        <v/>
      </c>
      <c r="P123" s="1763">
        <f>O123/32</f>
        <v/>
      </c>
      <c r="Q123" s="1764">
        <f>N123*I123/1000</f>
        <v/>
      </c>
    </row>
    <row r="124" ht="15.75" customHeight="1">
      <c r="A124" s="719" t="inlineStr">
        <is>
          <t>FO23020045</t>
        </is>
      </c>
      <c r="B124" s="720" t="n">
        <v>44977</v>
      </c>
      <c r="C124" s="721" t="inlineStr">
        <is>
          <t>มัลติแบกซ์</t>
        </is>
      </c>
      <c r="D124" s="721" t="inlineStr">
        <is>
          <t>ท่าเรือแหลมฉบัง</t>
        </is>
      </c>
      <c r="E124" s="722" t="n">
        <v>7.1</v>
      </c>
      <c r="F124" s="719" t="inlineStr">
        <is>
          <t>Km</t>
        </is>
      </c>
      <c r="G124" s="719" t="inlineStr">
        <is>
          <t>รถเทรลเลอร์</t>
        </is>
      </c>
      <c r="H124" s="719" t="inlineStr">
        <is>
          <t>TORONTO, CANADA</t>
        </is>
      </c>
      <c r="I124" s="724" t="n">
        <v>13695</v>
      </c>
      <c r="J124" s="723" t="inlineStr">
        <is>
          <t>Km</t>
        </is>
      </c>
      <c r="K124" s="725" t="n">
        <v>3650</v>
      </c>
      <c r="L124" s="740">
        <f>M124-K124</f>
        <v/>
      </c>
      <c r="M124" s="738" t="n">
        <v>22386</v>
      </c>
      <c r="N124" s="1773" t="n">
        <v>17822</v>
      </c>
      <c r="O124" s="1762">
        <f>N124*E124/1000</f>
        <v/>
      </c>
      <c r="P124" s="1763">
        <f>O124/32</f>
        <v/>
      </c>
      <c r="Q124" s="1764">
        <f>N124*I124/1000</f>
        <v/>
      </c>
    </row>
    <row r="125" ht="15.75" customHeight="1">
      <c r="A125" s="728" t="inlineStr">
        <is>
          <t>FO23020046</t>
        </is>
      </c>
      <c r="B125" s="729" t="n">
        <v>44977</v>
      </c>
      <c r="C125" s="730" t="inlineStr">
        <is>
          <t>มัลติแบกซ์</t>
        </is>
      </c>
      <c r="D125" s="730" t="inlineStr">
        <is>
          <t>ท่าเรือแหลมฉบัง</t>
        </is>
      </c>
      <c r="E125" s="731" t="n">
        <v>7.1</v>
      </c>
      <c r="F125" s="728" t="inlineStr">
        <is>
          <t>Km</t>
        </is>
      </c>
      <c r="G125" s="728" t="inlineStr">
        <is>
          <t>รถเทรลเลอร์</t>
        </is>
      </c>
      <c r="H125" s="728" t="inlineStr">
        <is>
          <t>TORONTO, CANADA</t>
        </is>
      </c>
      <c r="I125" s="733" t="n">
        <v>13695</v>
      </c>
      <c r="J125" s="732" t="inlineStr">
        <is>
          <t>Km</t>
        </is>
      </c>
      <c r="K125" s="734" t="n">
        <v>3700</v>
      </c>
      <c r="L125" s="741">
        <f>M125-K125</f>
        <v/>
      </c>
      <c r="M125" s="739" t="n">
        <v>22500</v>
      </c>
      <c r="N125" s="1772" t="n">
        <v>17940</v>
      </c>
      <c r="O125" s="1762">
        <f>N125*E125/1000</f>
        <v/>
      </c>
      <c r="P125" s="1763">
        <f>O125/32</f>
        <v/>
      </c>
      <c r="Q125" s="1764">
        <f>N125*I125/1000</f>
        <v/>
      </c>
    </row>
    <row r="126" ht="15.75" customHeight="1">
      <c r="A126" s="719" t="inlineStr">
        <is>
          <t>FO23020047</t>
        </is>
      </c>
      <c r="B126" s="720" t="n">
        <v>44979</v>
      </c>
      <c r="C126" s="721" t="inlineStr">
        <is>
          <t>มัลติแบกซ์</t>
        </is>
      </c>
      <c r="D126" s="721" t="inlineStr">
        <is>
          <t>ท่าเรือแหลมฉบัง</t>
        </is>
      </c>
      <c r="E126" s="722" t="n">
        <v>7.1</v>
      </c>
      <c r="F126" s="719" t="inlineStr">
        <is>
          <t>Km</t>
        </is>
      </c>
      <c r="G126" s="719" t="inlineStr">
        <is>
          <t>รถเทรลเลอร์</t>
        </is>
      </c>
      <c r="H126" s="719" t="inlineStr">
        <is>
          <t>UNIVERSITY PARK IL, USA</t>
        </is>
      </c>
      <c r="I126" s="724" t="n">
        <v>13877</v>
      </c>
      <c r="J126" s="723" t="inlineStr">
        <is>
          <t>Km</t>
        </is>
      </c>
      <c r="K126" s="725" t="n">
        <v>3800</v>
      </c>
      <c r="L126" s="740">
        <f>M126-K126</f>
        <v/>
      </c>
      <c r="M126" s="738" t="n">
        <v>13989.8</v>
      </c>
      <c r="N126" s="1773" t="n">
        <v>7660</v>
      </c>
      <c r="O126" s="1762">
        <f>N126*E126/1000</f>
        <v/>
      </c>
      <c r="P126" s="1763">
        <f>O126/32</f>
        <v/>
      </c>
      <c r="Q126" s="1764">
        <f>N126*I126/1000</f>
        <v/>
      </c>
    </row>
    <row r="127" ht="15.75" customHeight="1">
      <c r="A127" s="728" t="inlineStr">
        <is>
          <t>FO23020048</t>
        </is>
      </c>
      <c r="B127" s="729" t="n">
        <v>44980</v>
      </c>
      <c r="C127" s="730" t="inlineStr">
        <is>
          <t>มัลติแบกซ์</t>
        </is>
      </c>
      <c r="D127" s="730" t="inlineStr">
        <is>
          <t>ท่าเรือแหลมฉบัง</t>
        </is>
      </c>
      <c r="E127" s="731" t="n">
        <v>6.2</v>
      </c>
      <c r="F127" s="728" t="inlineStr">
        <is>
          <t>Km</t>
        </is>
      </c>
      <c r="G127" s="728" t="inlineStr">
        <is>
          <t>รถเทรลเลอร์</t>
        </is>
      </c>
      <c r="H127" s="728" t="inlineStr">
        <is>
          <t>UNIVERSITY PARK IL, USA</t>
        </is>
      </c>
      <c r="I127" s="733" t="n">
        <v>13877</v>
      </c>
      <c r="J127" s="732" t="inlineStr">
        <is>
          <t>Km</t>
        </is>
      </c>
      <c r="K127" s="734" t="n">
        <v>3900</v>
      </c>
      <c r="L127" s="741">
        <f>M127-K127</f>
        <v/>
      </c>
      <c r="M127" s="739" t="n">
        <v>23499.5</v>
      </c>
      <c r="N127" s="1772" t="n">
        <v>15795</v>
      </c>
      <c r="O127" s="1762">
        <f>N127*E127/1000</f>
        <v/>
      </c>
      <c r="P127" s="1763">
        <f>O127/32</f>
        <v/>
      </c>
      <c r="Q127" s="1764">
        <f>N127*I127/1000</f>
        <v/>
      </c>
    </row>
    <row r="128" ht="15.75" customHeight="1">
      <c r="A128" s="719" t="inlineStr">
        <is>
          <t>FO23020049</t>
        </is>
      </c>
      <c r="B128" s="720" t="n">
        <v>44980</v>
      </c>
      <c r="C128" s="721" t="inlineStr">
        <is>
          <t>มัลติแบกซ์</t>
        </is>
      </c>
      <c r="D128" s="721" t="inlineStr">
        <is>
          <t>ท่าเรือแหลมฉบัง</t>
        </is>
      </c>
      <c r="E128" s="722" t="n">
        <v>7.1</v>
      </c>
      <c r="F128" s="719" t="inlineStr">
        <is>
          <t>Km</t>
        </is>
      </c>
      <c r="G128" s="719" t="inlineStr">
        <is>
          <t>รถเทรลเลอร์</t>
        </is>
      </c>
      <c r="H128" s="719" t="inlineStr">
        <is>
          <t>UNIVERSITY PARK IL, USA</t>
        </is>
      </c>
      <c r="I128" s="724" t="n">
        <v>13877</v>
      </c>
      <c r="J128" s="723" t="inlineStr">
        <is>
          <t>Km</t>
        </is>
      </c>
      <c r="K128" s="725" t="n">
        <v>3840</v>
      </c>
      <c r="L128" s="740">
        <f>M128-K128</f>
        <v/>
      </c>
      <c r="M128" s="738" t="n">
        <v>15854</v>
      </c>
      <c r="N128" s="1773" t="n">
        <v>8988</v>
      </c>
      <c r="O128" s="1762">
        <f>N128*E128/1000</f>
        <v/>
      </c>
      <c r="P128" s="1763">
        <f>O128/32</f>
        <v/>
      </c>
      <c r="Q128" s="1764">
        <f>N128*I128/1000</f>
        <v/>
      </c>
    </row>
    <row r="129" ht="15.75" customHeight="1">
      <c r="A129" s="728" t="inlineStr">
        <is>
          <t>FO23020050</t>
        </is>
      </c>
      <c r="B129" s="729" t="n">
        <v>44977</v>
      </c>
      <c r="C129" s="730" t="inlineStr">
        <is>
          <t>มัลติแบกซ์</t>
        </is>
      </c>
      <c r="D129" s="730" t="inlineStr">
        <is>
          <t>ท่าเรือแหลมฉบัง</t>
        </is>
      </c>
      <c r="E129" s="731" t="n">
        <v>7.1</v>
      </c>
      <c r="F129" s="728" t="inlineStr">
        <is>
          <t>Km</t>
        </is>
      </c>
      <c r="G129" s="728" t="inlineStr">
        <is>
          <t>รถเทรลเลอร์</t>
        </is>
      </c>
      <c r="H129" s="728" t="inlineStr">
        <is>
          <t>SOUTH BOSTON VA, USA</t>
        </is>
      </c>
      <c r="I129" s="733" t="n">
        <v>13787</v>
      </c>
      <c r="J129" s="732" t="inlineStr">
        <is>
          <t>Km</t>
        </is>
      </c>
      <c r="K129" s="734" t="n">
        <v>3820</v>
      </c>
      <c r="L129" s="741">
        <f>M129-K129</f>
        <v/>
      </c>
      <c r="M129" s="739" t="n">
        <v>16071.5</v>
      </c>
      <c r="N129" s="1772" t="n">
        <v>8585.49</v>
      </c>
      <c r="O129" s="1762">
        <f>N129*E129/1000</f>
        <v/>
      </c>
      <c r="P129" s="1763">
        <f>O129/32</f>
        <v/>
      </c>
      <c r="Q129" s="1764">
        <f>N129*I129/1000</f>
        <v/>
      </c>
    </row>
    <row r="130" ht="15.75" customHeight="1">
      <c r="A130" s="719" t="inlineStr">
        <is>
          <t>FO23020051</t>
        </is>
      </c>
      <c r="B130" s="720" t="n">
        <v>44981</v>
      </c>
      <c r="C130" s="721" t="inlineStr">
        <is>
          <t>มัลติแบกซ์</t>
        </is>
      </c>
      <c r="D130" s="721" t="inlineStr">
        <is>
          <t>ท่าเรือแหลมฉบัง</t>
        </is>
      </c>
      <c r="E130" s="722" t="n">
        <v>6.2</v>
      </c>
      <c r="F130" s="719" t="inlineStr">
        <is>
          <t>Km</t>
        </is>
      </c>
      <c r="G130" s="719" t="inlineStr">
        <is>
          <t>รถเทรลเลอร์</t>
        </is>
      </c>
      <c r="H130" s="719" t="inlineStr">
        <is>
          <t>HONG KONG</t>
        </is>
      </c>
      <c r="I130" s="724" t="n">
        <v>1734</v>
      </c>
      <c r="J130" s="723" t="inlineStr">
        <is>
          <t>Km</t>
        </is>
      </c>
      <c r="K130" s="725" t="n">
        <v>3650</v>
      </c>
      <c r="L130" s="740">
        <f>M130-K130</f>
        <v/>
      </c>
      <c r="M130" s="738" t="n">
        <v>15538</v>
      </c>
      <c r="N130" s="1773" t="n">
        <v>9380.799999999999</v>
      </c>
      <c r="O130" s="1762">
        <f>N130*E130/1000</f>
        <v/>
      </c>
      <c r="P130" s="1763">
        <f>O130/32</f>
        <v/>
      </c>
      <c r="Q130" s="1764">
        <f>N130*I130/1000</f>
        <v/>
      </c>
    </row>
    <row r="131" ht="15.75" customHeight="1">
      <c r="A131" s="728" t="inlineStr">
        <is>
          <t>FO23020052</t>
        </is>
      </c>
      <c r="B131" s="729" t="n">
        <v>44981</v>
      </c>
      <c r="C131" s="730" t="inlineStr">
        <is>
          <t>มัลติแบกซ์</t>
        </is>
      </c>
      <c r="D131" s="730" t="inlineStr">
        <is>
          <t>ท่าเรือแหลมฉบัง</t>
        </is>
      </c>
      <c r="E131" s="731" t="n">
        <v>7.1</v>
      </c>
      <c r="F131" s="728" t="inlineStr">
        <is>
          <t>Km</t>
        </is>
      </c>
      <c r="G131" s="728" t="inlineStr">
        <is>
          <t>รถเทรลเลอร์</t>
        </is>
      </c>
      <c r="H131" s="728" t="inlineStr">
        <is>
          <t>HONG KONG</t>
        </is>
      </c>
      <c r="I131" s="733" t="n">
        <v>1734</v>
      </c>
      <c r="J131" s="732" t="inlineStr">
        <is>
          <t>Km</t>
        </is>
      </c>
      <c r="K131" s="734" t="n">
        <v>2100</v>
      </c>
      <c r="L131" s="741">
        <f>M131-K131</f>
        <v/>
      </c>
      <c r="M131" s="739" t="n">
        <v>7338.3</v>
      </c>
      <c r="N131" s="1772" t="n">
        <v>4096.6</v>
      </c>
      <c r="O131" s="1762">
        <f>N131*E131/1000</f>
        <v/>
      </c>
      <c r="P131" s="1763">
        <f>O131/32</f>
        <v/>
      </c>
      <c r="Q131" s="1764">
        <f>N131*I131/1000</f>
        <v/>
      </c>
    </row>
    <row r="132" ht="15.75" customHeight="1">
      <c r="A132" s="719" t="inlineStr">
        <is>
          <t>FO23020053</t>
        </is>
      </c>
      <c r="B132" s="720" t="n">
        <v>44980</v>
      </c>
      <c r="C132" s="721" t="inlineStr">
        <is>
          <t>มัลติแบกซ์</t>
        </is>
      </c>
      <c r="D132" s="721" t="inlineStr">
        <is>
          <t>ท่าเรือแหลมฉบัง</t>
        </is>
      </c>
      <c r="E132" s="722" t="n">
        <v>6.2</v>
      </c>
      <c r="F132" s="719" t="inlineStr">
        <is>
          <t>Km</t>
        </is>
      </c>
      <c r="G132" s="719" t="inlineStr">
        <is>
          <t>รถเทรลเลอร์</t>
        </is>
      </c>
      <c r="H132" s="719" t="inlineStr">
        <is>
          <t>JACKSONVILLE IL, USA</t>
        </is>
      </c>
      <c r="I132" s="724" t="n">
        <v>15168</v>
      </c>
      <c r="J132" s="723" t="inlineStr">
        <is>
          <t>Km</t>
        </is>
      </c>
      <c r="K132" s="725" t="n">
        <v>3700</v>
      </c>
      <c r="L132" s="740">
        <f>M132-K132</f>
        <v/>
      </c>
      <c r="M132" s="738" t="n">
        <v>20777</v>
      </c>
      <c r="N132" s="1773" t="n">
        <v>15333.35</v>
      </c>
      <c r="O132" s="1762">
        <f>N132*E132/1000</f>
        <v/>
      </c>
      <c r="P132" s="1763">
        <f>O132/32</f>
        <v/>
      </c>
      <c r="Q132" s="1764">
        <f>N132*I132/1000</f>
        <v/>
      </c>
    </row>
    <row r="133" ht="15.75" customHeight="1">
      <c r="A133" s="728" t="inlineStr">
        <is>
          <t>FO23020054</t>
        </is>
      </c>
      <c r="B133" s="729" t="n">
        <v>44979</v>
      </c>
      <c r="C133" s="730" t="inlineStr">
        <is>
          <t>มัลติแบกซ์</t>
        </is>
      </c>
      <c r="D133" s="730" t="inlineStr">
        <is>
          <t>ท่าเรือแหลมฉบัง</t>
        </is>
      </c>
      <c r="E133" s="731" t="n">
        <v>6.2</v>
      </c>
      <c r="F133" s="728" t="inlineStr">
        <is>
          <t>Km</t>
        </is>
      </c>
      <c r="G133" s="728" t="inlineStr">
        <is>
          <t>รถเทรลเลอร์</t>
        </is>
      </c>
      <c r="H133" s="728" t="inlineStr">
        <is>
          <t>JACKSONVILLE IL, USA</t>
        </is>
      </c>
      <c r="I133" s="733" t="n">
        <v>15168</v>
      </c>
      <c r="J133" s="732" t="inlineStr">
        <is>
          <t>Km</t>
        </is>
      </c>
      <c r="K133" s="734" t="n">
        <v>3700</v>
      </c>
      <c r="L133" s="741">
        <f>M133-K133</f>
        <v/>
      </c>
      <c r="M133" s="739" t="n">
        <v>22881</v>
      </c>
      <c r="N133" s="1772" t="n">
        <v>16275</v>
      </c>
      <c r="O133" s="1762">
        <f>N133*E133/1000</f>
        <v/>
      </c>
      <c r="P133" s="1763">
        <f>O133/32</f>
        <v/>
      </c>
      <c r="Q133" s="1764">
        <f>N133*I133/1000</f>
        <v/>
      </c>
    </row>
    <row r="134" ht="15.75" customHeight="1">
      <c r="A134" s="719" t="inlineStr">
        <is>
          <t>FO23020055</t>
        </is>
      </c>
      <c r="B134" s="720" t="n">
        <v>44979</v>
      </c>
      <c r="C134" s="721" t="inlineStr">
        <is>
          <t>มัลติแบกซ์</t>
        </is>
      </c>
      <c r="D134" s="721" t="inlineStr">
        <is>
          <t>ท่าเรือแหลมฉบัง</t>
        </is>
      </c>
      <c r="E134" s="722" t="n">
        <v>6.2</v>
      </c>
      <c r="F134" s="719" t="inlineStr">
        <is>
          <t>Km</t>
        </is>
      </c>
      <c r="G134" s="719" t="inlineStr">
        <is>
          <t>รถเทรลเลอร์</t>
        </is>
      </c>
      <c r="H134" s="719" t="inlineStr">
        <is>
          <t>JACKSONVILLE IL, USA</t>
        </is>
      </c>
      <c r="I134" s="724" t="n">
        <v>15168</v>
      </c>
      <c r="J134" s="723" t="inlineStr">
        <is>
          <t>Km</t>
        </is>
      </c>
      <c r="K134" s="725" t="n">
        <v>3700</v>
      </c>
      <c r="L134" s="740">
        <f>M134-K134</f>
        <v/>
      </c>
      <c r="M134" s="738" t="n">
        <v>22881</v>
      </c>
      <c r="N134" s="1773" t="n">
        <v>16275</v>
      </c>
      <c r="O134" s="1762">
        <f>N134*E134/1000</f>
        <v/>
      </c>
      <c r="P134" s="1763">
        <f>O134/32</f>
        <v/>
      </c>
      <c r="Q134" s="1764">
        <f>N134*I134/1000</f>
        <v/>
      </c>
    </row>
    <row r="135" ht="15.75" customHeight="1">
      <c r="A135" s="728" t="inlineStr">
        <is>
          <t>FO23020056</t>
        </is>
      </c>
      <c r="B135" s="729" t="n">
        <v>44979</v>
      </c>
      <c r="C135" s="730" t="inlineStr">
        <is>
          <t>มัลติแบกซ์</t>
        </is>
      </c>
      <c r="D135" s="730" t="inlineStr">
        <is>
          <t>ท่าเรือแหลมฉบัง</t>
        </is>
      </c>
      <c r="E135" s="731" t="n">
        <v>7.1</v>
      </c>
      <c r="F135" s="728" t="inlineStr">
        <is>
          <t>Km</t>
        </is>
      </c>
      <c r="G135" s="728" t="inlineStr">
        <is>
          <t>รถเทรลเลอร์</t>
        </is>
      </c>
      <c r="H135" s="728" t="inlineStr">
        <is>
          <t>UK PORT</t>
        </is>
      </c>
      <c r="I135" s="733" t="n">
        <v>9687</v>
      </c>
      <c r="J135" s="732" t="inlineStr">
        <is>
          <t>Km</t>
        </is>
      </c>
      <c r="K135" s="734" t="n">
        <v>3770</v>
      </c>
      <c r="L135" s="741">
        <f>M135-K135</f>
        <v/>
      </c>
      <c r="M135" s="739" t="n">
        <v>23667</v>
      </c>
      <c r="N135" s="1772" t="n">
        <v>18561</v>
      </c>
      <c r="O135" s="1762">
        <f>N135*E135/1000</f>
        <v/>
      </c>
      <c r="P135" s="1763">
        <f>O135/32</f>
        <v/>
      </c>
      <c r="Q135" s="1764">
        <f>N135*I135/1000</f>
        <v/>
      </c>
    </row>
    <row r="136" ht="15.75" customHeight="1">
      <c r="A136" s="719" t="inlineStr">
        <is>
          <t>FO23020057</t>
        </is>
      </c>
      <c r="B136" s="720" t="n">
        <v>44984</v>
      </c>
      <c r="C136" s="721" t="inlineStr">
        <is>
          <t>มัลติแบกซ์</t>
        </is>
      </c>
      <c r="D136" s="721" t="inlineStr">
        <is>
          <t>ท่าเรือแหลมฉบัง</t>
        </is>
      </c>
      <c r="E136" s="722" t="n">
        <v>7.1</v>
      </c>
      <c r="F136" s="719" t="inlineStr">
        <is>
          <t>Km</t>
        </is>
      </c>
      <c r="G136" s="719" t="inlineStr">
        <is>
          <t>รถเทรลเลอร์</t>
        </is>
      </c>
      <c r="H136" s="719" t="inlineStr">
        <is>
          <t>SYDNEY, AUSTRALIA</t>
        </is>
      </c>
      <c r="I136" s="724" t="n">
        <v>7448</v>
      </c>
      <c r="J136" s="723" t="inlineStr">
        <is>
          <t>Km</t>
        </is>
      </c>
      <c r="K136" s="725" t="n">
        <v>3700</v>
      </c>
      <c r="L136" s="740">
        <f>M136-K136</f>
        <v/>
      </c>
      <c r="M136" s="738" t="n">
        <v>27502</v>
      </c>
      <c r="N136" s="1773" t="n">
        <v>20199</v>
      </c>
      <c r="O136" s="1762">
        <f>N136*E136/1000</f>
        <v/>
      </c>
      <c r="P136" s="1763">
        <f>O136/32</f>
        <v/>
      </c>
      <c r="Q136" s="1764">
        <f>N136*I136/1000</f>
        <v/>
      </c>
    </row>
    <row r="137" ht="15.75" customHeight="1">
      <c r="A137" s="728" t="inlineStr">
        <is>
          <t>FO23020058</t>
        </is>
      </c>
      <c r="B137" s="729" t="n">
        <v>44979</v>
      </c>
      <c r="C137" s="730" t="inlineStr">
        <is>
          <t>มัลติแบกซ์</t>
        </is>
      </c>
      <c r="D137" s="730" t="inlineStr">
        <is>
          <t>ท่าเรือแหลมฉบัง</t>
        </is>
      </c>
      <c r="E137" s="731" t="n">
        <v>6.2</v>
      </c>
      <c r="F137" s="728" t="inlineStr">
        <is>
          <t>Km</t>
        </is>
      </c>
      <c r="G137" s="728" t="inlineStr">
        <is>
          <t>รถเทรลเลอร์</t>
        </is>
      </c>
      <c r="H137" s="728" t="inlineStr">
        <is>
          <t>CARROLLTON TX, USA</t>
        </is>
      </c>
      <c r="I137" s="733" t="n">
        <v>14544</v>
      </c>
      <c r="J137" s="732" t="inlineStr">
        <is>
          <t>Km</t>
        </is>
      </c>
      <c r="K137" s="734" t="n">
        <v>3840</v>
      </c>
      <c r="L137" s="741">
        <f>M137-K137</f>
        <v/>
      </c>
      <c r="M137" s="739" t="n">
        <v>18679</v>
      </c>
      <c r="N137" s="1772" t="n">
        <v>12511.2</v>
      </c>
      <c r="O137" s="1762">
        <f>N137*E137/1000</f>
        <v/>
      </c>
      <c r="P137" s="1763">
        <f>O137/32</f>
        <v/>
      </c>
      <c r="Q137" s="1764">
        <f>N137*I137/1000</f>
        <v/>
      </c>
    </row>
    <row r="138" ht="15.75" customHeight="1">
      <c r="A138" s="719" t="inlineStr">
        <is>
          <t>FO23020059</t>
        </is>
      </c>
      <c r="B138" s="720" t="n">
        <v>44984</v>
      </c>
      <c r="C138" s="721" t="inlineStr">
        <is>
          <t>มัลติแบกซ์</t>
        </is>
      </c>
      <c r="D138" s="721" t="inlineStr">
        <is>
          <t>ท่าเรือแหลมฉบัง</t>
        </is>
      </c>
      <c r="E138" s="722" t="n">
        <v>5.2</v>
      </c>
      <c r="F138" s="719" t="inlineStr">
        <is>
          <t>Km</t>
        </is>
      </c>
      <c r="G138" s="719" t="inlineStr">
        <is>
          <t>รถเทรลเลอร์</t>
        </is>
      </c>
      <c r="H138" s="719" t="inlineStr">
        <is>
          <t>LOUISVILLE KY, USA</t>
        </is>
      </c>
      <c r="I138" s="724" t="n">
        <v>14253</v>
      </c>
      <c r="J138" s="723" t="inlineStr">
        <is>
          <t>Km</t>
        </is>
      </c>
      <c r="K138" s="725" t="n">
        <v>3780</v>
      </c>
      <c r="L138" s="740">
        <f>M138-K138</f>
        <v/>
      </c>
      <c r="M138" s="738" t="n">
        <v>14681.63</v>
      </c>
      <c r="N138" s="1773" t="n">
        <v>8102.34</v>
      </c>
      <c r="O138" s="1762">
        <f>N138*E138/1000</f>
        <v/>
      </c>
      <c r="P138" s="1763">
        <f>O138/32</f>
        <v/>
      </c>
      <c r="Q138" s="1764">
        <f>N138*I138/1000</f>
        <v/>
      </c>
    </row>
    <row r="139" ht="15.75" customHeight="1">
      <c r="A139" s="728" t="inlineStr">
        <is>
          <t>FO23020060</t>
        </is>
      </c>
      <c r="B139" s="729" t="n">
        <v>44985</v>
      </c>
      <c r="C139" s="730" t="inlineStr">
        <is>
          <t>มัลติแบกซ์</t>
        </is>
      </c>
      <c r="D139" s="730" t="inlineStr">
        <is>
          <t>ท่าเรือแหลมฉบัง</t>
        </is>
      </c>
      <c r="E139" s="731" t="n">
        <v>3.6</v>
      </c>
      <c r="F139" s="728" t="inlineStr">
        <is>
          <t>Km</t>
        </is>
      </c>
      <c r="G139" s="728" t="inlineStr">
        <is>
          <t>รถเทรลเลอร์</t>
        </is>
      </c>
      <c r="H139" s="728" t="inlineStr">
        <is>
          <t>TOMAKOMAI, JAPAN</t>
        </is>
      </c>
      <c r="I139" s="733" t="n">
        <v>5092</v>
      </c>
      <c r="J139" s="732" t="inlineStr">
        <is>
          <t>Km</t>
        </is>
      </c>
      <c r="K139" s="734" t="n">
        <v>2185</v>
      </c>
      <c r="L139" s="741">
        <f>M139-K139</f>
        <v/>
      </c>
      <c r="M139" s="1771" t="n">
        <v>7519.5</v>
      </c>
      <c r="N139" s="1772" t="n">
        <v>4398.9</v>
      </c>
      <c r="O139" s="1762">
        <f>N139*E139/1000</f>
        <v/>
      </c>
      <c r="P139" s="1763">
        <f>O139/32</f>
        <v/>
      </c>
      <c r="Q139" s="1764">
        <f>N139*I139/1000</f>
        <v/>
      </c>
    </row>
    <row r="140" ht="15.75" customHeight="1">
      <c r="A140" s="719" t="inlineStr">
        <is>
          <t>FO23020061</t>
        </is>
      </c>
      <c r="B140" s="720" t="n">
        <v>44985</v>
      </c>
      <c r="C140" s="721" t="inlineStr">
        <is>
          <t>มัลติแบกซ์</t>
        </is>
      </c>
      <c r="D140" s="721" t="inlineStr">
        <is>
          <t>ท่าเรือแหลมฉบัง</t>
        </is>
      </c>
      <c r="E140" s="722" t="n">
        <v>5.3</v>
      </c>
      <c r="F140" s="719" t="inlineStr">
        <is>
          <t>Km</t>
        </is>
      </c>
      <c r="G140" s="719" t="inlineStr">
        <is>
          <t>รถเทรลเลอร์</t>
        </is>
      </c>
      <c r="H140" s="719" t="inlineStr">
        <is>
          <t>SANTA TERESA, NM USA</t>
        </is>
      </c>
      <c r="I140" s="724" t="n">
        <v>17387</v>
      </c>
      <c r="J140" s="723" t="inlineStr">
        <is>
          <t>Km</t>
        </is>
      </c>
      <c r="K140" s="725" t="n">
        <v>3770</v>
      </c>
      <c r="L140" s="740">
        <f>M140-K140</f>
        <v/>
      </c>
      <c r="M140" s="1769" t="n">
        <v>21729.85</v>
      </c>
      <c r="N140" s="1773" t="n">
        <v>15637.32</v>
      </c>
      <c r="O140" s="1762">
        <f>N140*E140/1000</f>
        <v/>
      </c>
      <c r="P140" s="1763">
        <f>O140/32</f>
        <v/>
      </c>
      <c r="Q140" s="1764">
        <f>N140*I140/1000</f>
        <v/>
      </c>
    </row>
    <row r="141" ht="15.75" customHeight="1">
      <c r="A141" s="728" t="inlineStr">
        <is>
          <t>FO23020062</t>
        </is>
      </c>
      <c r="B141" s="729" t="n">
        <v>44980</v>
      </c>
      <c r="C141" s="730" t="inlineStr">
        <is>
          <t>มัลติแบกซ์</t>
        </is>
      </c>
      <c r="D141" s="730" t="inlineStr">
        <is>
          <t>ท่าเรือแหลมฉบัง</t>
        </is>
      </c>
      <c r="E141" s="731" t="n">
        <v>6.2</v>
      </c>
      <c r="F141" s="728" t="inlineStr">
        <is>
          <t>Km</t>
        </is>
      </c>
      <c r="G141" s="728" t="inlineStr">
        <is>
          <t>รถเทรลเลอร์</t>
        </is>
      </c>
      <c r="H141" s="728" t="inlineStr">
        <is>
          <t>GUANGZHOU, CHINA</t>
        </is>
      </c>
      <c r="I141" s="733" t="n">
        <v>2597</v>
      </c>
      <c r="J141" s="732" t="inlineStr">
        <is>
          <t>Km</t>
        </is>
      </c>
      <c r="K141" s="734" t="n">
        <v>3120</v>
      </c>
      <c r="L141" s="741">
        <f>M141-K141</f>
        <v/>
      </c>
      <c r="M141" s="739" t="n">
        <v>16208</v>
      </c>
      <c r="N141" s="1772" t="n">
        <v>10669</v>
      </c>
      <c r="O141" s="1762">
        <f>N141*E141/1000</f>
        <v/>
      </c>
      <c r="P141" s="1763">
        <f>O141/32</f>
        <v/>
      </c>
      <c r="Q141" s="1764">
        <f>N141*I141/1000</f>
        <v/>
      </c>
    </row>
    <row r="142" ht="15.75" customHeight="1">
      <c r="A142" s="719" t="inlineStr">
        <is>
          <t>FO23020063</t>
        </is>
      </c>
      <c r="B142" s="720" t="n">
        <v>44985</v>
      </c>
      <c r="C142" s="721" t="inlineStr">
        <is>
          <t>มัลติแบกซ์</t>
        </is>
      </c>
      <c r="D142" s="721" t="inlineStr">
        <is>
          <t>ท่าเรือแหลมฉบัง</t>
        </is>
      </c>
      <c r="E142" s="722" t="n">
        <v>7.1</v>
      </c>
      <c r="F142" s="719" t="inlineStr">
        <is>
          <t>Km</t>
        </is>
      </c>
      <c r="G142" s="719" t="inlineStr">
        <is>
          <t>รถเทรลเลอร์</t>
        </is>
      </c>
      <c r="H142" s="719" t="inlineStr">
        <is>
          <t>COLUMBUS OHIO, USA</t>
        </is>
      </c>
      <c r="I142" s="724" t="n">
        <v>14000</v>
      </c>
      <c r="J142" s="723" t="inlineStr">
        <is>
          <t>Km</t>
        </is>
      </c>
      <c r="K142" s="725" t="n">
        <v>3700</v>
      </c>
      <c r="L142" s="740">
        <f>M142-K142</f>
        <v/>
      </c>
      <c r="M142" s="1769" t="n">
        <v>22016.56</v>
      </c>
      <c r="N142" s="1773" t="n">
        <v>15942.2</v>
      </c>
      <c r="O142" s="1762">
        <f>N142*E142/1000</f>
        <v/>
      </c>
      <c r="P142" s="1763">
        <f>O142/32</f>
        <v/>
      </c>
      <c r="Q142" s="1764">
        <f>N142*I142/1000</f>
        <v/>
      </c>
    </row>
    <row r="143" ht="15.75" customHeight="1">
      <c r="A143" s="728" t="inlineStr">
        <is>
          <t>FO23020064</t>
        </is>
      </c>
      <c r="B143" s="729" t="n">
        <v>44985</v>
      </c>
      <c r="C143" s="730" t="inlineStr">
        <is>
          <t>มัลติแบกซ์</t>
        </is>
      </c>
      <c r="D143" s="730" t="inlineStr">
        <is>
          <t>ท่าเรือแหลมฉบัง</t>
        </is>
      </c>
      <c r="E143" s="731" t="n">
        <v>6.5</v>
      </c>
      <c r="F143" s="728" t="inlineStr">
        <is>
          <t>Km</t>
        </is>
      </c>
      <c r="G143" s="728" t="inlineStr">
        <is>
          <t>รถเทรลเลอร์</t>
        </is>
      </c>
      <c r="H143" s="728" t="inlineStr">
        <is>
          <t>APPLETON WI , USA</t>
        </is>
      </c>
      <c r="I143" s="733" t="n">
        <v>13558</v>
      </c>
      <c r="J143" s="732" t="inlineStr">
        <is>
          <t>Km</t>
        </is>
      </c>
      <c r="K143" s="734" t="n">
        <v>3700</v>
      </c>
      <c r="L143" s="741">
        <f>M143-K143</f>
        <v/>
      </c>
      <c r="M143" s="1771" t="n">
        <v>16305.25</v>
      </c>
      <c r="N143" s="1772" t="n">
        <v>8711.25</v>
      </c>
      <c r="O143" s="1762">
        <f>N143*E143/1000</f>
        <v/>
      </c>
      <c r="P143" s="1763">
        <f>O143/32</f>
        <v/>
      </c>
      <c r="Q143" s="1764">
        <f>N143*I143/1000</f>
        <v/>
      </c>
    </row>
    <row r="144" ht="15.75" customHeight="1">
      <c r="A144" s="719" t="inlineStr">
        <is>
          <t>FO23020065</t>
        </is>
      </c>
      <c r="B144" s="720" t="n">
        <v>44986</v>
      </c>
      <c r="C144" s="721" t="inlineStr">
        <is>
          <t>มัลติแบกซ์</t>
        </is>
      </c>
      <c r="D144" s="721" t="inlineStr">
        <is>
          <t>ท่าเรือแหลมฉบัง</t>
        </is>
      </c>
      <c r="E144" s="722" t="n">
        <v>6</v>
      </c>
      <c r="F144" s="719" t="inlineStr">
        <is>
          <t>Km</t>
        </is>
      </c>
      <c r="G144" s="719" t="inlineStr">
        <is>
          <t>รถเทรลเลอร์</t>
        </is>
      </c>
      <c r="H144" s="719" t="inlineStr">
        <is>
          <t>NAGOYA, JAPAN</t>
        </is>
      </c>
      <c r="I144" s="724" t="n">
        <v>4358</v>
      </c>
      <c r="J144" s="723" t="inlineStr">
        <is>
          <t>Km</t>
        </is>
      </c>
      <c r="K144" s="722" t="n">
        <v>2265</v>
      </c>
      <c r="L144" s="740">
        <f>M144-K144</f>
        <v/>
      </c>
      <c r="M144" s="722" t="n">
        <v>7612.15</v>
      </c>
      <c r="N144" s="1774" t="n">
        <v>4360.4</v>
      </c>
      <c r="O144" s="1762">
        <f>N144*E144/1000</f>
        <v/>
      </c>
      <c r="P144" s="1763">
        <f>O144/32</f>
        <v/>
      </c>
      <c r="Q144" s="1764">
        <f>N144*I144/1000</f>
        <v/>
      </c>
    </row>
    <row r="145" ht="15.75" customHeight="1">
      <c r="A145" s="728" t="inlineStr">
        <is>
          <t>FO23020066</t>
        </is>
      </c>
      <c r="B145" s="729" t="n">
        <v>44986</v>
      </c>
      <c r="C145" s="730" t="inlineStr">
        <is>
          <t>มัลติแบกซ์</t>
        </is>
      </c>
      <c r="D145" s="730" t="inlineStr">
        <is>
          <t>ท่าเรือแหลมฉบัง</t>
        </is>
      </c>
      <c r="E145" s="731" t="n">
        <v>6</v>
      </c>
      <c r="F145" s="728" t="inlineStr">
        <is>
          <t>Km</t>
        </is>
      </c>
      <c r="G145" s="728" t="inlineStr">
        <is>
          <t>รถเทรลเลอร์</t>
        </is>
      </c>
      <c r="H145" s="728" t="inlineStr">
        <is>
          <t>SHIMIZU, JAPAN</t>
        </is>
      </c>
      <c r="I145" s="733" t="n">
        <v>4482</v>
      </c>
      <c r="J145" s="732" t="inlineStr">
        <is>
          <t>Km</t>
        </is>
      </c>
      <c r="K145" s="731" t="n">
        <v>2185</v>
      </c>
      <c r="L145" s="741">
        <f>M145-K145</f>
        <v/>
      </c>
      <c r="M145" s="731" t="n">
        <v>7434.35</v>
      </c>
      <c r="N145" s="1775" t="n">
        <v>4200.95</v>
      </c>
      <c r="O145" s="1762">
        <f>N145*E145/1000</f>
        <v/>
      </c>
      <c r="P145" s="1763">
        <f>O145/32</f>
        <v/>
      </c>
      <c r="Q145" s="1764">
        <f>N145*I145/1000</f>
        <v/>
      </c>
    </row>
    <row r="146" ht="15.75" customHeight="1">
      <c r="A146" s="719" t="inlineStr">
        <is>
          <t>FO23020067</t>
        </is>
      </c>
      <c r="B146" s="720" t="n">
        <v>44984</v>
      </c>
      <c r="C146" s="721" t="inlineStr">
        <is>
          <t>มัลติแบกซ์</t>
        </is>
      </c>
      <c r="D146" s="721" t="inlineStr">
        <is>
          <t>ท่าเรือแหลมฉบัง</t>
        </is>
      </c>
      <c r="E146" s="722" t="n">
        <v>6.5</v>
      </c>
      <c r="F146" s="719" t="inlineStr">
        <is>
          <t>Km</t>
        </is>
      </c>
      <c r="G146" s="719" t="inlineStr">
        <is>
          <t>รถเทรลเลอร์</t>
        </is>
      </c>
      <c r="H146" s="719" t="inlineStr">
        <is>
          <t>JACKSONVILLE IL, USA</t>
        </is>
      </c>
      <c r="I146" s="724" t="n">
        <v>15168</v>
      </c>
      <c r="J146" s="723" t="inlineStr">
        <is>
          <t>Km</t>
        </is>
      </c>
      <c r="K146" s="725" t="n">
        <v>3700</v>
      </c>
      <c r="L146" s="740">
        <f>M146-K146</f>
        <v/>
      </c>
      <c r="M146" s="738" t="n">
        <v>19020</v>
      </c>
      <c r="N146" s="1773" t="n">
        <v>12558</v>
      </c>
      <c r="O146" s="1762">
        <f>N146*E146/1000</f>
        <v/>
      </c>
      <c r="P146" s="1763">
        <f>O146/32</f>
        <v/>
      </c>
      <c r="Q146" s="1764">
        <f>N146*I146/1000</f>
        <v/>
      </c>
    </row>
    <row r="147" ht="15.75" customHeight="1">
      <c r="A147" s="728" t="inlineStr">
        <is>
          <t>FO23020068</t>
        </is>
      </c>
      <c r="B147" s="729" t="n">
        <v>44985</v>
      </c>
      <c r="C147" s="730" t="inlineStr">
        <is>
          <t>มัลติแบกซ์</t>
        </is>
      </c>
      <c r="D147" s="730" t="inlineStr">
        <is>
          <t>ท่าเรือแหลมฉบัง</t>
        </is>
      </c>
      <c r="E147" s="731" t="n">
        <v>6</v>
      </c>
      <c r="F147" s="728" t="inlineStr">
        <is>
          <t>Km</t>
        </is>
      </c>
      <c r="G147" s="728" t="inlineStr">
        <is>
          <t>รถเทรลเลอร์</t>
        </is>
      </c>
      <c r="H147" s="728" t="inlineStr">
        <is>
          <t>TOKYO, JAPAN</t>
        </is>
      </c>
      <c r="I147" s="733" t="n">
        <v>4608</v>
      </c>
      <c r="J147" s="732" t="inlineStr">
        <is>
          <t>Km</t>
        </is>
      </c>
      <c r="K147" s="731" t="n">
        <v>2210</v>
      </c>
      <c r="L147" s="741">
        <f>M147-K147</f>
        <v/>
      </c>
      <c r="M147" s="731" t="n">
        <v>7459.35</v>
      </c>
      <c r="N147" s="1775" t="n">
        <v>4200.95</v>
      </c>
      <c r="O147" s="1762">
        <f>N147*E147/1000</f>
        <v/>
      </c>
      <c r="P147" s="1763">
        <f>O147/32</f>
        <v/>
      </c>
      <c r="Q147" s="1764">
        <f>N147*I147/1000</f>
        <v/>
      </c>
    </row>
    <row r="148" ht="15.75" customHeight="1">
      <c r="A148" s="719" t="inlineStr">
        <is>
          <t>FO23020069</t>
        </is>
      </c>
      <c r="B148" s="720" t="n">
        <v>44985</v>
      </c>
      <c r="C148" s="721" t="inlineStr">
        <is>
          <t>มัลติแบกซ์</t>
        </is>
      </c>
      <c r="D148" s="721" t="inlineStr">
        <is>
          <t>ท่าเรือแหลมฉบัง</t>
        </is>
      </c>
      <c r="E148" s="722" t="n">
        <v>6.5</v>
      </c>
      <c r="F148" s="719" t="inlineStr">
        <is>
          <t>Km</t>
        </is>
      </c>
      <c r="G148" s="719" t="inlineStr">
        <is>
          <t>รถเทรลเลอร์</t>
        </is>
      </c>
      <c r="H148" s="719" t="inlineStr">
        <is>
          <t>JACKSONVILLE IL, USA</t>
        </is>
      </c>
      <c r="I148" s="724" t="n">
        <v>15168</v>
      </c>
      <c r="J148" s="723" t="inlineStr">
        <is>
          <t>Km</t>
        </is>
      </c>
      <c r="K148" s="722" t="n">
        <v>3700</v>
      </c>
      <c r="L148" s="740">
        <f>M148-K148</f>
        <v/>
      </c>
      <c r="M148" s="722" t="n">
        <v>19900</v>
      </c>
      <c r="N148" s="1774" t="n">
        <v>13083</v>
      </c>
      <c r="O148" s="1762">
        <f>N148*E148/1000</f>
        <v/>
      </c>
      <c r="P148" s="1763">
        <f>O148/32</f>
        <v/>
      </c>
      <c r="Q148" s="1764">
        <f>N148*I148/1000</f>
        <v/>
      </c>
    </row>
    <row r="149" ht="15.75" customHeight="1">
      <c r="A149" s="728" t="inlineStr">
        <is>
          <t>FO23020070</t>
        </is>
      </c>
      <c r="B149" s="729" t="n">
        <v>44985</v>
      </c>
      <c r="C149" s="730" t="inlineStr">
        <is>
          <t>มัลติแบกซ์</t>
        </is>
      </c>
      <c r="D149" s="730" t="inlineStr">
        <is>
          <t>ท่าเรือแหลมฉบัง</t>
        </is>
      </c>
      <c r="E149" s="731" t="n">
        <v>6.5</v>
      </c>
      <c r="F149" s="728" t="inlineStr">
        <is>
          <t>Km</t>
        </is>
      </c>
      <c r="G149" s="728" t="inlineStr">
        <is>
          <t>รถเทรลเลอร์</t>
        </is>
      </c>
      <c r="H149" s="728" t="inlineStr">
        <is>
          <t>JACKSONVILLE IL, USA</t>
        </is>
      </c>
      <c r="I149" s="733" t="n">
        <v>15168</v>
      </c>
      <c r="J149" s="732" t="inlineStr">
        <is>
          <t>Km</t>
        </is>
      </c>
      <c r="K149" s="731" t="n">
        <v>3900</v>
      </c>
      <c r="L149" s="741">
        <f>M149-K149</f>
        <v/>
      </c>
      <c r="M149" s="731" t="n">
        <v>22816.4</v>
      </c>
      <c r="N149" s="1775" t="n">
        <v>15960</v>
      </c>
      <c r="O149" s="1762">
        <f>N149*E149/1000</f>
        <v/>
      </c>
      <c r="P149" s="1763">
        <f>O149/32</f>
        <v/>
      </c>
      <c r="Q149" s="1764">
        <f>N149*I149/1000</f>
        <v/>
      </c>
    </row>
    <row r="150" ht="15.75" customHeight="1">
      <c r="A150" s="719" t="inlineStr">
        <is>
          <t>FO23020071</t>
        </is>
      </c>
      <c r="B150" s="720" t="n">
        <v>44984</v>
      </c>
      <c r="C150" s="721" t="inlineStr">
        <is>
          <t>มัลติแบกซ์</t>
        </is>
      </c>
      <c r="D150" s="721" t="inlineStr">
        <is>
          <t>ท่าเรือแหลมฉบัง</t>
        </is>
      </c>
      <c r="E150" s="722" t="n">
        <v>11.9</v>
      </c>
      <c r="F150" s="719" t="inlineStr">
        <is>
          <t>Km</t>
        </is>
      </c>
      <c r="G150" s="719" t="inlineStr">
        <is>
          <t>รถเทรลเลอร์</t>
        </is>
      </c>
      <c r="H150" s="719" t="inlineStr">
        <is>
          <t>SHUWAIKH, KUWAIT</t>
        </is>
      </c>
      <c r="I150" s="724" t="n">
        <v>5727</v>
      </c>
      <c r="J150" s="723" t="inlineStr">
        <is>
          <t>Km</t>
        </is>
      </c>
      <c r="K150" s="725" t="n">
        <v>2180</v>
      </c>
      <c r="L150" s="740">
        <f>M150-K150</f>
        <v/>
      </c>
      <c r="M150" s="738" t="n">
        <v>8719.309999999999</v>
      </c>
      <c r="N150" s="1773" t="n">
        <v>5443.38</v>
      </c>
      <c r="O150" s="1762">
        <f>N150*E150/1000</f>
        <v/>
      </c>
      <c r="P150" s="1763">
        <f>O150/32</f>
        <v/>
      </c>
      <c r="Q150" s="1764">
        <f>N150*I150/1000</f>
        <v/>
      </c>
    </row>
    <row r="151" ht="15.75" customHeight="1">
      <c r="A151" s="728" t="inlineStr">
        <is>
          <t>FO23020072</t>
        </is>
      </c>
      <c r="B151" s="729" t="n">
        <v>44984</v>
      </c>
      <c r="C151" s="730" t="inlineStr">
        <is>
          <t>มัลติแบกซ์</t>
        </is>
      </c>
      <c r="D151" s="730" t="inlineStr">
        <is>
          <t>ท่าเรือแหลมฉบัง</t>
        </is>
      </c>
      <c r="E151" s="731" t="n">
        <v>11.9</v>
      </c>
      <c r="F151" s="728" t="inlineStr">
        <is>
          <t>Km</t>
        </is>
      </c>
      <c r="G151" s="728" t="inlineStr">
        <is>
          <t>รถเทรลเลอร์</t>
        </is>
      </c>
      <c r="H151" s="728" t="inlineStr">
        <is>
          <t>HAMAD, QATAR</t>
        </is>
      </c>
      <c r="I151" s="733" t="n">
        <v>5317</v>
      </c>
      <c r="J151" s="732" t="inlineStr">
        <is>
          <t>Km</t>
        </is>
      </c>
      <c r="K151" s="734" t="n">
        <v>2100</v>
      </c>
      <c r="L151" s="741">
        <f>M151-K151</f>
        <v/>
      </c>
      <c r="M151" s="739" t="n">
        <v>9714.76</v>
      </c>
      <c r="N151" s="1772" t="n">
        <v>6637</v>
      </c>
      <c r="O151" s="1762">
        <f>N151*E151/1000</f>
        <v/>
      </c>
      <c r="P151" s="1763">
        <f>O151/32</f>
        <v/>
      </c>
      <c r="Q151" s="1764">
        <f>N151*I151/1000</f>
        <v/>
      </c>
    </row>
    <row r="152" ht="15.75" customHeight="1">
      <c r="A152" s="719" t="inlineStr">
        <is>
          <t>FO23030001</t>
        </is>
      </c>
      <c r="B152" s="720" t="n">
        <v>44987</v>
      </c>
      <c r="C152" s="721" t="inlineStr">
        <is>
          <t>มัลติแบกซ์</t>
        </is>
      </c>
      <c r="D152" s="721" t="inlineStr">
        <is>
          <t>ท่าเรือแหลมฉบัง</t>
        </is>
      </c>
      <c r="E152" s="722" t="n">
        <v>11.9</v>
      </c>
      <c r="F152" s="719" t="inlineStr">
        <is>
          <t>Km</t>
        </is>
      </c>
      <c r="G152" s="723" t="inlineStr">
        <is>
          <t>รถเทรลเลอร์</t>
        </is>
      </c>
      <c r="H152" s="719" t="inlineStr">
        <is>
          <t>AUCKLAND, NEW ZEALAND</t>
        </is>
      </c>
      <c r="I152" s="724" t="n">
        <v>9486</v>
      </c>
      <c r="J152" s="723" t="inlineStr">
        <is>
          <t>Km</t>
        </is>
      </c>
      <c r="K152" s="725" t="n">
        <v>3840</v>
      </c>
      <c r="L152" s="740">
        <f>M152-K152</f>
        <v/>
      </c>
      <c r="M152" s="738" t="n">
        <v>26282</v>
      </c>
      <c r="N152" s="1773" t="n">
        <v>18391.6</v>
      </c>
      <c r="O152" s="1762">
        <f>N152*E152/1000</f>
        <v/>
      </c>
      <c r="P152" s="1763">
        <f>O152/32</f>
        <v/>
      </c>
      <c r="Q152" s="1764">
        <f>N152*I152/1000</f>
        <v/>
      </c>
    </row>
    <row r="153" ht="15.75" customHeight="1">
      <c r="A153" s="728" t="inlineStr">
        <is>
          <t>FO23030002</t>
        </is>
      </c>
      <c r="B153" s="729" t="n">
        <v>44987</v>
      </c>
      <c r="C153" s="730" t="inlineStr">
        <is>
          <t>มัลติแบกซ์</t>
        </is>
      </c>
      <c r="D153" s="730" t="inlineStr">
        <is>
          <t>ท่าเรือแหลมฉบัง</t>
        </is>
      </c>
      <c r="E153" s="731" t="n">
        <v>11.9</v>
      </c>
      <c r="F153" s="728" t="inlineStr">
        <is>
          <t>Km</t>
        </is>
      </c>
      <c r="G153" s="732" t="inlineStr">
        <is>
          <t>รถเทรลเลอร์</t>
        </is>
      </c>
      <c r="H153" s="728" t="inlineStr">
        <is>
          <t>AUCKLAND, NEW ZEALAND</t>
        </is>
      </c>
      <c r="I153" s="733" t="n">
        <v>9486</v>
      </c>
      <c r="J153" s="732" t="inlineStr">
        <is>
          <t>Km</t>
        </is>
      </c>
      <c r="K153" s="734" t="n">
        <v>3700</v>
      </c>
      <c r="L153" s="741">
        <f>M153-K153</f>
        <v/>
      </c>
      <c r="M153" s="739" t="n">
        <v>23044.5</v>
      </c>
      <c r="N153" s="1772" t="n">
        <v>15577</v>
      </c>
      <c r="O153" s="1762">
        <f>N153*E153/1000</f>
        <v/>
      </c>
      <c r="P153" s="1763">
        <f>O153/32</f>
        <v/>
      </c>
      <c r="Q153" s="1764">
        <f>N153*I153/1000</f>
        <v/>
      </c>
    </row>
    <row r="154" ht="15.75" customHeight="1">
      <c r="A154" s="698" t="inlineStr">
        <is>
          <t>FO23030003</t>
        </is>
      </c>
      <c r="B154" s="720" t="n">
        <v>44989</v>
      </c>
      <c r="C154" s="698" t="inlineStr">
        <is>
          <t>มัลติแบกซ์</t>
        </is>
      </c>
      <c r="D154" s="698" t="inlineStr">
        <is>
          <t>ท่าเรือแหลมฉบัง</t>
        </is>
      </c>
      <c r="E154" s="700" t="n">
        <v>6.5</v>
      </c>
      <c r="F154" s="698" t="inlineStr">
        <is>
          <t>Km</t>
        </is>
      </c>
      <c r="G154" s="701" t="inlineStr">
        <is>
          <t>รถเทรลเลอร์</t>
        </is>
      </c>
      <c r="H154" s="719" t="inlineStr">
        <is>
          <t>ROTTERDAM, NETHERLANDS</t>
        </is>
      </c>
      <c r="I154" s="724" t="n">
        <v>9292</v>
      </c>
      <c r="J154" s="703" t="inlineStr">
        <is>
          <t>Km</t>
        </is>
      </c>
      <c r="K154" s="704" t="n">
        <v>2300</v>
      </c>
      <c r="L154" s="744" t="n">
        <v>14805</v>
      </c>
      <c r="M154" s="738" t="n"/>
      <c r="N154" s="1773" t="n">
        <v>14226.6</v>
      </c>
      <c r="O154" s="1762">
        <f>N154*E154/1000</f>
        <v/>
      </c>
      <c r="P154" s="1763">
        <f>O154/32</f>
        <v/>
      </c>
      <c r="Q154" s="1764">
        <f>N154*I154/1000</f>
        <v/>
      </c>
    </row>
    <row r="155" ht="15.75" customHeight="1">
      <c r="A155" s="728" t="inlineStr">
        <is>
          <t>FO23030004</t>
        </is>
      </c>
      <c r="B155" s="729" t="n">
        <v>44993</v>
      </c>
      <c r="C155" s="730" t="inlineStr">
        <is>
          <t>มัลติแบกซ์</t>
        </is>
      </c>
      <c r="D155" s="730" t="inlineStr">
        <is>
          <t>ท่าเรือแหลมฉบัง</t>
        </is>
      </c>
      <c r="E155" s="731" t="n">
        <v>11.9</v>
      </c>
      <c r="F155" s="728" t="inlineStr">
        <is>
          <t>Km</t>
        </is>
      </c>
      <c r="G155" s="732" t="inlineStr">
        <is>
          <t>รถเทรลเลอร์</t>
        </is>
      </c>
      <c r="H155" s="728" t="inlineStr">
        <is>
          <t>MELBOURNE, AUSTRALIA</t>
        </is>
      </c>
      <c r="I155" s="733" t="n">
        <v>7283</v>
      </c>
      <c r="J155" s="732" t="inlineStr">
        <is>
          <t>Km</t>
        </is>
      </c>
      <c r="K155" s="734" t="n">
        <v>3860</v>
      </c>
      <c r="L155" s="741">
        <f>M155-K155</f>
        <v/>
      </c>
      <c r="M155" s="739" t="n">
        <v>27262</v>
      </c>
      <c r="N155" s="1772" t="n">
        <v>20604</v>
      </c>
      <c r="O155" s="1762">
        <f>N155*E155/1000</f>
        <v/>
      </c>
      <c r="P155" s="1763">
        <f>O155/32</f>
        <v/>
      </c>
      <c r="Q155" s="1764">
        <f>N155*I155/1000</f>
        <v/>
      </c>
    </row>
    <row r="156" ht="15.75" customHeight="1">
      <c r="A156" s="719" t="inlineStr">
        <is>
          <t>FO23030005</t>
        </is>
      </c>
      <c r="B156" s="720" t="n">
        <v>44992</v>
      </c>
      <c r="C156" s="721" t="inlineStr">
        <is>
          <t>มัลติแบกซ์</t>
        </is>
      </c>
      <c r="D156" s="721" t="inlineStr">
        <is>
          <t>ท่าเรือแหลมฉบัง</t>
        </is>
      </c>
      <c r="E156" s="722" t="n">
        <v>7.1</v>
      </c>
      <c r="F156" s="719" t="inlineStr">
        <is>
          <t>Km</t>
        </is>
      </c>
      <c r="G156" s="723" t="inlineStr">
        <is>
          <t>รถเทรลเลอร์</t>
        </is>
      </c>
      <c r="H156" s="719" t="inlineStr">
        <is>
          <t>MELBOURNE, AUSTRALIA</t>
        </is>
      </c>
      <c r="I156" s="724" t="n">
        <v>7283</v>
      </c>
      <c r="J156" s="723" t="inlineStr">
        <is>
          <t>Km</t>
        </is>
      </c>
      <c r="K156" s="725" t="n">
        <v>2160</v>
      </c>
      <c r="L156" s="740">
        <f>M156-K156</f>
        <v/>
      </c>
      <c r="M156" s="738" t="n">
        <v>11452</v>
      </c>
      <c r="N156" s="1773" t="n">
        <v>8082</v>
      </c>
      <c r="O156" s="1762">
        <f>N156*E156/1000</f>
        <v/>
      </c>
      <c r="P156" s="1763">
        <f>O156/32</f>
        <v/>
      </c>
      <c r="Q156" s="1764">
        <f>N156*I156/1000</f>
        <v/>
      </c>
    </row>
    <row r="157" ht="15.75" customHeight="1">
      <c r="A157" s="728" t="inlineStr">
        <is>
          <t>FO23030006</t>
        </is>
      </c>
      <c r="B157" s="729" t="n">
        <v>44987</v>
      </c>
      <c r="C157" s="730" t="inlineStr">
        <is>
          <t>มัลติแบกซ์</t>
        </is>
      </c>
      <c r="D157" s="730" t="inlineStr">
        <is>
          <t>ท่าเรือแหลมฉบัง</t>
        </is>
      </c>
      <c r="E157" s="731" t="n">
        <v>7.1</v>
      </c>
      <c r="F157" s="728" t="inlineStr">
        <is>
          <t>Km</t>
        </is>
      </c>
      <c r="G157" s="732" t="inlineStr">
        <is>
          <t>รถเทรลเลอร์</t>
        </is>
      </c>
      <c r="H157" s="728" t="inlineStr">
        <is>
          <t>PERRIS CA, USA</t>
        </is>
      </c>
      <c r="I157" s="733" t="n">
        <v>13413</v>
      </c>
      <c r="J157" s="732" t="inlineStr">
        <is>
          <t>Km</t>
        </is>
      </c>
      <c r="K157" s="734" t="n">
        <v>3700</v>
      </c>
      <c r="L157" s="741">
        <f>M157-K157</f>
        <v/>
      </c>
      <c r="M157" s="739" t="n">
        <v>18539</v>
      </c>
      <c r="N157" s="1772" t="n">
        <v>12511.2</v>
      </c>
      <c r="O157" s="1762">
        <f>N157*E157/1000</f>
        <v/>
      </c>
      <c r="P157" s="1763">
        <f>O157/32</f>
        <v/>
      </c>
      <c r="Q157" s="1764">
        <f>N157*I157/1000</f>
        <v/>
      </c>
    </row>
    <row r="158" ht="15.75" customHeight="1">
      <c r="A158" s="719" t="inlineStr">
        <is>
          <t>FO23030007</t>
        </is>
      </c>
      <c r="B158" s="720" t="n">
        <v>44988</v>
      </c>
      <c r="C158" s="721" t="inlineStr">
        <is>
          <t>มัลติแบกซ์</t>
        </is>
      </c>
      <c r="D158" s="721" t="inlineStr">
        <is>
          <t>ท่าเรือแหลมฉบัง</t>
        </is>
      </c>
      <c r="E158" s="722" t="n">
        <v>6.5</v>
      </c>
      <c r="F158" s="719" t="inlineStr">
        <is>
          <t>Km</t>
        </is>
      </c>
      <c r="G158" s="723" t="inlineStr">
        <is>
          <t>รถเทรลเลอร์</t>
        </is>
      </c>
      <c r="H158" s="719" t="inlineStr">
        <is>
          <t>UK PORT</t>
        </is>
      </c>
      <c r="I158" s="724" t="n">
        <v>9687</v>
      </c>
      <c r="J158" s="723" t="inlineStr">
        <is>
          <t>Km</t>
        </is>
      </c>
      <c r="K158" s="725" t="n">
        <v>3800</v>
      </c>
      <c r="L158" s="740">
        <f>M158-K158</f>
        <v/>
      </c>
      <c r="M158" s="738" t="n">
        <v>23693</v>
      </c>
      <c r="N158" s="1773" t="n">
        <v>18610.8</v>
      </c>
      <c r="O158" s="1762">
        <f>N158*E158/1000</f>
        <v/>
      </c>
      <c r="P158" s="1763">
        <f>O158/32</f>
        <v/>
      </c>
      <c r="Q158" s="1764">
        <f>N158*I158/1000</f>
        <v/>
      </c>
    </row>
    <row r="159" ht="15.75" customHeight="1">
      <c r="A159" s="728" t="inlineStr">
        <is>
          <t>FO23030008</t>
        </is>
      </c>
      <c r="B159" s="729" t="n">
        <v>44987</v>
      </c>
      <c r="C159" s="730" t="inlineStr">
        <is>
          <t>มัลติแบกซ์</t>
        </is>
      </c>
      <c r="D159" s="730" t="inlineStr">
        <is>
          <t>ท่าเรือแหลมฉบัง</t>
        </is>
      </c>
      <c r="E159" s="731" t="n">
        <v>7.1</v>
      </c>
      <c r="F159" s="730" t="inlineStr">
        <is>
          <t>Km</t>
        </is>
      </c>
      <c r="G159" s="730" t="inlineStr">
        <is>
          <t>รถเทรลเลอร์</t>
        </is>
      </c>
      <c r="H159" s="728" t="inlineStr">
        <is>
          <t>UNIVERSITY PARK IL, USA</t>
        </is>
      </c>
      <c r="I159" s="733" t="n">
        <v>13877</v>
      </c>
      <c r="J159" s="737" t="inlineStr">
        <is>
          <t>Km</t>
        </is>
      </c>
      <c r="K159" s="734" t="n">
        <v>3840</v>
      </c>
      <c r="L159" s="741">
        <f>M159-K159</f>
        <v/>
      </c>
      <c r="M159" s="739" t="n">
        <v>1423.8</v>
      </c>
      <c r="N159" s="1772" t="n">
        <v>7660</v>
      </c>
      <c r="O159" s="1762">
        <f>N159*E159/1000</f>
        <v/>
      </c>
      <c r="P159" s="1763">
        <f>O159/32</f>
        <v/>
      </c>
      <c r="Q159" s="1764">
        <f>N159*I159/1000</f>
        <v/>
      </c>
    </row>
    <row r="160" ht="15.75" customHeight="1">
      <c r="A160" s="719" t="inlineStr">
        <is>
          <t>FO23030009</t>
        </is>
      </c>
      <c r="B160" s="720" t="n">
        <v>44992</v>
      </c>
      <c r="C160" s="721" t="inlineStr">
        <is>
          <t>มัลติแบกซ์</t>
        </is>
      </c>
      <c r="D160" s="721" t="inlineStr">
        <is>
          <t>ท่าเรือแหลมฉบัง</t>
        </is>
      </c>
      <c r="E160" s="722" t="n">
        <v>11.9</v>
      </c>
      <c r="F160" s="719" t="inlineStr">
        <is>
          <t>Km</t>
        </is>
      </c>
      <c r="G160" s="723" t="inlineStr">
        <is>
          <t>รถเทรลเลอร์</t>
        </is>
      </c>
      <c r="H160" s="719" t="inlineStr">
        <is>
          <t>JACKSONVILLE IL, USA</t>
        </is>
      </c>
      <c r="I160" s="724" t="n">
        <v>15168</v>
      </c>
      <c r="J160" s="723" t="inlineStr">
        <is>
          <t>Km</t>
        </is>
      </c>
      <c r="K160" s="725" t="n">
        <v>3810</v>
      </c>
      <c r="L160" s="740">
        <f>M160-K160</f>
        <v/>
      </c>
      <c r="M160" s="738" t="n">
        <v>22596.4</v>
      </c>
      <c r="N160" s="1773" t="n">
        <v>15019.2</v>
      </c>
      <c r="O160" s="1762">
        <f>N160*E160/1000</f>
        <v/>
      </c>
      <c r="P160" s="1763">
        <f>O160/32</f>
        <v/>
      </c>
      <c r="Q160" s="1764">
        <f>N160*I160/1000</f>
        <v/>
      </c>
    </row>
    <row r="161" ht="15.75" customHeight="1">
      <c r="A161" s="728" t="inlineStr">
        <is>
          <t>FO23030010</t>
        </is>
      </c>
      <c r="B161" s="729" t="n">
        <v>44992</v>
      </c>
      <c r="C161" s="730" t="inlineStr">
        <is>
          <t>มัลติแบกซ์</t>
        </is>
      </c>
      <c r="D161" s="730" t="inlineStr">
        <is>
          <t>ท่าเรือแหลมฉบัง</t>
        </is>
      </c>
      <c r="E161" s="731" t="n">
        <v>11.9</v>
      </c>
      <c r="F161" s="728" t="inlineStr">
        <is>
          <t>Km</t>
        </is>
      </c>
      <c r="G161" s="732" t="inlineStr">
        <is>
          <t>รถเทรลเลอร์</t>
        </is>
      </c>
      <c r="H161" s="728" t="inlineStr">
        <is>
          <t>JACKSONVILLE IL, USA</t>
        </is>
      </c>
      <c r="I161" s="733" t="n">
        <v>15168</v>
      </c>
      <c r="J161" s="732" t="inlineStr">
        <is>
          <t>Km</t>
        </is>
      </c>
      <c r="K161" s="734" t="n">
        <v>3890</v>
      </c>
      <c r="L161" s="741">
        <f>M161-K161</f>
        <v/>
      </c>
      <c r="M161" s="739" t="n">
        <v>22617</v>
      </c>
      <c r="N161" s="1772" t="n">
        <v>14962.5</v>
      </c>
      <c r="O161" s="1762">
        <f>N161*E161/1000</f>
        <v/>
      </c>
      <c r="P161" s="1763">
        <f>O161/32</f>
        <v/>
      </c>
      <c r="Q161" s="1764">
        <f>N161*I161/1000</f>
        <v/>
      </c>
    </row>
    <row r="162" ht="15.75" customHeight="1">
      <c r="A162" s="719" t="inlineStr">
        <is>
          <t>FO23030011</t>
        </is>
      </c>
      <c r="B162" s="720" t="n">
        <v>44992</v>
      </c>
      <c r="C162" s="721" t="inlineStr">
        <is>
          <t>มัลติแบกซ์</t>
        </is>
      </c>
      <c r="D162" s="721" t="inlineStr">
        <is>
          <t>ท่าเรือแหลมฉบัง</t>
        </is>
      </c>
      <c r="E162" s="722" t="n">
        <v>6.2</v>
      </c>
      <c r="F162" s="719" t="inlineStr">
        <is>
          <t>Km</t>
        </is>
      </c>
      <c r="G162" s="723" t="inlineStr">
        <is>
          <t>รถเทรลเลอร์</t>
        </is>
      </c>
      <c r="H162" s="719" t="inlineStr">
        <is>
          <t>JACKSONVILLE IL, USA</t>
        </is>
      </c>
      <c r="I162" s="724" t="n">
        <v>15168</v>
      </c>
      <c r="J162" s="723" t="inlineStr">
        <is>
          <t>Km</t>
        </is>
      </c>
      <c r="K162" s="725" t="n">
        <v>3870</v>
      </c>
      <c r="L162" s="740">
        <f>M162-K162</f>
        <v/>
      </c>
      <c r="M162" s="738" t="n">
        <v>22656.4</v>
      </c>
      <c r="N162" s="1773" t="n">
        <v>15019.2</v>
      </c>
      <c r="O162" s="1762">
        <f>N162*E162/1000</f>
        <v/>
      </c>
      <c r="P162" s="1763">
        <f>O162/32</f>
        <v/>
      </c>
      <c r="Q162" s="1764">
        <f>N162*I162/1000</f>
        <v/>
      </c>
    </row>
    <row r="163" ht="15.75" customHeight="1">
      <c r="A163" s="728" t="inlineStr">
        <is>
          <t>FO23030012</t>
        </is>
      </c>
      <c r="B163" s="729" t="n">
        <v>44994</v>
      </c>
      <c r="C163" s="730" t="inlineStr">
        <is>
          <t>มัลติแบกซ์</t>
        </is>
      </c>
      <c r="D163" s="730" t="inlineStr">
        <is>
          <t>ท่าเรือแหลมฉบัง</t>
        </is>
      </c>
      <c r="E163" s="731" t="n">
        <v>7.1</v>
      </c>
      <c r="F163" s="728" t="inlineStr">
        <is>
          <t>Km</t>
        </is>
      </c>
      <c r="G163" s="732" t="inlineStr">
        <is>
          <t>รถเทรลเลอร์</t>
        </is>
      </c>
      <c r="H163" s="728" t="inlineStr">
        <is>
          <t>JACKSONVILLE IL, USA</t>
        </is>
      </c>
      <c r="I163" s="733" t="n">
        <v>15168</v>
      </c>
      <c r="J163" s="732" t="inlineStr">
        <is>
          <t>Km</t>
        </is>
      </c>
      <c r="K163" s="734" t="n">
        <v>3700</v>
      </c>
      <c r="L163" s="741">
        <f>M163-K163</f>
        <v/>
      </c>
      <c r="M163" s="1771" t="n">
        <v>19770.12</v>
      </c>
      <c r="N163" s="1772" t="n">
        <v>13384.62</v>
      </c>
      <c r="O163" s="1762">
        <f>N163*E163/1000</f>
        <v/>
      </c>
      <c r="P163" s="1763">
        <f>O163/32</f>
        <v/>
      </c>
      <c r="Q163" s="1764">
        <f>N163*I163/1000</f>
        <v/>
      </c>
    </row>
    <row r="164" ht="15.75" customHeight="1">
      <c r="A164" s="719" t="inlineStr">
        <is>
          <t>FO23030013</t>
        </is>
      </c>
      <c r="B164" s="720" t="n">
        <v>44992</v>
      </c>
      <c r="C164" s="721" t="inlineStr">
        <is>
          <t>มัลติแบกซ์</t>
        </is>
      </c>
      <c r="D164" s="721" t="inlineStr">
        <is>
          <t>ท่าเรือแหลมฉบัง</t>
        </is>
      </c>
      <c r="E164" s="722" t="n">
        <v>7.1</v>
      </c>
      <c r="F164" s="719" t="inlineStr">
        <is>
          <t>Km</t>
        </is>
      </c>
      <c r="G164" s="723" t="inlineStr">
        <is>
          <t>รถเทรลเลอร์</t>
        </is>
      </c>
      <c r="H164" s="719" t="inlineStr">
        <is>
          <t>CARROLLTON TX, USA</t>
        </is>
      </c>
      <c r="I164" s="724" t="n">
        <v>14544</v>
      </c>
      <c r="J164" s="723" t="inlineStr">
        <is>
          <t>Km</t>
        </is>
      </c>
      <c r="K164" s="725" t="n">
        <v>3900</v>
      </c>
      <c r="L164" s="740">
        <f>M164-K164</f>
        <v/>
      </c>
      <c r="M164" s="738" t="n">
        <v>18739</v>
      </c>
      <c r="N164" s="1773" t="n">
        <v>12511.2</v>
      </c>
      <c r="O164" s="1762">
        <f>N164*E164/1000</f>
        <v/>
      </c>
      <c r="P164" s="1763">
        <f>O164/32</f>
        <v/>
      </c>
      <c r="Q164" s="1764">
        <f>N164*I164/1000</f>
        <v/>
      </c>
    </row>
    <row r="165" ht="15.75" customHeight="1">
      <c r="A165" s="728" t="inlineStr">
        <is>
          <t>FO23030014</t>
        </is>
      </c>
      <c r="B165" s="729" t="n">
        <v>44988</v>
      </c>
      <c r="C165" s="730" t="inlineStr">
        <is>
          <t>มัลติแบกซ์</t>
        </is>
      </c>
      <c r="D165" s="730" t="inlineStr">
        <is>
          <t>ท่าเรือแหลมฉบัง</t>
        </is>
      </c>
      <c r="E165" s="731" t="n">
        <v>11.9</v>
      </c>
      <c r="F165" s="728" t="inlineStr">
        <is>
          <t>Km</t>
        </is>
      </c>
      <c r="G165" s="732" t="inlineStr">
        <is>
          <t>รถเทรลเลอร์</t>
        </is>
      </c>
      <c r="H165" s="728" t="inlineStr">
        <is>
          <t>AJMAN PORT, UAE</t>
        </is>
      </c>
      <c r="I165" s="733" t="n">
        <v>4929</v>
      </c>
      <c r="J165" s="732" t="inlineStr">
        <is>
          <t>Km</t>
        </is>
      </c>
      <c r="K165" s="734" t="n">
        <v>3690</v>
      </c>
      <c r="L165" s="741">
        <f>M165-K165</f>
        <v/>
      </c>
      <c r="M165" s="734" t="n">
        <v>19763.1</v>
      </c>
      <c r="N165" s="1772" t="n">
        <v>14123.12</v>
      </c>
      <c r="O165" s="1762">
        <f>N165*E165/1000</f>
        <v/>
      </c>
      <c r="P165" s="1763">
        <f>O165/32</f>
        <v/>
      </c>
      <c r="Q165" s="1764">
        <f>N165*I165/1000</f>
        <v/>
      </c>
    </row>
    <row r="166" ht="15.75" customHeight="1">
      <c r="A166" s="719" t="inlineStr">
        <is>
          <t>FO23030015</t>
        </is>
      </c>
      <c r="B166" s="720" t="n">
        <v>44988</v>
      </c>
      <c r="C166" s="721" t="inlineStr">
        <is>
          <t>มัลติแบกซ์</t>
        </is>
      </c>
      <c r="D166" s="721" t="inlineStr">
        <is>
          <t>ท่าเรือแหลมฉบัง</t>
        </is>
      </c>
      <c r="E166" s="722" t="n">
        <v>11.9</v>
      </c>
      <c r="F166" s="719" t="inlineStr">
        <is>
          <t>Km</t>
        </is>
      </c>
      <c r="G166" s="723" t="inlineStr">
        <is>
          <t>รถเทรลเลอร์</t>
        </is>
      </c>
      <c r="H166" s="719" t="inlineStr">
        <is>
          <t>AJMAN PORT, UAE</t>
        </is>
      </c>
      <c r="I166" s="724" t="n">
        <v>4929</v>
      </c>
      <c r="J166" s="723" t="inlineStr">
        <is>
          <t>Km</t>
        </is>
      </c>
      <c r="K166" s="725" t="n">
        <v>3540</v>
      </c>
      <c r="L166" s="740">
        <f>M166-K166</f>
        <v/>
      </c>
      <c r="M166" s="738" t="n">
        <v>18642.6</v>
      </c>
      <c r="N166" s="1773" t="n">
        <v>13606.32</v>
      </c>
      <c r="O166" s="1762">
        <f>N166*E166/1000</f>
        <v/>
      </c>
      <c r="P166" s="1763">
        <f>O166/32</f>
        <v/>
      </c>
      <c r="Q166" s="1764">
        <f>N166*I166/1000</f>
        <v/>
      </c>
    </row>
    <row r="167" ht="15.75" customHeight="1">
      <c r="A167" s="728" t="inlineStr">
        <is>
          <t>FO23030016</t>
        </is>
      </c>
      <c r="B167" s="729" t="n">
        <v>44988</v>
      </c>
      <c r="C167" s="730" t="inlineStr">
        <is>
          <t>มัลติแบกซ์</t>
        </is>
      </c>
      <c r="D167" s="730" t="inlineStr">
        <is>
          <t>ท่าเรือแหลมฉบัง</t>
        </is>
      </c>
      <c r="E167" s="731" t="n">
        <v>11.9</v>
      </c>
      <c r="F167" s="728" t="inlineStr">
        <is>
          <t>Km</t>
        </is>
      </c>
      <c r="G167" s="732" t="inlineStr">
        <is>
          <t>รถเทรลเลอร์</t>
        </is>
      </c>
      <c r="H167" s="728" t="inlineStr">
        <is>
          <t>AJMAN PORT, UAE</t>
        </is>
      </c>
      <c r="I167" s="733" t="n">
        <v>4929</v>
      </c>
      <c r="J167" s="732" t="inlineStr">
        <is>
          <t>Km</t>
        </is>
      </c>
      <c r="K167" s="734" t="n">
        <v>3640</v>
      </c>
      <c r="L167" s="741">
        <f>M167-K167</f>
        <v/>
      </c>
      <c r="M167" s="734" t="n">
        <v>16856.44</v>
      </c>
      <c r="N167" s="1772" t="n">
        <v>10742.56</v>
      </c>
      <c r="O167" s="1762">
        <f>N167*E167/1000</f>
        <v/>
      </c>
      <c r="P167" s="1763">
        <f>O167/32</f>
        <v/>
      </c>
      <c r="Q167" s="1764">
        <f>N167*I167/1000</f>
        <v/>
      </c>
    </row>
    <row r="168" ht="15.75" customHeight="1">
      <c r="A168" s="719" t="inlineStr">
        <is>
          <t>FO23030017</t>
        </is>
      </c>
      <c r="B168" s="720" t="n">
        <v>44993</v>
      </c>
      <c r="C168" s="721" t="inlineStr">
        <is>
          <t>มัลติแบกซ์</t>
        </is>
      </c>
      <c r="D168" s="721" t="inlineStr">
        <is>
          <t>ท่าเรือแหลมฉบัง</t>
        </is>
      </c>
      <c r="E168" s="722" t="n">
        <v>5.2</v>
      </c>
      <c r="F168" s="719" t="inlineStr">
        <is>
          <t>Km</t>
        </is>
      </c>
      <c r="G168" s="723" t="inlineStr">
        <is>
          <t>รถเทรลเลอร์</t>
        </is>
      </c>
      <c r="H168" s="719" t="inlineStr">
        <is>
          <t>MANZANILLO, MEXICO</t>
        </is>
      </c>
      <c r="I168" s="724" t="n">
        <v>15486</v>
      </c>
      <c r="J168" s="723" t="inlineStr">
        <is>
          <t>Km</t>
        </is>
      </c>
      <c r="K168" s="725" t="n">
        <v>3760</v>
      </c>
      <c r="L168" s="740">
        <f>M168-K168</f>
        <v/>
      </c>
      <c r="M168" s="738" t="n">
        <v>14866.64</v>
      </c>
      <c r="N168" s="1773" t="n">
        <v>8256.48</v>
      </c>
      <c r="O168" s="1762">
        <f>N168*E168/1000</f>
        <v/>
      </c>
      <c r="P168" s="1763">
        <f>O168/32</f>
        <v/>
      </c>
      <c r="Q168" s="1764">
        <f>N168*I168/1000</f>
        <v/>
      </c>
    </row>
    <row r="169" ht="15.75" customHeight="1">
      <c r="A169" s="728" t="inlineStr">
        <is>
          <t>FO23030018</t>
        </is>
      </c>
      <c r="B169" s="729" t="n">
        <v>44992</v>
      </c>
      <c r="C169" s="730" t="inlineStr">
        <is>
          <t>มัลติแบกซ์</t>
        </is>
      </c>
      <c r="D169" s="730" t="inlineStr">
        <is>
          <t>ท่าเรือแหลมฉบัง</t>
        </is>
      </c>
      <c r="E169" s="731" t="n">
        <v>7.1</v>
      </c>
      <c r="F169" s="728" t="inlineStr">
        <is>
          <t>Km</t>
        </is>
      </c>
      <c r="G169" s="732" t="inlineStr">
        <is>
          <t>รถเทรลเลอร์</t>
        </is>
      </c>
      <c r="H169" s="728" t="inlineStr">
        <is>
          <t>PERRIS CA, USA</t>
        </is>
      </c>
      <c r="I169" s="733" t="n">
        <v>13413</v>
      </c>
      <c r="J169" s="732" t="inlineStr">
        <is>
          <t>Km</t>
        </is>
      </c>
      <c r="K169" s="734" t="n">
        <v>3900</v>
      </c>
      <c r="L169" s="741">
        <f>M169-K169</f>
        <v/>
      </c>
      <c r="M169" s="739" t="n">
        <v>22971.6</v>
      </c>
      <c r="N169" s="1772" t="n">
        <v>15602.4</v>
      </c>
      <c r="O169" s="1762">
        <f>N169*E169/1000</f>
        <v/>
      </c>
      <c r="P169" s="1763">
        <f>O169/32</f>
        <v/>
      </c>
      <c r="Q169" s="1764">
        <f>N169*I169/1000</f>
        <v/>
      </c>
    </row>
    <row r="170" ht="15.75" customHeight="1">
      <c r="A170" s="719" t="inlineStr">
        <is>
          <t>FO23030019</t>
        </is>
      </c>
      <c r="B170" s="720" t="n">
        <v>44998</v>
      </c>
      <c r="C170" s="721" t="inlineStr">
        <is>
          <t>มัลติแบกซ์</t>
        </is>
      </c>
      <c r="D170" s="721" t="inlineStr">
        <is>
          <t>ท่าเรือแหลมฉบัง</t>
        </is>
      </c>
      <c r="E170" s="722" t="n">
        <v>6.5</v>
      </c>
      <c r="F170" s="719" t="inlineStr">
        <is>
          <t>Km</t>
        </is>
      </c>
      <c r="G170" s="723" t="inlineStr">
        <is>
          <t>รถเทรลเลอร์</t>
        </is>
      </c>
      <c r="H170" s="719" t="inlineStr">
        <is>
          <t>APPLETON WI , USA</t>
        </is>
      </c>
      <c r="I170" s="724" t="n">
        <v>13558</v>
      </c>
      <c r="J170" s="723" t="inlineStr">
        <is>
          <t>Km</t>
        </is>
      </c>
      <c r="K170" s="725" t="n">
        <v>3700</v>
      </c>
      <c r="L170" s="740">
        <f>M170-K170</f>
        <v/>
      </c>
      <c r="M170" s="1769" t="n">
        <v>20815</v>
      </c>
      <c r="N170" s="1773" t="n">
        <v>13187</v>
      </c>
      <c r="O170" s="1762">
        <f>N170*E170/1000</f>
        <v/>
      </c>
      <c r="P170" s="1763">
        <f>O170/32</f>
        <v/>
      </c>
      <c r="Q170" s="1764">
        <f>N170*I170/1000</f>
        <v/>
      </c>
    </row>
    <row r="171" ht="15.75" customHeight="1">
      <c r="A171" s="728" t="inlineStr">
        <is>
          <t>FO23030020</t>
        </is>
      </c>
      <c r="B171" s="729" t="n">
        <v>44992</v>
      </c>
      <c r="C171" s="730" t="inlineStr">
        <is>
          <t>มัลติแบกซ์</t>
        </is>
      </c>
      <c r="D171" s="730" t="inlineStr">
        <is>
          <t>ท่าเรือแหลมฉบัง</t>
        </is>
      </c>
      <c r="E171" s="731" t="n">
        <v>11.9</v>
      </c>
      <c r="F171" s="728" t="inlineStr">
        <is>
          <t>Km</t>
        </is>
      </c>
      <c r="G171" s="732" t="inlineStr">
        <is>
          <t>รถเทรลเลอร์</t>
        </is>
      </c>
      <c r="H171" s="728" t="inlineStr">
        <is>
          <t>HONG KONG</t>
        </is>
      </c>
      <c r="I171" s="733" t="n">
        <v>1734</v>
      </c>
      <c r="J171" s="732" t="inlineStr">
        <is>
          <t>Km</t>
        </is>
      </c>
      <c r="K171" s="734" t="n">
        <v>3600</v>
      </c>
      <c r="L171" s="741">
        <f>M171-K171</f>
        <v/>
      </c>
      <c r="M171" s="739" t="n">
        <v>15210.5</v>
      </c>
      <c r="N171" s="1772" t="n">
        <v>8827.200000000001</v>
      </c>
      <c r="O171" s="1762">
        <f>N171*E171/1000</f>
        <v/>
      </c>
      <c r="P171" s="1763">
        <f>O171/32</f>
        <v/>
      </c>
      <c r="Q171" s="1764">
        <f>N171*I171/1000</f>
        <v/>
      </c>
    </row>
    <row r="172" ht="15.75" customHeight="1">
      <c r="A172" s="719" t="inlineStr">
        <is>
          <t>FO23030021</t>
        </is>
      </c>
      <c r="B172" s="720" t="n">
        <v>45002</v>
      </c>
      <c r="C172" s="721" t="inlineStr">
        <is>
          <t>มัลติแบกซ์</t>
        </is>
      </c>
      <c r="D172" s="721" t="inlineStr">
        <is>
          <t>ท่าเรือแหลมฉบัง</t>
        </is>
      </c>
      <c r="E172" s="722" t="n">
        <v>6</v>
      </c>
      <c r="F172" s="719" t="inlineStr">
        <is>
          <t>Km</t>
        </is>
      </c>
      <c r="G172" s="723" t="inlineStr">
        <is>
          <t>รถเทรลเลอร์</t>
        </is>
      </c>
      <c r="H172" s="719" t="inlineStr">
        <is>
          <t>COLUMBUS OHIO, USA</t>
        </is>
      </c>
      <c r="I172" s="724" t="n">
        <v>14000</v>
      </c>
      <c r="J172" s="723" t="inlineStr">
        <is>
          <t>Km</t>
        </is>
      </c>
      <c r="K172" s="725" t="n">
        <v>3730</v>
      </c>
      <c r="L172" s="740">
        <f>M172-K172</f>
        <v/>
      </c>
      <c r="M172" s="1769" t="n">
        <v>21137.7</v>
      </c>
      <c r="N172" s="1773" t="n">
        <v>15179.34</v>
      </c>
      <c r="O172" s="1762">
        <f>N172*E172/1000</f>
        <v/>
      </c>
      <c r="P172" s="1763">
        <f>O172/32</f>
        <v/>
      </c>
      <c r="Q172" s="1764">
        <f>N172*I172/1000</f>
        <v/>
      </c>
    </row>
    <row r="173" ht="15.75" customHeight="1">
      <c r="A173" s="728" t="inlineStr">
        <is>
          <t>FO23030022</t>
        </is>
      </c>
      <c r="B173" s="729" t="n">
        <v>44994</v>
      </c>
      <c r="C173" s="730" t="inlineStr">
        <is>
          <t>มัลติแบกซ์</t>
        </is>
      </c>
      <c r="D173" s="730" t="inlineStr">
        <is>
          <t>ท่าเรือแหลมฉบัง</t>
        </is>
      </c>
      <c r="E173" s="731" t="n">
        <v>4.1</v>
      </c>
      <c r="F173" s="728" t="inlineStr">
        <is>
          <t>Km</t>
        </is>
      </c>
      <c r="G173" s="732" t="inlineStr">
        <is>
          <t>รถเทรลเลอร์</t>
        </is>
      </c>
      <c r="H173" s="728" t="inlineStr">
        <is>
          <t>SAN JUAN, PUERTO RICO</t>
        </is>
      </c>
      <c r="I173" s="733" t="n">
        <v>9292</v>
      </c>
      <c r="J173" s="732" t="inlineStr">
        <is>
          <t>Km</t>
        </is>
      </c>
      <c r="K173" s="734" t="n">
        <v>3795</v>
      </c>
      <c r="L173" s="741">
        <f>M173-K173</f>
        <v/>
      </c>
      <c r="M173" s="1771" t="n">
        <v>15288.1</v>
      </c>
      <c r="N173" s="1772" t="n">
        <v>7386</v>
      </c>
      <c r="O173" s="1762">
        <f>N173*E173/1000</f>
        <v/>
      </c>
      <c r="P173" s="1763">
        <f>O173/32</f>
        <v/>
      </c>
      <c r="Q173" s="1764">
        <f>N173*I173/1000</f>
        <v/>
      </c>
    </row>
    <row r="174" ht="15.75" customHeight="1">
      <c r="A174" s="719" t="inlineStr">
        <is>
          <t>FO23030023</t>
        </is>
      </c>
      <c r="B174" s="720" t="n">
        <v>45002</v>
      </c>
      <c r="C174" s="721" t="inlineStr">
        <is>
          <t>มัลติแบกซ์</t>
        </is>
      </c>
      <c r="D174" s="721" t="inlineStr">
        <is>
          <t>ท่าเรือแหลมฉบัง</t>
        </is>
      </c>
      <c r="E174" s="722" t="n">
        <v>6.5</v>
      </c>
      <c r="F174" s="719" t="inlineStr">
        <is>
          <t>Km</t>
        </is>
      </c>
      <c r="G174" s="723" t="inlineStr">
        <is>
          <t>รถเทรลเลอร์</t>
        </is>
      </c>
      <c r="H174" s="719" t="inlineStr">
        <is>
          <t>UK PORT</t>
        </is>
      </c>
      <c r="I174" s="724" t="n">
        <v>9687</v>
      </c>
      <c r="J174" s="723" t="inlineStr">
        <is>
          <t>Km</t>
        </is>
      </c>
      <c r="K174" s="725" t="n">
        <v>3650</v>
      </c>
      <c r="L174" s="740">
        <f>M174-K174</f>
        <v/>
      </c>
      <c r="M174" s="1769" t="n">
        <v>28677</v>
      </c>
      <c r="N174" s="1773" t="n">
        <v>23842</v>
      </c>
      <c r="O174" s="1762">
        <f>N174*E174/1000</f>
        <v/>
      </c>
      <c r="P174" s="1763">
        <f>O174/32</f>
        <v/>
      </c>
      <c r="Q174" s="1764">
        <f>N174*I174/1000</f>
        <v/>
      </c>
    </row>
    <row r="175" ht="15.75" customHeight="1">
      <c r="A175" s="728" t="inlineStr">
        <is>
          <t>FO23030024</t>
        </is>
      </c>
      <c r="B175" s="729" t="n">
        <v>44993</v>
      </c>
      <c r="C175" s="730" t="inlineStr">
        <is>
          <t>มัลติแบกซ์</t>
        </is>
      </c>
      <c r="D175" s="730" t="inlineStr">
        <is>
          <t>ท่าเรือแหลมฉบัง</t>
        </is>
      </c>
      <c r="E175" s="731" t="n">
        <v>11.9</v>
      </c>
      <c r="F175" s="728" t="inlineStr">
        <is>
          <t>Km</t>
        </is>
      </c>
      <c r="G175" s="732" t="inlineStr">
        <is>
          <t>รถเทรลเลอร์</t>
        </is>
      </c>
      <c r="H175" s="728" t="inlineStr">
        <is>
          <t>GUANGZHOU, CHINA</t>
        </is>
      </c>
      <c r="I175" s="733" t="n">
        <v>2597</v>
      </c>
      <c r="J175" s="732" t="inlineStr">
        <is>
          <t>Km</t>
        </is>
      </c>
      <c r="K175" s="734" t="n">
        <v>2190</v>
      </c>
      <c r="L175" s="741">
        <f>M175-K175</f>
        <v/>
      </c>
      <c r="M175" s="1771" t="n">
        <v>6332</v>
      </c>
      <c r="N175" s="1772" t="n">
        <v>3015.5</v>
      </c>
      <c r="O175" s="1762">
        <f>N175*E175/1000</f>
        <v/>
      </c>
      <c r="P175" s="1763">
        <f>O175/32</f>
        <v/>
      </c>
      <c r="Q175" s="1764">
        <f>N175*I175/1000</f>
        <v/>
      </c>
    </row>
    <row r="176" ht="15.75" customHeight="1">
      <c r="A176" s="719" t="inlineStr">
        <is>
          <t>FO23030025</t>
        </is>
      </c>
      <c r="B176" s="720" t="n">
        <v>44993</v>
      </c>
      <c r="C176" s="721" t="inlineStr">
        <is>
          <t>มัลติแบกซ์</t>
        </is>
      </c>
      <c r="D176" s="721" t="inlineStr">
        <is>
          <t>ท่าเรือแหลมฉบัง</t>
        </is>
      </c>
      <c r="E176" s="722" t="n">
        <v>5.2</v>
      </c>
      <c r="F176" s="719" t="inlineStr">
        <is>
          <t>Km</t>
        </is>
      </c>
      <c r="G176" s="723" t="inlineStr">
        <is>
          <t>รถเทรลเลอร์</t>
        </is>
      </c>
      <c r="H176" s="719" t="inlineStr">
        <is>
          <t>SINGAPORE</t>
        </is>
      </c>
      <c r="I176" s="724" t="n">
        <v>1931</v>
      </c>
      <c r="J176" s="723" t="inlineStr">
        <is>
          <t>Km</t>
        </is>
      </c>
      <c r="K176" s="725" t="n">
        <v>4762</v>
      </c>
      <c r="L176" s="740">
        <f>M176-K176</f>
        <v/>
      </c>
      <c r="M176" s="738" t="n">
        <v>5731</v>
      </c>
      <c r="N176" s="1773" t="n">
        <v>4762</v>
      </c>
      <c r="O176" s="1762">
        <f>N176*E176/1000</f>
        <v/>
      </c>
      <c r="P176" s="1763">
        <f>O176/32</f>
        <v/>
      </c>
      <c r="Q176" s="1764">
        <f>N176*I176/1000</f>
        <v/>
      </c>
    </row>
    <row r="177" ht="15.75" customHeight="1">
      <c r="A177" s="728" t="inlineStr">
        <is>
          <t>FO23030026</t>
        </is>
      </c>
      <c r="B177" s="729" t="n">
        <v>44995</v>
      </c>
      <c r="C177" s="730" t="inlineStr">
        <is>
          <t>มัลติแบกซ์</t>
        </is>
      </c>
      <c r="D177" s="730" t="inlineStr">
        <is>
          <t>ท่าเรือแหลมฉบัง</t>
        </is>
      </c>
      <c r="E177" s="731" t="n">
        <v>6</v>
      </c>
      <c r="F177" s="728" t="inlineStr">
        <is>
          <t>Km</t>
        </is>
      </c>
      <c r="G177" s="732" t="inlineStr">
        <is>
          <t>รถเทรลเลอร์</t>
        </is>
      </c>
      <c r="H177" s="728" t="inlineStr">
        <is>
          <t>JEBEL ALI, UAE</t>
        </is>
      </c>
      <c r="I177" s="733" t="n">
        <v>4972</v>
      </c>
      <c r="J177" s="732" t="inlineStr">
        <is>
          <t>Km</t>
        </is>
      </c>
      <c r="K177" s="734" t="n">
        <v>2265</v>
      </c>
      <c r="L177" s="741">
        <f>M177-K177</f>
        <v/>
      </c>
      <c r="M177" s="1771" t="n">
        <v>9497</v>
      </c>
      <c r="N177" s="1772" t="n">
        <v>5913</v>
      </c>
      <c r="O177" s="1762">
        <f>N177*E177/1000</f>
        <v/>
      </c>
      <c r="P177" s="1763">
        <f>O177/32</f>
        <v/>
      </c>
      <c r="Q177" s="1764">
        <f>N177*I177/1000</f>
        <v/>
      </c>
    </row>
    <row r="178" ht="15.75" customHeight="1">
      <c r="A178" s="719" t="inlineStr">
        <is>
          <t>FO23030027</t>
        </is>
      </c>
      <c r="B178" s="720" t="n">
        <v>44999</v>
      </c>
      <c r="C178" s="721" t="inlineStr">
        <is>
          <t>มัลติแบกซ์</t>
        </is>
      </c>
      <c r="D178" s="721" t="inlineStr">
        <is>
          <t>ท่าเรือแหลมฉบัง</t>
        </is>
      </c>
      <c r="E178" s="722" t="n">
        <v>7.1</v>
      </c>
      <c r="F178" s="719" t="inlineStr">
        <is>
          <t>Km</t>
        </is>
      </c>
      <c r="G178" s="723" t="inlineStr">
        <is>
          <t>รถเทรลเลอร์</t>
        </is>
      </c>
      <c r="H178" s="719" t="inlineStr">
        <is>
          <t>UNIVERSITY PARK IL, USA</t>
        </is>
      </c>
      <c r="I178" s="724" t="n">
        <v>13877</v>
      </c>
      <c r="J178" s="723" t="inlineStr">
        <is>
          <t>Km</t>
        </is>
      </c>
      <c r="K178" s="725" t="n">
        <v>3900</v>
      </c>
      <c r="L178" s="740">
        <f>M178-K178</f>
        <v/>
      </c>
      <c r="M178" s="1769" t="n">
        <v>14089.8</v>
      </c>
      <c r="N178" s="1773" t="n">
        <v>7660</v>
      </c>
      <c r="O178" s="1762">
        <f>N178*E178/1000</f>
        <v/>
      </c>
      <c r="P178" s="1763">
        <f>O178/32</f>
        <v/>
      </c>
      <c r="Q178" s="1764">
        <f>N178*I178/1000</f>
        <v/>
      </c>
    </row>
    <row r="179" ht="15.75" customHeight="1">
      <c r="A179" s="728" t="inlineStr">
        <is>
          <t>FO23030028</t>
        </is>
      </c>
      <c r="B179" s="729" t="n">
        <v>44999</v>
      </c>
      <c r="C179" s="730" t="inlineStr">
        <is>
          <t>มัลติแบกซ์</t>
        </is>
      </c>
      <c r="D179" s="730" t="inlineStr">
        <is>
          <t>ท่าเรือแหลมฉบัง</t>
        </is>
      </c>
      <c r="E179" s="731" t="n">
        <v>7.1</v>
      </c>
      <c r="F179" s="728" t="inlineStr">
        <is>
          <t>Km</t>
        </is>
      </c>
      <c r="G179" s="732" t="inlineStr">
        <is>
          <t>รถเทรลเลอร์</t>
        </is>
      </c>
      <c r="H179" s="728" t="inlineStr">
        <is>
          <t>UNIVERSITY PARK IL, USA</t>
        </is>
      </c>
      <c r="I179" s="733" t="n">
        <v>13877</v>
      </c>
      <c r="J179" s="732" t="inlineStr">
        <is>
          <t>Km</t>
        </is>
      </c>
      <c r="K179" s="734" t="n">
        <v>3840</v>
      </c>
      <c r="L179" s="741">
        <f>M179-K179</f>
        <v/>
      </c>
      <c r="M179" s="1771" t="n">
        <v>23439.5</v>
      </c>
      <c r="N179" s="1772" t="n">
        <v>15795</v>
      </c>
      <c r="O179" s="1762">
        <f>N179*E179/1000</f>
        <v/>
      </c>
      <c r="P179" s="1763">
        <f>O179/32</f>
        <v/>
      </c>
      <c r="Q179" s="1764">
        <f>N179*I179/1000</f>
        <v/>
      </c>
    </row>
    <row r="180" ht="15.75" customHeight="1">
      <c r="A180" s="719" t="inlineStr">
        <is>
          <t>FO23030029</t>
        </is>
      </c>
      <c r="B180" s="720" t="n">
        <v>45002</v>
      </c>
      <c r="C180" s="721" t="inlineStr">
        <is>
          <t>มัลติแบกซ์</t>
        </is>
      </c>
      <c r="D180" s="721" t="inlineStr">
        <is>
          <t>ท่าเรือแหลมฉบัง</t>
        </is>
      </c>
      <c r="E180" s="722" t="n">
        <v>7.1</v>
      </c>
      <c r="F180" s="719" t="inlineStr">
        <is>
          <t>Km</t>
        </is>
      </c>
      <c r="G180" s="723" t="inlineStr">
        <is>
          <t>รถเทรลเลอร์</t>
        </is>
      </c>
      <c r="H180" s="719" t="inlineStr">
        <is>
          <t>UNIVERSITY PARK IL, USA</t>
        </is>
      </c>
      <c r="I180" s="724" t="n">
        <v>13877</v>
      </c>
      <c r="J180" s="723" t="inlineStr">
        <is>
          <t>Km</t>
        </is>
      </c>
      <c r="K180" s="725" t="n">
        <v>3840</v>
      </c>
      <c r="L180" s="740">
        <f>M180-K180</f>
        <v/>
      </c>
      <c r="M180" s="1769" t="n">
        <v>14566</v>
      </c>
      <c r="N180" s="1773" t="n">
        <v>8196.200000000001</v>
      </c>
      <c r="O180" s="1762">
        <f>N180*E180/1000</f>
        <v/>
      </c>
      <c r="P180" s="1763">
        <f>O180/32</f>
        <v/>
      </c>
      <c r="Q180" s="1764">
        <f>N180*I180/1000</f>
        <v/>
      </c>
    </row>
    <row r="181" ht="15.75" customHeight="1">
      <c r="A181" s="728" t="inlineStr">
        <is>
          <t>FO23030030</t>
        </is>
      </c>
      <c r="B181" s="729" t="n">
        <v>45000</v>
      </c>
      <c r="C181" s="730" t="inlineStr">
        <is>
          <t>มัลติแบกซ์</t>
        </is>
      </c>
      <c r="D181" s="730" t="inlineStr">
        <is>
          <t>ท่าเรือแหลมฉบัง</t>
        </is>
      </c>
      <c r="E181" s="731" t="n">
        <v>7.1</v>
      </c>
      <c r="F181" s="728" t="inlineStr">
        <is>
          <t>Km</t>
        </is>
      </c>
      <c r="G181" s="732" t="inlineStr">
        <is>
          <t>รถเทรลเลอร์</t>
        </is>
      </c>
      <c r="H181" s="728" t="inlineStr">
        <is>
          <t>UNIVERSITY PARK IL, USA</t>
        </is>
      </c>
      <c r="I181" s="733" t="n">
        <v>13877</v>
      </c>
      <c r="J181" s="732" t="inlineStr">
        <is>
          <t>Km</t>
        </is>
      </c>
      <c r="K181" s="734" t="n">
        <v>3700</v>
      </c>
      <c r="L181" s="741">
        <f>M181-K181</f>
        <v/>
      </c>
      <c r="M181" s="1771" t="n">
        <v>15714</v>
      </c>
      <c r="N181" s="1772" t="n">
        <v>8988</v>
      </c>
      <c r="O181" s="1762">
        <f>N181*E181/1000</f>
        <v/>
      </c>
      <c r="P181" s="1763">
        <f>O181/32</f>
        <v/>
      </c>
      <c r="Q181" s="1764">
        <f>N181*I181/1000</f>
        <v/>
      </c>
    </row>
    <row r="182" ht="15.75" customHeight="1">
      <c r="A182" s="719" t="inlineStr">
        <is>
          <t>FO23030031</t>
        </is>
      </c>
      <c r="B182" s="720" t="n">
        <v>45000</v>
      </c>
      <c r="C182" s="721" t="inlineStr">
        <is>
          <t>มัลติแบกซ์</t>
        </is>
      </c>
      <c r="D182" s="721" t="inlineStr">
        <is>
          <t>ท่าเรือแหลมฉบัง</t>
        </is>
      </c>
      <c r="E182" s="722" t="n">
        <v>7.1</v>
      </c>
      <c r="F182" s="719" t="inlineStr">
        <is>
          <t>Km</t>
        </is>
      </c>
      <c r="G182" s="723" t="inlineStr">
        <is>
          <t>รถเทรลเลอร์</t>
        </is>
      </c>
      <c r="H182" s="719" t="inlineStr">
        <is>
          <t>UNIVERSITY PARK IL, USA</t>
        </is>
      </c>
      <c r="I182" s="724" t="n">
        <v>13877</v>
      </c>
      <c r="J182" s="723" t="inlineStr">
        <is>
          <t>Km</t>
        </is>
      </c>
      <c r="K182" s="725" t="n">
        <v>3700</v>
      </c>
      <c r="L182" s="740">
        <f>M182-K182</f>
        <v/>
      </c>
      <c r="M182" s="1769" t="n">
        <v>13889.8</v>
      </c>
      <c r="N182" s="1773" t="n">
        <v>7660</v>
      </c>
      <c r="O182" s="1762">
        <f>N182*E182/1000</f>
        <v/>
      </c>
      <c r="P182" s="1763">
        <f>O182/32</f>
        <v/>
      </c>
      <c r="Q182" s="1764">
        <f>N182*I182/1000</f>
        <v/>
      </c>
    </row>
    <row r="183" ht="15.75" customHeight="1">
      <c r="A183" s="728" t="inlineStr">
        <is>
          <t>FO23030032</t>
        </is>
      </c>
      <c r="B183" s="729" t="n">
        <v>45002</v>
      </c>
      <c r="C183" s="730" t="inlineStr">
        <is>
          <t>มัลติแบกซ์</t>
        </is>
      </c>
      <c r="D183" s="730" t="inlineStr">
        <is>
          <t>ท่าเรือแหลมฉบัง</t>
        </is>
      </c>
      <c r="E183" s="731" t="n">
        <v>7.1</v>
      </c>
      <c r="F183" s="728" t="inlineStr">
        <is>
          <t>Km</t>
        </is>
      </c>
      <c r="G183" s="732" t="inlineStr">
        <is>
          <t>รถเทรลเลอร์</t>
        </is>
      </c>
      <c r="H183" s="728" t="inlineStr">
        <is>
          <t>UNIVERSITY PARK IL, USA</t>
        </is>
      </c>
      <c r="I183" s="733" t="n">
        <v>13877</v>
      </c>
      <c r="J183" s="732" t="inlineStr">
        <is>
          <t>Km</t>
        </is>
      </c>
      <c r="K183" s="734" t="n">
        <v>3620</v>
      </c>
      <c r="L183" s="741">
        <f>M183-K183</f>
        <v/>
      </c>
      <c r="M183" s="1771" t="n">
        <v>13833.4</v>
      </c>
      <c r="N183" s="1772" t="n">
        <v>7356.6</v>
      </c>
      <c r="O183" s="1762">
        <f>N183*E183/1000</f>
        <v/>
      </c>
      <c r="P183" s="1763">
        <f>O183/32</f>
        <v/>
      </c>
      <c r="Q183" s="1764">
        <f>N183*I183/1000</f>
        <v/>
      </c>
    </row>
    <row r="184" ht="15.75" customHeight="1">
      <c r="A184" s="719" t="inlineStr">
        <is>
          <t>FO23030033</t>
        </is>
      </c>
      <c r="B184" s="720" t="n">
        <v>44998</v>
      </c>
      <c r="C184" s="721" t="inlineStr">
        <is>
          <t>มัลติแบกซ์</t>
        </is>
      </c>
      <c r="D184" s="721" t="inlineStr">
        <is>
          <t>ท่าเรือแหลมฉบัง</t>
        </is>
      </c>
      <c r="E184" s="722" t="n">
        <v>7.1</v>
      </c>
      <c r="F184" s="719" t="inlineStr">
        <is>
          <t>Km</t>
        </is>
      </c>
      <c r="G184" s="723" t="inlineStr">
        <is>
          <t>รถเทรลเลอร์</t>
        </is>
      </c>
      <c r="H184" s="719" t="inlineStr">
        <is>
          <t>MANILA, PHILIPPINES</t>
        </is>
      </c>
      <c r="I184" s="724" t="n">
        <v>2167</v>
      </c>
      <c r="J184" s="723" t="inlineStr">
        <is>
          <t>Km</t>
        </is>
      </c>
      <c r="K184" s="725" t="n">
        <v>2220</v>
      </c>
      <c r="L184" s="740">
        <f>M184-K184</f>
        <v/>
      </c>
      <c r="M184" s="1769" t="n">
        <v>6608.76</v>
      </c>
      <c r="N184" s="1773" t="n">
        <v>3284.72</v>
      </c>
      <c r="O184" s="1762">
        <f>N184*E184/1000</f>
        <v/>
      </c>
      <c r="P184" s="1763">
        <f>O184/32</f>
        <v/>
      </c>
      <c r="Q184" s="1764">
        <f>N184*I184/1000</f>
        <v/>
      </c>
    </row>
    <row r="185" ht="15.75" customHeight="1">
      <c r="A185" s="728" t="inlineStr">
        <is>
          <t>FO23030034</t>
        </is>
      </c>
      <c r="B185" s="729" t="n">
        <v>44998</v>
      </c>
      <c r="C185" s="730" t="inlineStr">
        <is>
          <t>มัลติแบกซ์</t>
        </is>
      </c>
      <c r="D185" s="730" t="inlineStr">
        <is>
          <t>ท่าเรือแหลมฉบัง</t>
        </is>
      </c>
      <c r="E185" s="731" t="n">
        <v>7.1</v>
      </c>
      <c r="F185" s="728" t="inlineStr">
        <is>
          <t>Km</t>
        </is>
      </c>
      <c r="G185" s="732" t="inlineStr">
        <is>
          <t>รถเทรลเลอร์</t>
        </is>
      </c>
      <c r="H185" s="728" t="inlineStr">
        <is>
          <t>MANILA, PHILIPPINES</t>
        </is>
      </c>
      <c r="I185" s="733" t="n">
        <v>2167</v>
      </c>
      <c r="J185" s="732" t="inlineStr">
        <is>
          <t>Km</t>
        </is>
      </c>
      <c r="K185" s="734" t="n">
        <v>2330</v>
      </c>
      <c r="L185" s="741">
        <f>M185-K185</f>
        <v/>
      </c>
      <c r="M185" s="1771" t="n">
        <v>6718.76</v>
      </c>
      <c r="N185" s="1772" t="n">
        <v>3284.72</v>
      </c>
      <c r="O185" s="1762">
        <f>N185*E185/1000</f>
        <v/>
      </c>
      <c r="P185" s="1763">
        <f>O185/32</f>
        <v/>
      </c>
      <c r="Q185" s="1764">
        <f>N185*I185/1000</f>
        <v/>
      </c>
    </row>
    <row r="186" ht="15.75" customHeight="1">
      <c r="A186" s="719" t="inlineStr">
        <is>
          <t>FO23030035</t>
        </is>
      </c>
      <c r="B186" s="720" t="n">
        <v>44999</v>
      </c>
      <c r="C186" s="721" t="inlineStr">
        <is>
          <t>มัลติแบกซ์</t>
        </is>
      </c>
      <c r="D186" s="721" t="inlineStr">
        <is>
          <t>ท่าเรือแหลมฉบัง</t>
        </is>
      </c>
      <c r="E186" s="722" t="n">
        <v>7.1</v>
      </c>
      <c r="F186" s="719" t="inlineStr">
        <is>
          <t>Km</t>
        </is>
      </c>
      <c r="G186" s="723" t="inlineStr">
        <is>
          <t>รถเทรลเลอร์</t>
        </is>
      </c>
      <c r="H186" s="719" t="inlineStr">
        <is>
          <t>CARROLLTON TX, USA</t>
        </is>
      </c>
      <c r="I186" s="724" t="n">
        <v>14544</v>
      </c>
      <c r="J186" s="723" t="inlineStr">
        <is>
          <t>Km</t>
        </is>
      </c>
      <c r="K186" s="725" t="n">
        <v>3830</v>
      </c>
      <c r="L186" s="740">
        <f>M186-K186</f>
        <v/>
      </c>
      <c r="M186" s="1769" t="n">
        <v>18669</v>
      </c>
      <c r="N186" s="1773" t="n">
        <v>12511.2</v>
      </c>
      <c r="O186" s="1762">
        <f>N186*E186/1000</f>
        <v/>
      </c>
      <c r="P186" s="1763">
        <f>O186/32</f>
        <v/>
      </c>
      <c r="Q186" s="1764">
        <f>N186*I186/1000</f>
        <v/>
      </c>
    </row>
    <row r="187" ht="15.75" customHeight="1">
      <c r="A187" s="728" t="inlineStr">
        <is>
          <t>FO23030036</t>
        </is>
      </c>
      <c r="B187" s="729" t="n">
        <v>45002</v>
      </c>
      <c r="C187" s="730" t="inlineStr">
        <is>
          <t>มัลติแบกซ์</t>
        </is>
      </c>
      <c r="D187" s="730" t="inlineStr">
        <is>
          <t>ท่าเรือแหลมฉบัง</t>
        </is>
      </c>
      <c r="E187" s="731" t="n">
        <v>7.1</v>
      </c>
      <c r="F187" s="728" t="inlineStr">
        <is>
          <t>Km</t>
        </is>
      </c>
      <c r="G187" s="732" t="inlineStr">
        <is>
          <t>รถเทรลเลอร์</t>
        </is>
      </c>
      <c r="H187" s="728" t="inlineStr">
        <is>
          <t>KLANG, MALAYSIA</t>
        </is>
      </c>
      <c r="I187" s="733" t="n">
        <v>1588</v>
      </c>
      <c r="J187" s="732" t="inlineStr">
        <is>
          <t>Km</t>
        </is>
      </c>
      <c r="K187" s="734" t="n">
        <v>2200</v>
      </c>
      <c r="L187" s="741">
        <f>M187-K187</f>
        <v/>
      </c>
      <c r="M187" s="1771" t="n">
        <v>6537.28</v>
      </c>
      <c r="N187" s="1772" t="n">
        <v>3222.92</v>
      </c>
      <c r="O187" s="1762">
        <f>N187*E187/1000</f>
        <v/>
      </c>
      <c r="P187" s="1763">
        <f>O187/32</f>
        <v/>
      </c>
      <c r="Q187" s="1764">
        <f>N187*I187/1000</f>
        <v/>
      </c>
    </row>
    <row r="188" ht="15.75" customFormat="1" customHeight="1" s="859">
      <c r="A188" s="847" t="inlineStr">
        <is>
          <t>FO23030037</t>
        </is>
      </c>
      <c r="B188" s="848" t="n">
        <v>45001</v>
      </c>
      <c r="C188" s="849" t="inlineStr">
        <is>
          <t>มัลติแบกซ์</t>
        </is>
      </c>
      <c r="D188" s="849" t="inlineStr">
        <is>
          <t>ท่าเรือแหลมฉบัง</t>
        </is>
      </c>
      <c r="E188" s="850" t="n">
        <v>7.1</v>
      </c>
      <c r="F188" s="847" t="inlineStr">
        <is>
          <t>Km</t>
        </is>
      </c>
      <c r="G188" s="851" t="inlineStr">
        <is>
          <t>รถเทรลเลอร์</t>
        </is>
      </c>
      <c r="H188" s="847" t="inlineStr">
        <is>
          <t>MANZANILLO, MEXICO</t>
        </is>
      </c>
      <c r="I188" s="852" t="n">
        <v>15486</v>
      </c>
      <c r="J188" s="851" t="inlineStr">
        <is>
          <t>Km</t>
        </is>
      </c>
      <c r="K188" s="853" t="n">
        <v>3780</v>
      </c>
      <c r="L188" s="854">
        <f>M188-K188</f>
        <v/>
      </c>
      <c r="M188" s="1776" t="n">
        <v>12658.36</v>
      </c>
      <c r="N188" s="1777" t="n">
        <v>6402.7</v>
      </c>
      <c r="O188" s="1778">
        <f>N188*E188/1000</f>
        <v/>
      </c>
      <c r="P188" s="1779">
        <f>O188/32</f>
        <v/>
      </c>
      <c r="Q188" s="1780">
        <f>N188*I188/1000</f>
        <v/>
      </c>
    </row>
    <row r="189" ht="15.75" customHeight="1">
      <c r="A189" s="728" t="inlineStr">
        <is>
          <t>FO23030038</t>
        </is>
      </c>
      <c r="B189" s="729" t="n">
        <v>45001</v>
      </c>
      <c r="C189" s="730" t="inlineStr">
        <is>
          <t>มัลติแบกซ์</t>
        </is>
      </c>
      <c r="D189" s="730" t="inlineStr">
        <is>
          <t>ท่าเรือแหลมฉบัง</t>
        </is>
      </c>
      <c r="E189" s="731" t="n">
        <v>6.2</v>
      </c>
      <c r="F189" s="728" t="inlineStr">
        <is>
          <t>Km</t>
        </is>
      </c>
      <c r="G189" s="732" t="inlineStr">
        <is>
          <t>รถเทรลเลอร์</t>
        </is>
      </c>
      <c r="H189" s="728" t="inlineStr">
        <is>
          <t>PERRIS CA, USA</t>
        </is>
      </c>
      <c r="I189" s="733" t="n">
        <v>13413</v>
      </c>
      <c r="J189" s="732" t="inlineStr">
        <is>
          <t>Km</t>
        </is>
      </c>
      <c r="K189" s="734" t="n">
        <v>3780</v>
      </c>
      <c r="L189" s="741">
        <f>M189-K189</f>
        <v/>
      </c>
      <c r="M189" s="1771" t="n">
        <v>22851.6</v>
      </c>
      <c r="N189" s="1772" t="n">
        <v>15602.4</v>
      </c>
      <c r="O189" s="1762">
        <f>N189*E189/1000</f>
        <v/>
      </c>
      <c r="P189" s="1763">
        <f>O189/32</f>
        <v/>
      </c>
      <c r="Q189" s="1764">
        <f>N189*I189/1000</f>
        <v/>
      </c>
    </row>
    <row r="190" ht="15.75" customHeight="1">
      <c r="A190" s="719" t="inlineStr">
        <is>
          <t>FO23030039</t>
        </is>
      </c>
      <c r="B190" s="720" t="n">
        <v>45002</v>
      </c>
      <c r="C190" s="721" t="inlineStr">
        <is>
          <t>มัลติแบกซ์</t>
        </is>
      </c>
      <c r="D190" s="721" t="inlineStr">
        <is>
          <t>ท่าเรือแหลมฉบัง</t>
        </is>
      </c>
      <c r="E190" s="722" t="n">
        <v>6.5</v>
      </c>
      <c r="F190" s="719" t="inlineStr">
        <is>
          <t>Km</t>
        </is>
      </c>
      <c r="G190" s="723" t="inlineStr">
        <is>
          <t>รถเทรลเลอร์</t>
        </is>
      </c>
      <c r="H190" s="719" t="inlineStr">
        <is>
          <t>LOUISVILLE KY, USA</t>
        </is>
      </c>
      <c r="I190" s="724" t="n">
        <v>14253</v>
      </c>
      <c r="J190" s="723" t="inlineStr">
        <is>
          <t>Km</t>
        </is>
      </c>
      <c r="K190" s="725" t="n">
        <v>3900</v>
      </c>
      <c r="L190" s="740">
        <f>M190-K190</f>
        <v/>
      </c>
      <c r="M190" s="1769" t="n">
        <v>15324.08</v>
      </c>
      <c r="N190" s="1773" t="n">
        <v>8558.639999999999</v>
      </c>
      <c r="O190" s="1762">
        <f>N190*E190/1000</f>
        <v/>
      </c>
      <c r="P190" s="1763">
        <f>O190/32</f>
        <v/>
      </c>
      <c r="Q190" s="1764">
        <f>N190*I190/1000</f>
        <v/>
      </c>
    </row>
    <row r="191" ht="15.75" customHeight="1">
      <c r="A191" s="728" t="inlineStr">
        <is>
          <t>FO23030040</t>
        </is>
      </c>
      <c r="B191" s="729" t="n">
        <v>45005</v>
      </c>
      <c r="C191" s="730" t="inlineStr">
        <is>
          <t>มัลติแบกซ์</t>
        </is>
      </c>
      <c r="D191" s="730" t="inlineStr">
        <is>
          <t>ท่าเรือแหลมฉบัง</t>
        </is>
      </c>
      <c r="E191" s="731" t="n">
        <v>6.5</v>
      </c>
      <c r="F191" s="728" t="inlineStr">
        <is>
          <t>Km</t>
        </is>
      </c>
      <c r="G191" s="732" t="inlineStr">
        <is>
          <t>รถเทรลเลอร์</t>
        </is>
      </c>
      <c r="H191" s="728" t="inlineStr">
        <is>
          <t>UK PORT</t>
        </is>
      </c>
      <c r="I191" s="733" t="n">
        <v>9687</v>
      </c>
      <c r="J191" s="732" t="inlineStr">
        <is>
          <t>Km</t>
        </is>
      </c>
      <c r="K191" s="734" t="n">
        <v>3670</v>
      </c>
      <c r="L191" s="741">
        <f>M191-K191</f>
        <v/>
      </c>
      <c r="M191" s="1771" t="n">
        <v>23135.5</v>
      </c>
      <c r="N191" s="1772" t="n">
        <v>18402.3</v>
      </c>
      <c r="O191" s="1762">
        <f>N191*E191/1000</f>
        <v/>
      </c>
      <c r="P191" s="1763">
        <f>O191/32</f>
        <v/>
      </c>
      <c r="Q191" s="1764">
        <f>N191*I191/1000</f>
        <v/>
      </c>
    </row>
    <row r="192" ht="15.75" customHeight="1">
      <c r="A192" s="719" t="inlineStr">
        <is>
          <t>FO23030041</t>
        </is>
      </c>
      <c r="B192" s="720" t="n">
        <v>45005</v>
      </c>
      <c r="C192" s="721" t="inlineStr">
        <is>
          <t>มัลติแบกซ์</t>
        </is>
      </c>
      <c r="D192" s="721" t="inlineStr">
        <is>
          <t>ท่าเรือแหลมฉบัง</t>
        </is>
      </c>
      <c r="E192" s="722" t="n">
        <v>11.7</v>
      </c>
      <c r="F192" s="719" t="inlineStr">
        <is>
          <t>Km</t>
        </is>
      </c>
      <c r="G192" s="723" t="inlineStr">
        <is>
          <t>รถเทรลเลอร์</t>
        </is>
      </c>
      <c r="H192" s="719" t="inlineStr">
        <is>
          <t>TOMAKOMAI, JAPAN</t>
        </is>
      </c>
      <c r="I192" s="724" t="n">
        <v>5092</v>
      </c>
      <c r="J192" s="723" t="inlineStr">
        <is>
          <t>Km</t>
        </is>
      </c>
      <c r="K192" s="725" t="n">
        <v>2200</v>
      </c>
      <c r="L192" s="740">
        <f>M192-K192</f>
        <v/>
      </c>
      <c r="M192" s="1769" t="n">
        <v>7825.4</v>
      </c>
      <c r="N192" s="1773" t="n">
        <v>4613.9</v>
      </c>
      <c r="O192" s="1762">
        <f>N192*E192/1000</f>
        <v/>
      </c>
      <c r="P192" s="1763">
        <f>O192/32</f>
        <v/>
      </c>
      <c r="Q192" s="1764">
        <f>N192*I192/1000</f>
        <v/>
      </c>
    </row>
    <row r="193" ht="15.75" customHeight="1">
      <c r="A193" s="728" t="inlineStr">
        <is>
          <t>FO23030042</t>
        </is>
      </c>
      <c r="B193" s="729" t="n">
        <v>45006</v>
      </c>
      <c r="C193" s="730" t="inlineStr">
        <is>
          <t>มัลติแบกซ์</t>
        </is>
      </c>
      <c r="D193" s="730" t="inlineStr">
        <is>
          <t>ท่าเรือแหลมฉบัง</t>
        </is>
      </c>
      <c r="E193" s="731" t="n">
        <v>6.5</v>
      </c>
      <c r="F193" s="728" t="inlineStr">
        <is>
          <t>Km</t>
        </is>
      </c>
      <c r="G193" s="732" t="inlineStr">
        <is>
          <t>รถเทรลเลอร์</t>
        </is>
      </c>
      <c r="H193" s="728" t="inlineStr">
        <is>
          <t>JACKSONVILLE IL, USA</t>
        </is>
      </c>
      <c r="I193" s="733" t="n">
        <v>15168</v>
      </c>
      <c r="J193" s="732" t="inlineStr">
        <is>
          <t>Km</t>
        </is>
      </c>
      <c r="K193" s="734" t="n">
        <v>3810</v>
      </c>
      <c r="L193" s="741">
        <f>M193-K193</f>
        <v/>
      </c>
      <c r="M193" s="1771" t="n">
        <v>2175.4</v>
      </c>
      <c r="N193" s="1772" t="n">
        <v>15019.2</v>
      </c>
      <c r="O193" s="1762">
        <f>N193*E193/1000</f>
        <v/>
      </c>
      <c r="P193" s="1763">
        <f>O193/32</f>
        <v/>
      </c>
      <c r="Q193" s="1764">
        <f>N193*I193/1000</f>
        <v/>
      </c>
    </row>
    <row r="194" ht="15.75" customHeight="1">
      <c r="A194" s="719" t="inlineStr">
        <is>
          <t>FO23030043</t>
        </is>
      </c>
      <c r="B194" s="720" t="n">
        <v>45006</v>
      </c>
      <c r="C194" s="721" t="inlineStr">
        <is>
          <t>มัลติแบกซ์</t>
        </is>
      </c>
      <c r="D194" s="721" t="inlineStr">
        <is>
          <t>ท่าเรือแหลมฉบัง</t>
        </is>
      </c>
      <c r="E194" s="722" t="n">
        <v>6.2</v>
      </c>
      <c r="F194" s="719" t="inlineStr">
        <is>
          <t>Km</t>
        </is>
      </c>
      <c r="G194" s="723" t="inlineStr">
        <is>
          <t>รถเทรลเลอร์</t>
        </is>
      </c>
      <c r="H194" s="719" t="inlineStr">
        <is>
          <t>JACKSONVILLE IL, USA</t>
        </is>
      </c>
      <c r="I194" s="724" t="n">
        <v>15168</v>
      </c>
      <c r="J194" s="723" t="inlineStr">
        <is>
          <t>Km</t>
        </is>
      </c>
      <c r="K194" s="725" t="n">
        <v>3860</v>
      </c>
      <c r="L194" s="740">
        <f>M194-K194</f>
        <v/>
      </c>
      <c r="M194" s="1769" t="n">
        <v>22769.4</v>
      </c>
      <c r="N194" s="1773" t="n">
        <v>15019.2</v>
      </c>
      <c r="O194" s="1762">
        <f>N194*E194/1000</f>
        <v/>
      </c>
      <c r="P194" s="1763">
        <f>O194/32</f>
        <v/>
      </c>
      <c r="Q194" s="1764">
        <f>N194*I194/1000</f>
        <v/>
      </c>
    </row>
    <row r="195" ht="15.75" customHeight="1">
      <c r="A195" s="728" t="inlineStr">
        <is>
          <t>FO23030044</t>
        </is>
      </c>
      <c r="B195" s="729" t="n">
        <v>45007</v>
      </c>
      <c r="C195" s="730" t="inlineStr">
        <is>
          <t>มัลติแบกซ์</t>
        </is>
      </c>
      <c r="D195" s="730" t="inlineStr">
        <is>
          <t>ท่าเรือแหลมฉบัง</t>
        </is>
      </c>
      <c r="E195" s="731" t="n">
        <v>6.2</v>
      </c>
      <c r="F195" s="728" t="inlineStr">
        <is>
          <t>Km</t>
        </is>
      </c>
      <c r="G195" s="732" t="inlineStr">
        <is>
          <t>รถเทรลเลอร์</t>
        </is>
      </c>
      <c r="H195" s="728" t="inlineStr">
        <is>
          <t>SYDNEY, AUSTRALIA</t>
        </is>
      </c>
      <c r="I195" s="733" t="n">
        <v>7448</v>
      </c>
      <c r="J195" s="732" t="inlineStr">
        <is>
          <t>Km</t>
        </is>
      </c>
      <c r="K195" s="734" t="n">
        <v>3850</v>
      </c>
      <c r="L195" s="741">
        <f>M195-K195</f>
        <v/>
      </c>
      <c r="M195" s="739" t="n">
        <v>27422</v>
      </c>
      <c r="N195" s="1772" t="n">
        <v>19211</v>
      </c>
      <c r="O195" s="1762">
        <f>N195*E195/1000</f>
        <v/>
      </c>
      <c r="P195" s="1763">
        <f>O195/32</f>
        <v/>
      </c>
      <c r="Q195" s="1764">
        <f>N195*I195/1000</f>
        <v/>
      </c>
    </row>
    <row r="196" ht="15.75" customHeight="1">
      <c r="A196" s="719" t="inlineStr">
        <is>
          <t>FO23030045</t>
        </is>
      </c>
      <c r="B196" s="720" t="n">
        <v>45007</v>
      </c>
      <c r="C196" s="721" t="inlineStr">
        <is>
          <t>มัลติแบกซ์</t>
        </is>
      </c>
      <c r="D196" s="721" t="inlineStr">
        <is>
          <t>ท่าเรือแหลมฉบัง</t>
        </is>
      </c>
      <c r="E196" s="722" t="n">
        <v>6.2</v>
      </c>
      <c r="F196" s="719" t="inlineStr">
        <is>
          <t>Km</t>
        </is>
      </c>
      <c r="G196" s="723" t="inlineStr">
        <is>
          <t>รถเทรลเลอร์</t>
        </is>
      </c>
      <c r="H196" s="719" t="inlineStr">
        <is>
          <t>SYDNEY, AUSTRALIA</t>
        </is>
      </c>
      <c r="I196" s="724" t="n">
        <v>7448</v>
      </c>
      <c r="J196" s="723" t="inlineStr">
        <is>
          <t>Km</t>
        </is>
      </c>
      <c r="K196" s="725" t="n">
        <v>3900</v>
      </c>
      <c r="L196" s="740">
        <f>M196-K196</f>
        <v/>
      </c>
      <c r="M196" s="738" t="n">
        <v>28167</v>
      </c>
      <c r="N196" s="1773" t="n">
        <v>20305</v>
      </c>
      <c r="O196" s="1762">
        <f>N196*E196/1000</f>
        <v/>
      </c>
      <c r="P196" s="1763">
        <f>O196/32</f>
        <v/>
      </c>
      <c r="Q196" s="1764">
        <f>N196*I196/1000</f>
        <v/>
      </c>
    </row>
    <row r="197" ht="15.75" customHeight="1">
      <c r="A197" s="728" t="inlineStr">
        <is>
          <t>FO23030046</t>
        </is>
      </c>
      <c r="B197" s="729" t="n">
        <v>45007</v>
      </c>
      <c r="C197" s="730" t="inlineStr">
        <is>
          <t>มัลติแบกซ์</t>
        </is>
      </c>
      <c r="D197" s="730" t="inlineStr">
        <is>
          <t>ท่าเรือแหลมฉบัง</t>
        </is>
      </c>
      <c r="E197" s="731" t="n">
        <v>6.2</v>
      </c>
      <c r="F197" s="728" t="inlineStr">
        <is>
          <t>Km</t>
        </is>
      </c>
      <c r="G197" s="732" t="inlineStr">
        <is>
          <t>รถเทรลเลอร์</t>
        </is>
      </c>
      <c r="H197" s="728" t="inlineStr">
        <is>
          <t>SYDNEY, AUSTRALIA</t>
        </is>
      </c>
      <c r="I197" s="733" t="n">
        <v>7448</v>
      </c>
      <c r="J197" s="732" t="inlineStr">
        <is>
          <t>Km</t>
        </is>
      </c>
      <c r="K197" s="734" t="n">
        <v>3840</v>
      </c>
      <c r="L197" s="741">
        <f>M197-K197</f>
        <v/>
      </c>
      <c r="M197" s="739" t="n">
        <v>27992</v>
      </c>
      <c r="N197" s="1772" t="n">
        <v>22287</v>
      </c>
      <c r="O197" s="1762">
        <f>N197*E197/1000</f>
        <v/>
      </c>
      <c r="P197" s="1763">
        <f>O197/32</f>
        <v/>
      </c>
      <c r="Q197" s="1764">
        <f>N197*I197/1000</f>
        <v/>
      </c>
    </row>
    <row r="198" ht="15.75" customHeight="1">
      <c r="A198" s="719" t="inlineStr">
        <is>
          <t>FO23030047</t>
        </is>
      </c>
      <c r="B198" s="720" t="n">
        <v>45006</v>
      </c>
      <c r="C198" s="721" t="inlineStr">
        <is>
          <t>มัลติแบกซ์</t>
        </is>
      </c>
      <c r="D198" s="721" t="inlineStr">
        <is>
          <t>ท่าเรือแหลมฉบัง</t>
        </is>
      </c>
      <c r="E198" s="722" t="n">
        <v>6.2</v>
      </c>
      <c r="F198" s="719" t="inlineStr">
        <is>
          <t>Km</t>
        </is>
      </c>
      <c r="G198" s="723" t="inlineStr">
        <is>
          <t>รถเทรลเลอร์</t>
        </is>
      </c>
      <c r="H198" s="719" t="inlineStr">
        <is>
          <t>MELBOURNE, AUSTRALIA</t>
        </is>
      </c>
      <c r="I198" s="724" t="n">
        <v>7283</v>
      </c>
      <c r="J198" s="723" t="inlineStr">
        <is>
          <t>Km</t>
        </is>
      </c>
      <c r="K198" s="725" t="n">
        <v>3880</v>
      </c>
      <c r="L198" s="740">
        <f>M198-K198</f>
        <v/>
      </c>
      <c r="M198" s="738" t="n">
        <v>27817</v>
      </c>
      <c r="N198" s="1773" t="n">
        <v>20590</v>
      </c>
      <c r="O198" s="1762">
        <f>N198*E198/1000</f>
        <v/>
      </c>
      <c r="P198" s="1763">
        <f>O198/32</f>
        <v/>
      </c>
      <c r="Q198" s="1764">
        <f>N198*I198/1000</f>
        <v/>
      </c>
    </row>
    <row r="199" ht="15.75" customHeight="1">
      <c r="A199" s="728" t="inlineStr">
        <is>
          <t>FO23030048</t>
        </is>
      </c>
      <c r="B199" s="729" t="n">
        <v>45006</v>
      </c>
      <c r="C199" s="730" t="inlineStr">
        <is>
          <t>มัลติแบกซ์</t>
        </is>
      </c>
      <c r="D199" s="730" t="inlineStr">
        <is>
          <t>ท่าเรือแหลมฉบัง</t>
        </is>
      </c>
      <c r="E199" s="731" t="n">
        <v>7.1</v>
      </c>
      <c r="F199" s="728" t="inlineStr">
        <is>
          <t>Km</t>
        </is>
      </c>
      <c r="G199" s="732" t="inlineStr">
        <is>
          <t>รถเทรลเลอร์</t>
        </is>
      </c>
      <c r="H199" s="728" t="inlineStr">
        <is>
          <t>MELBOURNE, AUSTRALIA</t>
        </is>
      </c>
      <c r="I199" s="733" t="n">
        <v>7283</v>
      </c>
      <c r="J199" s="732" t="inlineStr">
        <is>
          <t>Km</t>
        </is>
      </c>
      <c r="K199" s="734" t="n">
        <v>3870</v>
      </c>
      <c r="L199" s="741">
        <f>M199-K199</f>
        <v/>
      </c>
      <c r="M199" s="739" t="n">
        <v>27947</v>
      </c>
      <c r="N199" s="1772" t="n">
        <v>19299</v>
      </c>
      <c r="O199" s="1762">
        <f>N199*E199/1000</f>
        <v/>
      </c>
      <c r="P199" s="1763">
        <f>O199/32</f>
        <v/>
      </c>
      <c r="Q199" s="1764">
        <f>N199*I199/1000</f>
        <v/>
      </c>
    </row>
    <row r="200" ht="15.75" customHeight="1">
      <c r="A200" s="719" t="inlineStr">
        <is>
          <t>FO23030049</t>
        </is>
      </c>
      <c r="B200" s="720" t="n">
        <v>45008</v>
      </c>
      <c r="C200" s="721" t="inlineStr">
        <is>
          <t>มัลติแบกซ์</t>
        </is>
      </c>
      <c r="D200" s="721" t="inlineStr">
        <is>
          <t>ท่าเรือแหลมฉบัง</t>
        </is>
      </c>
      <c r="E200" s="722" t="n">
        <v>11.9</v>
      </c>
      <c r="F200" s="719" t="inlineStr">
        <is>
          <t>Km</t>
        </is>
      </c>
      <c r="G200" s="723" t="inlineStr">
        <is>
          <t>รถเทรลเลอร์</t>
        </is>
      </c>
      <c r="H200" s="719" t="inlineStr">
        <is>
          <t>DURBAN, SOUTH AFRICA</t>
        </is>
      </c>
      <c r="I200" s="724" t="n">
        <v>8865</v>
      </c>
      <c r="J200" s="723" t="inlineStr">
        <is>
          <t>Km</t>
        </is>
      </c>
      <c r="K200" s="725" t="n">
        <v>3740</v>
      </c>
      <c r="L200" s="740">
        <f>M200-K200</f>
        <v/>
      </c>
      <c r="M200" s="738" t="n">
        <v>26002</v>
      </c>
      <c r="N200" s="1773" t="n">
        <v>20147</v>
      </c>
      <c r="O200" s="1762">
        <f>N200*E200/1000</f>
        <v/>
      </c>
      <c r="P200" s="1763">
        <f>O200/32</f>
        <v/>
      </c>
      <c r="Q200" s="1764">
        <f>N200*I200/1000</f>
        <v/>
      </c>
    </row>
    <row r="201" ht="15.75" customHeight="1">
      <c r="A201" s="728" t="inlineStr">
        <is>
          <t>FO23030050</t>
        </is>
      </c>
      <c r="B201" s="729" t="n">
        <v>45005</v>
      </c>
      <c r="C201" s="730" t="inlineStr">
        <is>
          <t>มัลติแบกซ์</t>
        </is>
      </c>
      <c r="D201" s="730" t="inlineStr">
        <is>
          <t>ท่าเรือแหลมฉบัง</t>
        </is>
      </c>
      <c r="E201" s="731" t="n">
        <v>11.9</v>
      </c>
      <c r="F201" s="728" t="inlineStr">
        <is>
          <t>Km</t>
        </is>
      </c>
      <c r="G201" s="732" t="inlineStr">
        <is>
          <t>รถเทรลเลอร์</t>
        </is>
      </c>
      <c r="H201" s="728" t="inlineStr">
        <is>
          <t>NAGOYA, JAPAN</t>
        </is>
      </c>
      <c r="I201" s="733" t="n">
        <v>4358</v>
      </c>
      <c r="J201" s="732" t="inlineStr">
        <is>
          <t>Km</t>
        </is>
      </c>
      <c r="K201" s="734" t="n">
        <v>3830</v>
      </c>
      <c r="L201" s="741">
        <f>M201-K201</f>
        <v/>
      </c>
      <c r="M201" s="1771" t="n">
        <v>15981.5</v>
      </c>
      <c r="N201" s="1772" t="n">
        <v>10469.25</v>
      </c>
      <c r="O201" s="1762">
        <f>N201*E201/1000</f>
        <v/>
      </c>
      <c r="P201" s="1763">
        <f>O201/32</f>
        <v/>
      </c>
      <c r="Q201" s="1764">
        <f>N201*I201/1000</f>
        <v/>
      </c>
    </row>
    <row r="202" ht="15.75" customHeight="1">
      <c r="A202" s="719" t="inlineStr">
        <is>
          <t>FO23030051</t>
        </is>
      </c>
      <c r="B202" s="720" t="n">
        <v>45006</v>
      </c>
      <c r="C202" s="721" t="inlineStr">
        <is>
          <t>มัลติแบกซ์</t>
        </is>
      </c>
      <c r="D202" s="721" t="inlineStr">
        <is>
          <t>ท่าเรือแหลมฉบัง</t>
        </is>
      </c>
      <c r="E202" s="722" t="n">
        <v>6.2</v>
      </c>
      <c r="F202" s="719" t="inlineStr">
        <is>
          <t>Km</t>
        </is>
      </c>
      <c r="G202" s="723" t="inlineStr">
        <is>
          <t>รถเทรลเลอร์</t>
        </is>
      </c>
      <c r="H202" s="719" t="inlineStr">
        <is>
          <t>SINGAPORE</t>
        </is>
      </c>
      <c r="I202" s="724" t="n">
        <v>1931</v>
      </c>
      <c r="J202" s="723" t="inlineStr">
        <is>
          <t>Km</t>
        </is>
      </c>
      <c r="K202" s="725" t="n">
        <v>5015.5</v>
      </c>
      <c r="L202" s="740">
        <f>M202-K202</f>
        <v/>
      </c>
      <c r="M202" s="738" t="n">
        <v>5961.5</v>
      </c>
      <c r="N202" s="1773" t="n">
        <v>5015.5</v>
      </c>
      <c r="O202" s="1762">
        <f>N202*E202/1000</f>
        <v/>
      </c>
      <c r="P202" s="1763">
        <f>O202/32</f>
        <v/>
      </c>
      <c r="Q202" s="1764">
        <f>N202*I202/1000</f>
        <v/>
      </c>
    </row>
    <row r="203" ht="15.75" customHeight="1">
      <c r="A203" s="728" t="inlineStr">
        <is>
          <t>FO23030052</t>
        </is>
      </c>
      <c r="B203" s="729" t="n">
        <v>45009</v>
      </c>
      <c r="C203" s="730" t="inlineStr">
        <is>
          <t>มัลติแบกซ์</t>
        </is>
      </c>
      <c r="D203" s="730" t="inlineStr">
        <is>
          <t>ท่าเรือแหลมฉบัง</t>
        </is>
      </c>
      <c r="E203" s="731" t="n">
        <v>11.9</v>
      </c>
      <c r="F203" s="728" t="inlineStr">
        <is>
          <t>Km</t>
        </is>
      </c>
      <c r="G203" s="732" t="inlineStr">
        <is>
          <t>รถเทรลเลอร์</t>
        </is>
      </c>
      <c r="H203" s="728" t="inlineStr">
        <is>
          <t>MANILA, PHILIPPINES</t>
        </is>
      </c>
      <c r="I203" s="733" t="n">
        <v>2167</v>
      </c>
      <c r="J203" s="732" t="inlineStr">
        <is>
          <t>Km</t>
        </is>
      </c>
      <c r="K203" s="734" t="n">
        <v>2200</v>
      </c>
      <c r="L203" s="741">
        <f>M203-K203</f>
        <v/>
      </c>
      <c r="M203" s="739" t="n">
        <v>6499.28</v>
      </c>
      <c r="N203" s="1772" t="n">
        <v>3049.28</v>
      </c>
      <c r="O203" s="1762">
        <f>N203*E203/1000</f>
        <v/>
      </c>
      <c r="P203" s="1763">
        <f>O203/32</f>
        <v/>
      </c>
      <c r="Q203" s="1764">
        <f>N203*I203/1000</f>
        <v/>
      </c>
    </row>
    <row r="204" ht="15.75" customHeight="1">
      <c r="A204" s="719" t="inlineStr">
        <is>
          <t>FO23030053</t>
        </is>
      </c>
      <c r="B204" s="720" t="n">
        <v>45008</v>
      </c>
      <c r="C204" s="721" t="inlineStr">
        <is>
          <t>มัลติแบกซ์</t>
        </is>
      </c>
      <c r="D204" s="721" t="inlineStr">
        <is>
          <t>ท่าเรือแหลมฉบัง</t>
        </is>
      </c>
      <c r="E204" s="722" t="n">
        <v>6.2</v>
      </c>
      <c r="F204" s="719" t="inlineStr">
        <is>
          <t>Km</t>
        </is>
      </c>
      <c r="G204" s="723" t="inlineStr">
        <is>
          <t>รถเทรลเลอร์</t>
        </is>
      </c>
      <c r="H204" s="719" t="inlineStr">
        <is>
          <t>JEBEL ALI, UAE</t>
        </is>
      </c>
      <c r="I204" s="724" t="n">
        <v>4972</v>
      </c>
      <c r="J204" s="723" t="inlineStr">
        <is>
          <t>Km</t>
        </is>
      </c>
      <c r="K204" s="725" t="n">
        <v>3660</v>
      </c>
      <c r="L204" s="740">
        <f>M204-K204</f>
        <v/>
      </c>
      <c r="M204" s="738" t="n">
        <v>12746.8</v>
      </c>
      <c r="N204" s="1773" t="n">
        <v>6778</v>
      </c>
      <c r="O204" s="1762">
        <f>N204*E204/1000</f>
        <v/>
      </c>
      <c r="P204" s="1763">
        <f>O204/32</f>
        <v/>
      </c>
      <c r="Q204" s="1764">
        <f>N204*I204/1000</f>
        <v/>
      </c>
    </row>
    <row r="205" ht="15.75" customHeight="1">
      <c r="A205" s="728" t="inlineStr">
        <is>
          <t>FO23030054</t>
        </is>
      </c>
      <c r="B205" s="729" t="n">
        <v>45006</v>
      </c>
      <c r="C205" s="730" t="inlineStr">
        <is>
          <t>มัลติแบกซ์</t>
        </is>
      </c>
      <c r="D205" s="730" t="inlineStr">
        <is>
          <t>ท่าเรือแหลมฉบัง</t>
        </is>
      </c>
      <c r="E205" s="731" t="n">
        <v>7.1</v>
      </c>
      <c r="F205" s="728" t="inlineStr">
        <is>
          <t>Km</t>
        </is>
      </c>
      <c r="G205" s="732" t="inlineStr">
        <is>
          <t>รถเทรลเลอร์</t>
        </is>
      </c>
      <c r="H205" s="728" t="inlineStr">
        <is>
          <t>NINGBO, CHINA</t>
        </is>
      </c>
      <c r="I205" s="733" t="n">
        <v>3824</v>
      </c>
      <c r="J205" s="732" t="inlineStr">
        <is>
          <t>Km</t>
        </is>
      </c>
      <c r="K205" s="734" t="n">
        <v>3810</v>
      </c>
      <c r="L205" s="741">
        <f>M205-K205</f>
        <v/>
      </c>
      <c r="M205" s="739" t="n">
        <v>14517.14</v>
      </c>
      <c r="N205" s="1772" t="n">
        <v>7974</v>
      </c>
      <c r="O205" s="1762">
        <f>N205*E205/1000</f>
        <v/>
      </c>
      <c r="P205" s="1763">
        <f>O205/32</f>
        <v/>
      </c>
      <c r="Q205" s="1764">
        <f>N205*I205/1000</f>
        <v/>
      </c>
    </row>
    <row r="206" ht="15.75" customHeight="1">
      <c r="A206" s="719" t="inlineStr">
        <is>
          <t>FO23030055</t>
        </is>
      </c>
      <c r="B206" s="720" t="n">
        <v>45007</v>
      </c>
      <c r="C206" s="721" t="inlineStr">
        <is>
          <t>มัลติแบกซ์</t>
        </is>
      </c>
      <c r="D206" s="721" t="inlineStr">
        <is>
          <t>ท่าเรือแหลมฉบัง</t>
        </is>
      </c>
      <c r="E206" s="722" t="n">
        <v>7.1</v>
      </c>
      <c r="F206" s="719" t="inlineStr">
        <is>
          <t>Km</t>
        </is>
      </c>
      <c r="G206" s="723" t="inlineStr">
        <is>
          <t>รถเทรลเลอร์</t>
        </is>
      </c>
      <c r="H206" s="719" t="inlineStr">
        <is>
          <t>NINGBO, CHINA</t>
        </is>
      </c>
      <c r="I206" s="724" t="n">
        <v>3824</v>
      </c>
      <c r="J206" s="723" t="inlineStr">
        <is>
          <t>Km</t>
        </is>
      </c>
      <c r="K206" s="725" t="n">
        <v>3840</v>
      </c>
      <c r="L206" s="740">
        <f>M206-K206</f>
        <v/>
      </c>
      <c r="M206" s="738" t="n">
        <v>14619.65</v>
      </c>
      <c r="N206" s="1773" t="n">
        <v>7960.53</v>
      </c>
      <c r="O206" s="1762">
        <f>N206*E206/1000</f>
        <v/>
      </c>
      <c r="P206" s="1763">
        <f>O206/32</f>
        <v/>
      </c>
      <c r="Q206" s="1764">
        <f>N206*I206/1000</f>
        <v/>
      </c>
    </row>
    <row r="207" ht="15.75" customHeight="1">
      <c r="A207" s="728" t="inlineStr">
        <is>
          <t>FO23030056</t>
        </is>
      </c>
      <c r="B207" s="729" t="n">
        <v>45007</v>
      </c>
      <c r="C207" s="730" t="inlineStr">
        <is>
          <t>มัลติแบกซ์</t>
        </is>
      </c>
      <c r="D207" s="730" t="inlineStr">
        <is>
          <t>ท่าเรือแหลมฉบัง</t>
        </is>
      </c>
      <c r="E207" s="731" t="n">
        <v>3.6</v>
      </c>
      <c r="F207" s="728" t="inlineStr">
        <is>
          <t>Km</t>
        </is>
      </c>
      <c r="G207" s="732" t="inlineStr">
        <is>
          <t>รถเทรลเลอร์</t>
        </is>
      </c>
      <c r="H207" s="728" t="inlineStr">
        <is>
          <t>SENDAI, JAPAN</t>
        </is>
      </c>
      <c r="I207" s="733" t="n">
        <v>4823</v>
      </c>
      <c r="J207" s="732" t="inlineStr">
        <is>
          <t>Km</t>
        </is>
      </c>
      <c r="K207" s="734" t="n">
        <v>2185</v>
      </c>
      <c r="L207" s="741">
        <f>M207-K207</f>
        <v/>
      </c>
      <c r="M207" s="739" t="n">
        <v>7689.9</v>
      </c>
      <c r="N207" s="1772" t="n">
        <v>4485.55</v>
      </c>
      <c r="O207" s="1762">
        <f>N207*E207/1000</f>
        <v/>
      </c>
      <c r="P207" s="1763">
        <f>O207/32</f>
        <v/>
      </c>
      <c r="Q207" s="1764">
        <f>N207*I207/1000</f>
        <v/>
      </c>
    </row>
    <row r="208" ht="15.75" customHeight="1">
      <c r="A208" s="719" t="inlineStr">
        <is>
          <t>FO23030057</t>
        </is>
      </c>
      <c r="B208" s="720" t="n">
        <v>45006</v>
      </c>
      <c r="C208" s="721" t="inlineStr">
        <is>
          <t>มัลติแบกซ์</t>
        </is>
      </c>
      <c r="D208" s="721" t="inlineStr">
        <is>
          <t>ท่าเรือแหลมฉบัง</t>
        </is>
      </c>
      <c r="E208" s="722" t="n">
        <v>7.1</v>
      </c>
      <c r="F208" s="719" t="inlineStr">
        <is>
          <t>Km</t>
        </is>
      </c>
      <c r="G208" s="723" t="inlineStr">
        <is>
          <t>รถเทรลเลอร์</t>
        </is>
      </c>
      <c r="H208" s="719" t="inlineStr">
        <is>
          <t>CARROLLTON TX, USA</t>
        </is>
      </c>
      <c r="I208" s="724" t="n">
        <v>14544</v>
      </c>
      <c r="J208" s="723" t="inlineStr">
        <is>
          <t>Km</t>
        </is>
      </c>
      <c r="K208" s="725" t="n">
        <v>3700</v>
      </c>
      <c r="L208" s="740">
        <f>M208-K208</f>
        <v/>
      </c>
      <c r="M208" s="738" t="n">
        <v>18539</v>
      </c>
      <c r="N208" s="1773" t="n">
        <v>12511.2</v>
      </c>
      <c r="O208" s="1762">
        <f>N208*E208/1000</f>
        <v/>
      </c>
      <c r="P208" s="1763">
        <f>O208/32</f>
        <v/>
      </c>
      <c r="Q208" s="1764">
        <f>N208*I208/1000</f>
        <v/>
      </c>
    </row>
    <row r="209" ht="15.75" customHeight="1">
      <c r="A209" s="728" t="inlineStr">
        <is>
          <t>FO23030058</t>
        </is>
      </c>
      <c r="B209" s="729" t="n">
        <v>45006</v>
      </c>
      <c r="C209" s="730" t="inlineStr">
        <is>
          <t>มัลติแบกซ์</t>
        </is>
      </c>
      <c r="D209" s="730" t="inlineStr">
        <is>
          <t>ท่าเรือแหลมฉบัง</t>
        </is>
      </c>
      <c r="E209" s="731" t="n">
        <v>7.1</v>
      </c>
      <c r="F209" s="728" t="inlineStr">
        <is>
          <t>Km</t>
        </is>
      </c>
      <c r="G209" s="732" t="inlineStr">
        <is>
          <t>รถเทรลเลอร์</t>
        </is>
      </c>
      <c r="H209" s="728" t="inlineStr">
        <is>
          <t>CARROLLTON TX, USA</t>
        </is>
      </c>
      <c r="I209" s="733" t="n">
        <v>14544</v>
      </c>
      <c r="J209" s="732" t="inlineStr">
        <is>
          <t>Km</t>
        </is>
      </c>
      <c r="K209" s="734" t="n">
        <v>3700</v>
      </c>
      <c r="L209" s="741">
        <f>M209-K209</f>
        <v/>
      </c>
      <c r="M209" s="739" t="n">
        <v>22771.6</v>
      </c>
      <c r="N209" s="1772" t="n">
        <v>15602.4</v>
      </c>
      <c r="O209" s="1762">
        <f>N209*E209/1000</f>
        <v/>
      </c>
      <c r="P209" s="1763">
        <f>O209/32</f>
        <v/>
      </c>
      <c r="Q209" s="1764">
        <f>N209*I209/1000</f>
        <v/>
      </c>
    </row>
    <row r="210" ht="15.75" customHeight="1">
      <c r="A210" s="719" t="inlineStr">
        <is>
          <t>FO23030059</t>
        </is>
      </c>
      <c r="B210" s="720" t="n">
        <v>45008</v>
      </c>
      <c r="C210" s="721" t="inlineStr">
        <is>
          <t>มัลติแบกซ์</t>
        </is>
      </c>
      <c r="D210" s="721" t="inlineStr">
        <is>
          <t>ท่าเรือแหลมฉบัง</t>
        </is>
      </c>
      <c r="E210" s="722" t="n">
        <v>6</v>
      </c>
      <c r="F210" s="719" t="inlineStr">
        <is>
          <t>Km</t>
        </is>
      </c>
      <c r="G210" s="723" t="inlineStr">
        <is>
          <t>รถเทรลเลอร์</t>
        </is>
      </c>
      <c r="H210" s="719" t="inlineStr">
        <is>
          <t>SHIMIZU, JAPAN</t>
        </is>
      </c>
      <c r="I210" s="724" t="n">
        <v>4482</v>
      </c>
      <c r="J210" s="723" t="inlineStr">
        <is>
          <t>Km</t>
        </is>
      </c>
      <c r="K210" s="725" t="n">
        <v>2210</v>
      </c>
      <c r="L210" s="740">
        <f>M210-K210</f>
        <v/>
      </c>
      <c r="M210" s="738" t="n">
        <v>7893</v>
      </c>
      <c r="N210" s="1773" t="n">
        <v>4743.2</v>
      </c>
      <c r="O210" s="1762">
        <f>N210*E210/1000</f>
        <v/>
      </c>
      <c r="P210" s="1763">
        <f>O210/32</f>
        <v/>
      </c>
      <c r="Q210" s="1764">
        <f>N210*I210/1000</f>
        <v/>
      </c>
    </row>
    <row r="211" ht="15.75" customHeight="1">
      <c r="A211" s="728" t="inlineStr">
        <is>
          <t>FO23030060</t>
        </is>
      </c>
      <c r="B211" s="729" t="n">
        <v>45008</v>
      </c>
      <c r="C211" s="730" t="inlineStr">
        <is>
          <t>มัลติแบกซ์</t>
        </is>
      </c>
      <c r="D211" s="730" t="inlineStr">
        <is>
          <t>ท่าเรือแหลมฉบัง</t>
        </is>
      </c>
      <c r="E211" s="731" t="n">
        <v>6</v>
      </c>
      <c r="F211" s="728" t="inlineStr">
        <is>
          <t>Km</t>
        </is>
      </c>
      <c r="G211" s="732" t="inlineStr">
        <is>
          <t>รถเทรลเลอร์</t>
        </is>
      </c>
      <c r="H211" s="728" t="inlineStr">
        <is>
          <t>APPLETON WI , USA</t>
        </is>
      </c>
      <c r="I211" s="733" t="n">
        <v>13558</v>
      </c>
      <c r="J211" s="732" t="inlineStr">
        <is>
          <t>Km</t>
        </is>
      </c>
      <c r="K211" s="734" t="n">
        <v>3820</v>
      </c>
      <c r="L211" s="741">
        <f>M211-K211</f>
        <v/>
      </c>
      <c r="M211" s="739" t="n">
        <v>18659</v>
      </c>
      <c r="N211" s="1772" t="n">
        <v>12511.2</v>
      </c>
      <c r="O211" s="1762">
        <f>N211*E211/1000</f>
        <v/>
      </c>
      <c r="P211" s="1763">
        <f>O211/32</f>
        <v/>
      </c>
      <c r="Q211" s="1764">
        <f>N211*I211/1000</f>
        <v/>
      </c>
    </row>
    <row r="212" ht="15.75" customHeight="1">
      <c r="A212" s="719" t="inlineStr">
        <is>
          <t>FO23030061</t>
        </is>
      </c>
      <c r="B212" s="720" t="n">
        <v>45008</v>
      </c>
      <c r="C212" s="721" t="inlineStr">
        <is>
          <t>มัลติแบกซ์</t>
        </is>
      </c>
      <c r="D212" s="721" t="inlineStr">
        <is>
          <t>ท่าเรือแหลมฉบัง</t>
        </is>
      </c>
      <c r="E212" s="722" t="n">
        <v>6</v>
      </c>
      <c r="F212" s="719" t="inlineStr">
        <is>
          <t>Km</t>
        </is>
      </c>
      <c r="G212" s="723" t="inlineStr">
        <is>
          <t>รถเทรลเลอร์</t>
        </is>
      </c>
      <c r="H212" s="719" t="inlineStr">
        <is>
          <t>OSAKA, JAPAN</t>
        </is>
      </c>
      <c r="I212" s="724" t="n">
        <v>4220</v>
      </c>
      <c r="J212" s="723" t="inlineStr">
        <is>
          <t>Km</t>
        </is>
      </c>
      <c r="K212" s="725" t="n">
        <v>2245</v>
      </c>
      <c r="L212" s="740">
        <f>M212-K212</f>
        <v/>
      </c>
      <c r="M212" s="738" t="n">
        <v>7669.65</v>
      </c>
      <c r="N212" s="1773" t="n">
        <v>4403.25</v>
      </c>
      <c r="O212" s="1762">
        <f>N212*E212/1000</f>
        <v/>
      </c>
      <c r="P212" s="1763">
        <f>O212/32</f>
        <v/>
      </c>
      <c r="Q212" s="1764">
        <f>N212*I212/1000</f>
        <v/>
      </c>
    </row>
    <row r="213" ht="15.75" customHeight="1">
      <c r="A213" s="728" t="inlineStr">
        <is>
          <t>FO23030062</t>
        </is>
      </c>
      <c r="B213" s="729" t="n">
        <v>45008</v>
      </c>
      <c r="C213" s="730" t="inlineStr">
        <is>
          <t>มัลติแบกซ์</t>
        </is>
      </c>
      <c r="D213" s="730" t="inlineStr">
        <is>
          <t>ท่าเรือแหลมฉบัง</t>
        </is>
      </c>
      <c r="E213" s="731" t="n">
        <v>6</v>
      </c>
      <c r="F213" s="728" t="inlineStr">
        <is>
          <t>Km</t>
        </is>
      </c>
      <c r="G213" s="732" t="inlineStr">
        <is>
          <t>รถเทรลเลอร์</t>
        </is>
      </c>
      <c r="H213" s="728" t="inlineStr">
        <is>
          <t>SOUTH BOSTON VA, USA</t>
        </is>
      </c>
      <c r="I213" s="733" t="n">
        <v>13787</v>
      </c>
      <c r="J213" s="732" t="inlineStr">
        <is>
          <t>Km</t>
        </is>
      </c>
      <c r="K213" s="734" t="n">
        <v>3900</v>
      </c>
      <c r="L213" s="741">
        <f>M213-K213</f>
        <v/>
      </c>
      <c r="M213" s="739" t="n">
        <v>18048</v>
      </c>
      <c r="N213" s="1772" t="n">
        <v>11330</v>
      </c>
      <c r="O213" s="1762">
        <f>N213*E213/1000</f>
        <v/>
      </c>
      <c r="P213" s="1763">
        <f>O213/32</f>
        <v/>
      </c>
      <c r="Q213" s="1764">
        <f>N213*I213/1000</f>
        <v/>
      </c>
    </row>
    <row r="214" ht="15.75" customHeight="1">
      <c r="A214" s="719" t="inlineStr">
        <is>
          <t>FO23030063</t>
        </is>
      </c>
      <c r="B214" s="720" t="n">
        <v>45009</v>
      </c>
      <c r="C214" s="721" t="inlineStr">
        <is>
          <t>มัลติแบกซ์</t>
        </is>
      </c>
      <c r="D214" s="721" t="inlineStr">
        <is>
          <t>ท่าเรือแหลมฉบัง</t>
        </is>
      </c>
      <c r="E214" s="722" t="n">
        <v>6.5</v>
      </c>
      <c r="F214" s="719" t="inlineStr">
        <is>
          <t>Km</t>
        </is>
      </c>
      <c r="G214" s="723" t="inlineStr">
        <is>
          <t>รถเทรลเลอร์</t>
        </is>
      </c>
      <c r="H214" s="719" t="inlineStr">
        <is>
          <t>LOUISVILLE KY, USA</t>
        </is>
      </c>
      <c r="I214" s="724" t="n">
        <v>14253</v>
      </c>
      <c r="J214" s="723" t="inlineStr">
        <is>
          <t>Km</t>
        </is>
      </c>
      <c r="K214" s="725" t="n">
        <v>3950</v>
      </c>
      <c r="L214" s="740">
        <f>M214-K214</f>
        <v/>
      </c>
      <c r="M214" s="738" t="n">
        <v>14502.88</v>
      </c>
      <c r="N214" s="1773" t="n">
        <v>7733.52</v>
      </c>
      <c r="O214" s="1762">
        <f>N214*E214/1000</f>
        <v/>
      </c>
      <c r="P214" s="1763">
        <f>O214/32</f>
        <v/>
      </c>
      <c r="Q214" s="1764">
        <f>N214*I214/1000</f>
        <v/>
      </c>
    </row>
    <row r="215" ht="15.75" customHeight="1">
      <c r="A215" s="728" t="inlineStr">
        <is>
          <t>FO23030064</t>
        </is>
      </c>
      <c r="B215" s="729" t="n">
        <v>45023</v>
      </c>
      <c r="C215" s="730" t="inlineStr">
        <is>
          <t>มัลติแบกซ์</t>
        </is>
      </c>
      <c r="D215" s="730" t="inlineStr">
        <is>
          <t>ท่าเรือแหลมฉบัง</t>
        </is>
      </c>
      <c r="E215" s="731" t="n">
        <v>11.9</v>
      </c>
      <c r="F215" s="728" t="inlineStr">
        <is>
          <t>Km</t>
        </is>
      </c>
      <c r="G215" s="732" t="inlineStr">
        <is>
          <t>รถเทรลเลอร์</t>
        </is>
      </c>
      <c r="H215" s="745" t="inlineStr">
        <is>
          <t>AUCKLAND, NEW ZEALAND</t>
        </is>
      </c>
      <c r="I215" s="733" t="n">
        <v>9486</v>
      </c>
      <c r="J215" s="732" t="inlineStr">
        <is>
          <t>Km</t>
        </is>
      </c>
      <c r="K215" s="734" t="n">
        <v>2280</v>
      </c>
      <c r="L215" s="741" t="n">
        <v>13457</v>
      </c>
      <c r="M215" s="1771" t="n">
        <v>15737</v>
      </c>
      <c r="N215" s="1772" t="n">
        <v>11985</v>
      </c>
      <c r="O215" s="1762">
        <f>N215*E215/1000</f>
        <v/>
      </c>
      <c r="P215" s="1763">
        <f>O215/32</f>
        <v/>
      </c>
      <c r="Q215" s="1764">
        <f>N215*I215/1000</f>
        <v/>
      </c>
    </row>
    <row r="216" ht="15.75" customHeight="1">
      <c r="A216" s="719" t="inlineStr">
        <is>
          <t>FO23030065</t>
        </is>
      </c>
      <c r="B216" s="720" t="n">
        <v>45023</v>
      </c>
      <c r="C216" s="721" t="inlineStr">
        <is>
          <t>มัลติแบกซ์</t>
        </is>
      </c>
      <c r="D216" s="721" t="inlineStr">
        <is>
          <t>ท่าเรือแหลมฉบัง</t>
        </is>
      </c>
      <c r="E216" s="722" t="n">
        <v>11.9</v>
      </c>
      <c r="F216" s="719" t="inlineStr">
        <is>
          <t>Km</t>
        </is>
      </c>
      <c r="G216" s="723" t="inlineStr">
        <is>
          <t>รถเทรลเลอร์</t>
        </is>
      </c>
      <c r="H216" s="746" t="inlineStr">
        <is>
          <t>AUCKLAND, NEW ZEALAND</t>
        </is>
      </c>
      <c r="I216" s="724" t="n">
        <v>9486</v>
      </c>
      <c r="J216" s="723" t="inlineStr">
        <is>
          <t>Km</t>
        </is>
      </c>
      <c r="K216" s="725" t="n">
        <v>3840</v>
      </c>
      <c r="L216" s="740" t="n">
        <v>19570.4</v>
      </c>
      <c r="M216" s="1769" t="n">
        <v>23410.4</v>
      </c>
      <c r="N216" s="1773" t="n">
        <v>13238.3</v>
      </c>
      <c r="O216" s="1762">
        <f>N216*E216/1000</f>
        <v/>
      </c>
      <c r="P216" s="1763">
        <f>O216/32</f>
        <v/>
      </c>
      <c r="Q216" s="1764">
        <f>N216*I216/1000</f>
        <v/>
      </c>
    </row>
    <row r="217" ht="15.75" customHeight="1">
      <c r="A217" s="728" t="inlineStr">
        <is>
          <t>FO23030066</t>
        </is>
      </c>
      <c r="B217" s="729" t="n">
        <v>45023</v>
      </c>
      <c r="C217" s="730" t="inlineStr">
        <is>
          <t>มัลติแบกซ์</t>
        </is>
      </c>
      <c r="D217" s="730" t="inlineStr">
        <is>
          <t>ท่าเรือแหลมฉบัง</t>
        </is>
      </c>
      <c r="E217" s="731" t="n">
        <v>11.9</v>
      </c>
      <c r="F217" s="728" t="inlineStr">
        <is>
          <t>Km</t>
        </is>
      </c>
      <c r="G217" s="732" t="inlineStr">
        <is>
          <t>รถเทรลเลอร์</t>
        </is>
      </c>
      <c r="H217" s="745" t="inlineStr">
        <is>
          <t>AUCKLAND, NEW ZEALAND</t>
        </is>
      </c>
      <c r="I217" s="733" t="n">
        <v>9486</v>
      </c>
      <c r="J217" s="732" t="inlineStr">
        <is>
          <t>Km</t>
        </is>
      </c>
      <c r="K217" s="734" t="n">
        <v>3830</v>
      </c>
      <c r="L217" s="741" t="n">
        <v>14280.6</v>
      </c>
      <c r="M217" s="1771" t="n">
        <v>18110.6</v>
      </c>
      <c r="N217" s="1772" t="n">
        <v>10938.6</v>
      </c>
      <c r="O217" s="1762">
        <f>N217*E217/1000</f>
        <v/>
      </c>
      <c r="P217" s="1763">
        <f>O217/32</f>
        <v/>
      </c>
      <c r="Q217" s="1764">
        <f>N217*I217/1000</f>
        <v/>
      </c>
    </row>
    <row r="218" ht="15.75" customHeight="1">
      <c r="A218" s="719" t="inlineStr">
        <is>
          <t>FO23030067</t>
        </is>
      </c>
      <c r="B218" s="720" t="n">
        <v>45007</v>
      </c>
      <c r="C218" s="721" t="inlineStr">
        <is>
          <t>มัลติแบกซ์</t>
        </is>
      </c>
      <c r="D218" s="721" t="inlineStr">
        <is>
          <t>ท่าเรือแหลมฉบัง</t>
        </is>
      </c>
      <c r="E218" s="722" t="n">
        <v>7.1</v>
      </c>
      <c r="F218" s="719" t="inlineStr">
        <is>
          <t>Km</t>
        </is>
      </c>
      <c r="G218" s="723" t="inlineStr">
        <is>
          <t>รถเทรลเลอร์</t>
        </is>
      </c>
      <c r="H218" s="719" t="inlineStr">
        <is>
          <t>UK PORT</t>
        </is>
      </c>
      <c r="I218" s="724" t="n">
        <v>9687</v>
      </c>
      <c r="J218" s="723" t="inlineStr">
        <is>
          <t>Km</t>
        </is>
      </c>
      <c r="K218" s="725" t="n">
        <v>3900</v>
      </c>
      <c r="L218" s="740" t="n">
        <v>8887.639999999999</v>
      </c>
      <c r="M218" s="1769" t="n">
        <v>12787.64</v>
      </c>
      <c r="N218" s="1773" t="n">
        <v>18942.6</v>
      </c>
      <c r="O218" s="1762">
        <f>N218*E218/1000</f>
        <v/>
      </c>
      <c r="P218" s="1763">
        <f>O218/32</f>
        <v/>
      </c>
      <c r="Q218" s="1764">
        <f>N218*I218/1000</f>
        <v/>
      </c>
    </row>
    <row r="219" ht="15.75" customHeight="1">
      <c r="A219" s="728" t="inlineStr">
        <is>
          <t>FO23030068</t>
        </is>
      </c>
      <c r="B219" s="729" t="n">
        <v>45007</v>
      </c>
      <c r="C219" s="730" t="inlineStr">
        <is>
          <t>มัลติแบกซ์</t>
        </is>
      </c>
      <c r="D219" s="730" t="inlineStr">
        <is>
          <t>ท่าเรือแหลมฉบัง</t>
        </is>
      </c>
      <c r="E219" s="731" t="n">
        <v>7.1</v>
      </c>
      <c r="F219" s="728" t="inlineStr">
        <is>
          <t>Km</t>
        </is>
      </c>
      <c r="G219" s="732" t="inlineStr">
        <is>
          <t>รถเทรลเลอร์</t>
        </is>
      </c>
      <c r="H219" s="728" t="inlineStr">
        <is>
          <t>NINGBO, CHINA</t>
        </is>
      </c>
      <c r="I219" s="733" t="n">
        <v>3824</v>
      </c>
      <c r="J219" s="732" t="inlineStr">
        <is>
          <t>Km</t>
        </is>
      </c>
      <c r="K219" s="734" t="n">
        <v>3820</v>
      </c>
      <c r="L219" s="741">
        <f>M219-K219</f>
        <v/>
      </c>
      <c r="M219" s="739" t="n">
        <v>15328.62</v>
      </c>
      <c r="N219" s="1772" t="n">
        <v>8718.18</v>
      </c>
      <c r="O219" s="1762">
        <f>N219*E219/1000</f>
        <v/>
      </c>
      <c r="P219" s="1763">
        <f>O219/32</f>
        <v/>
      </c>
      <c r="Q219" s="1764">
        <f>N219*I219/1000</f>
        <v/>
      </c>
    </row>
    <row r="220" ht="15.75" customHeight="1">
      <c r="A220" s="719" t="inlineStr">
        <is>
          <t>FO23030069</t>
        </is>
      </c>
      <c r="B220" s="720" t="n">
        <v>45014</v>
      </c>
      <c r="C220" s="721" t="inlineStr">
        <is>
          <t>มัลติแบกซ์</t>
        </is>
      </c>
      <c r="D220" s="721" t="inlineStr">
        <is>
          <t>ท่าเรือแหลมฉบัง</t>
        </is>
      </c>
      <c r="E220" s="722" t="n">
        <v>4.9</v>
      </c>
      <c r="F220" s="719" t="inlineStr">
        <is>
          <t>Km</t>
        </is>
      </c>
      <c r="G220" s="723" t="inlineStr">
        <is>
          <t>รถเทรลเลอร์</t>
        </is>
      </c>
      <c r="H220" s="719" t="inlineStr">
        <is>
          <t>CARROLLTON TX, USA</t>
        </is>
      </c>
      <c r="I220" s="724" t="n">
        <v>14544</v>
      </c>
      <c r="J220" s="723" t="inlineStr">
        <is>
          <t>Km</t>
        </is>
      </c>
      <c r="K220" s="725" t="n">
        <v>3860</v>
      </c>
      <c r="L220" s="740">
        <f>M220-K220</f>
        <v/>
      </c>
      <c r="M220" s="738" t="n">
        <v>18699</v>
      </c>
      <c r="N220" s="1773" t="n">
        <v>12511.2</v>
      </c>
      <c r="O220" s="1762">
        <f>N220*E220/1000</f>
        <v/>
      </c>
      <c r="P220" s="1763">
        <f>O220/32</f>
        <v/>
      </c>
      <c r="Q220" s="1764">
        <f>N220*I220/1000</f>
        <v/>
      </c>
    </row>
    <row r="221" ht="15.75" customHeight="1">
      <c r="A221" s="728" t="inlineStr">
        <is>
          <t>FO23030070</t>
        </is>
      </c>
      <c r="B221" s="729" t="n">
        <v>45008</v>
      </c>
      <c r="C221" s="730" t="inlineStr">
        <is>
          <t>มัลติแบกซ์</t>
        </is>
      </c>
      <c r="D221" s="730" t="inlineStr">
        <is>
          <t>ท่าเรือแหลมฉบัง</t>
        </is>
      </c>
      <c r="E221" s="731" t="n">
        <v>11.9</v>
      </c>
      <c r="F221" s="728" t="inlineStr">
        <is>
          <t>Km</t>
        </is>
      </c>
      <c r="G221" s="732" t="inlineStr">
        <is>
          <t>รถเทรลเลอร์</t>
        </is>
      </c>
      <c r="H221" s="728" t="inlineStr">
        <is>
          <t>DURBAN, SOUTH AFRICA</t>
        </is>
      </c>
      <c r="I221" s="733" t="n">
        <v>8865</v>
      </c>
      <c r="J221" s="732" t="inlineStr">
        <is>
          <t>Km</t>
        </is>
      </c>
      <c r="K221" s="734" t="n">
        <v>2220</v>
      </c>
      <c r="L221" s="741">
        <f>M221-K221</f>
        <v/>
      </c>
      <c r="M221" s="739" t="n">
        <v>17540</v>
      </c>
      <c r="N221" s="1772" t="n">
        <v>12848.3</v>
      </c>
      <c r="O221" s="1762">
        <f>N221*E221/1000</f>
        <v/>
      </c>
      <c r="P221" s="1763">
        <f>O221/32</f>
        <v/>
      </c>
      <c r="Q221" s="1764">
        <f>N221*I221/1000</f>
        <v/>
      </c>
    </row>
    <row r="222" ht="15.75" customHeight="1">
      <c r="A222" s="719" t="inlineStr">
        <is>
          <t>FO23030071</t>
        </is>
      </c>
      <c r="B222" s="720" t="n">
        <v>45014</v>
      </c>
      <c r="C222" s="721" t="inlineStr">
        <is>
          <t>มัลติแบกซ์</t>
        </is>
      </c>
      <c r="D222" s="721" t="inlineStr">
        <is>
          <t>ท่าเรือแหลมฉบัง</t>
        </is>
      </c>
      <c r="E222" s="722" t="n">
        <v>6.2</v>
      </c>
      <c r="F222" s="719" t="inlineStr">
        <is>
          <t>Km</t>
        </is>
      </c>
      <c r="G222" s="723" t="inlineStr">
        <is>
          <t>รถเทรลเลอร์</t>
        </is>
      </c>
      <c r="H222" s="719" t="inlineStr">
        <is>
          <t>CARROLLTON TX, USA</t>
        </is>
      </c>
      <c r="I222" s="724" t="n">
        <v>14544</v>
      </c>
      <c r="J222" s="723" t="inlineStr">
        <is>
          <t>Km</t>
        </is>
      </c>
      <c r="K222" s="725" t="n">
        <v>3840</v>
      </c>
      <c r="L222" s="740">
        <f>M222-K222</f>
        <v/>
      </c>
      <c r="M222" s="1769" t="n">
        <v>18679</v>
      </c>
      <c r="N222" s="1773" t="n">
        <v>12511.2</v>
      </c>
      <c r="O222" s="1762">
        <f>N222*E222/1000</f>
        <v/>
      </c>
      <c r="P222" s="1763">
        <f>O222/32</f>
        <v/>
      </c>
      <c r="Q222" s="1764">
        <f>N222*I222/1000</f>
        <v/>
      </c>
    </row>
    <row r="223" ht="15.75" customHeight="1">
      <c r="A223" s="728" t="inlineStr">
        <is>
          <t>FO23030072</t>
        </is>
      </c>
      <c r="B223" s="729" t="n">
        <v>45014</v>
      </c>
      <c r="C223" s="730" t="inlineStr">
        <is>
          <t>มัลติแบกซ์</t>
        </is>
      </c>
      <c r="D223" s="730" t="inlineStr">
        <is>
          <t>ท่าเรือแหลมฉบัง</t>
        </is>
      </c>
      <c r="E223" s="731" t="n">
        <v>6.2</v>
      </c>
      <c r="F223" s="728" t="inlineStr">
        <is>
          <t>Km</t>
        </is>
      </c>
      <c r="G223" s="732" t="inlineStr">
        <is>
          <t>รถเทรลเลอร์</t>
        </is>
      </c>
      <c r="H223" s="728" t="inlineStr">
        <is>
          <t>CARROLLTON TX, USA</t>
        </is>
      </c>
      <c r="I223" s="733" t="n">
        <v>14544</v>
      </c>
      <c r="J223" s="732" t="inlineStr">
        <is>
          <t>Km</t>
        </is>
      </c>
      <c r="K223" s="734" t="n">
        <v>3880</v>
      </c>
      <c r="L223" s="741">
        <f>M223-K223</f>
        <v/>
      </c>
      <c r="M223" s="1771" t="n">
        <v>22951.6</v>
      </c>
      <c r="N223" s="1772" t="n">
        <v>15602.4</v>
      </c>
      <c r="O223" s="1762">
        <f>N223*E223/1000</f>
        <v/>
      </c>
      <c r="P223" s="1763">
        <f>O223/32</f>
        <v/>
      </c>
      <c r="Q223" s="1764">
        <f>N223*I223/1000</f>
        <v/>
      </c>
    </row>
    <row r="224" ht="15.75" customHeight="1">
      <c r="A224" s="719" t="inlineStr">
        <is>
          <t>FO23030073</t>
        </is>
      </c>
      <c r="B224" s="720" t="n">
        <v>45014</v>
      </c>
      <c r="C224" s="721" t="inlineStr">
        <is>
          <t>มัลติแบกซ์</t>
        </is>
      </c>
      <c r="D224" s="721" t="inlineStr">
        <is>
          <t>ท่าเรือแหลมฉบัง</t>
        </is>
      </c>
      <c r="E224" s="722" t="n">
        <v>6.2</v>
      </c>
      <c r="F224" s="719" t="inlineStr">
        <is>
          <t>Km</t>
        </is>
      </c>
      <c r="G224" s="723" t="inlineStr">
        <is>
          <t>รถเทรลเลอร์</t>
        </is>
      </c>
      <c r="H224" s="719" t="inlineStr">
        <is>
          <t>APPLETON WI , USA</t>
        </is>
      </c>
      <c r="I224" s="724" t="n">
        <v>13558</v>
      </c>
      <c r="J224" s="723" t="inlineStr">
        <is>
          <t>Km</t>
        </is>
      </c>
      <c r="K224" s="725" t="n">
        <v>3890</v>
      </c>
      <c r="L224" s="740">
        <f>M224-K224</f>
        <v/>
      </c>
      <c r="M224" s="1769" t="n">
        <v>18733</v>
      </c>
      <c r="N224" s="1773" t="n">
        <v>12187.6</v>
      </c>
      <c r="O224" s="1762">
        <f>N224*E224/1000</f>
        <v/>
      </c>
      <c r="P224" s="1763">
        <f>O224/32</f>
        <v/>
      </c>
      <c r="Q224" s="1764">
        <f>N224*I224/1000</f>
        <v/>
      </c>
    </row>
    <row r="225" ht="15.75" customHeight="1">
      <c r="A225" s="728" t="inlineStr">
        <is>
          <t>FO23030074</t>
        </is>
      </c>
      <c r="B225" s="729" t="n">
        <v>45014</v>
      </c>
      <c r="C225" s="730" t="inlineStr">
        <is>
          <t>มัลติแบกซ์</t>
        </is>
      </c>
      <c r="D225" s="730" t="inlineStr">
        <is>
          <t>ท่าเรือแหลมฉบัง</t>
        </is>
      </c>
      <c r="E225" s="731" t="n">
        <v>6.2</v>
      </c>
      <c r="F225" s="728" t="inlineStr">
        <is>
          <t>Km</t>
        </is>
      </c>
      <c r="G225" s="732" t="inlineStr">
        <is>
          <t>รถเทรลเลอร์</t>
        </is>
      </c>
      <c r="H225" s="728" t="inlineStr">
        <is>
          <t>SANTA TERESA, NM USA</t>
        </is>
      </c>
      <c r="I225" s="733" t="n">
        <v>17387</v>
      </c>
      <c r="J225" s="732" t="inlineStr">
        <is>
          <t>Km</t>
        </is>
      </c>
      <c r="K225" s="734" t="n">
        <v>3850</v>
      </c>
      <c r="L225" s="741">
        <f>M225-K225</f>
        <v/>
      </c>
      <c r="M225" s="1771" t="n">
        <v>23005.96</v>
      </c>
      <c r="N225" s="1772" t="n">
        <v>16769.53</v>
      </c>
      <c r="O225" s="1762">
        <f>N225*E225/1000</f>
        <v/>
      </c>
      <c r="P225" s="1763">
        <f>O225/32</f>
        <v/>
      </c>
      <c r="Q225" s="1764">
        <f>N225*I225/1000</f>
        <v/>
      </c>
    </row>
    <row r="226" ht="15.75" customHeight="1">
      <c r="A226" s="719" t="inlineStr">
        <is>
          <t>FO23030075</t>
        </is>
      </c>
      <c r="B226" s="720" t="n">
        <v>45013</v>
      </c>
      <c r="C226" s="721" t="inlineStr">
        <is>
          <t>มัลติแบกซ์</t>
        </is>
      </c>
      <c r="D226" s="721" t="inlineStr">
        <is>
          <t>ท่าเรือแหลมฉบัง</t>
        </is>
      </c>
      <c r="E226" s="722" t="n">
        <v>4.1</v>
      </c>
      <c r="F226" s="719" t="inlineStr">
        <is>
          <t>Km</t>
        </is>
      </c>
      <c r="G226" s="723" t="inlineStr">
        <is>
          <t>รถเทรลเลอร์</t>
        </is>
      </c>
      <c r="H226" s="719" t="inlineStr">
        <is>
          <t>UK PORT</t>
        </is>
      </c>
      <c r="I226" s="724" t="n">
        <v>9687</v>
      </c>
      <c r="J226" s="723" t="inlineStr">
        <is>
          <t>Km</t>
        </is>
      </c>
      <c r="K226" s="725" t="n">
        <v>2280</v>
      </c>
      <c r="L226" s="740">
        <f>M226-K226</f>
        <v/>
      </c>
      <c r="M226" s="738" t="n">
        <v>8057</v>
      </c>
      <c r="N226" s="1773" t="n">
        <v>4550</v>
      </c>
      <c r="O226" s="1762">
        <f>N226*E226/1000</f>
        <v/>
      </c>
      <c r="P226" s="1763">
        <f>O226/32</f>
        <v/>
      </c>
      <c r="Q226" s="1764">
        <f>N226*I226/1000</f>
        <v/>
      </c>
    </row>
    <row r="227" ht="15.75" customHeight="1">
      <c r="A227" s="710" t="inlineStr">
        <is>
          <t>FO23030076</t>
        </is>
      </c>
      <c r="B227" s="729" t="n">
        <v>45012</v>
      </c>
      <c r="C227" s="710" t="inlineStr">
        <is>
          <t>มัลติแบกซ์</t>
        </is>
      </c>
      <c r="D227" s="710" t="inlineStr">
        <is>
          <t>ท่าเรือแหลมฉบัง</t>
        </is>
      </c>
      <c r="E227" s="712" t="n">
        <v>5.3</v>
      </c>
      <c r="F227" s="710" t="inlineStr">
        <is>
          <t>Km</t>
        </is>
      </c>
      <c r="G227" s="713" t="inlineStr">
        <is>
          <t>รถเทรลเลอร์</t>
        </is>
      </c>
      <c r="H227" s="728" t="inlineStr">
        <is>
          <t>HONG KONG</t>
        </is>
      </c>
      <c r="I227" s="733" t="n">
        <v>1734</v>
      </c>
      <c r="J227" s="715" t="inlineStr">
        <is>
          <t>Km</t>
        </is>
      </c>
      <c r="K227" s="716" t="n">
        <v>3700</v>
      </c>
      <c r="L227" s="742" t="n">
        <v>11212</v>
      </c>
      <c r="M227" s="743" t="n">
        <v>14912</v>
      </c>
      <c r="N227" s="1772" t="n">
        <v>8450</v>
      </c>
      <c r="O227" s="1762">
        <f>N227*E227/1000</f>
        <v/>
      </c>
      <c r="P227" s="1763">
        <f>O227/32</f>
        <v/>
      </c>
      <c r="Q227" s="1764">
        <f>N227*I227/1000</f>
        <v/>
      </c>
    </row>
    <row r="228" ht="15.75" customHeight="1">
      <c r="A228" s="719" t="inlineStr">
        <is>
          <t>FO23030077</t>
        </is>
      </c>
      <c r="B228" s="720" t="n">
        <v>45014</v>
      </c>
      <c r="C228" s="721" t="inlineStr">
        <is>
          <t>มัลติแบกซ์</t>
        </is>
      </c>
      <c r="D228" s="721" t="inlineStr">
        <is>
          <t>ท่าเรือแหลมฉบัง</t>
        </is>
      </c>
      <c r="E228" s="722" t="n">
        <v>4.9</v>
      </c>
      <c r="F228" s="719" t="inlineStr">
        <is>
          <t>Km</t>
        </is>
      </c>
      <c r="G228" s="723" t="inlineStr">
        <is>
          <t>รถเทรลเลอร์</t>
        </is>
      </c>
      <c r="H228" s="719" t="inlineStr">
        <is>
          <t>DURBAN, SOUTH AFRICA</t>
        </is>
      </c>
      <c r="I228" s="724" t="n">
        <v>8865</v>
      </c>
      <c r="J228" s="723" t="inlineStr">
        <is>
          <t>Km</t>
        </is>
      </c>
      <c r="K228" s="725" t="n">
        <v>2300</v>
      </c>
      <c r="L228" s="740">
        <f>M228-K228</f>
        <v/>
      </c>
      <c r="M228" s="738" t="n">
        <v>6712</v>
      </c>
      <c r="N228" s="1773" t="n">
        <v>3198</v>
      </c>
      <c r="O228" s="1762">
        <f>N228*E228/1000</f>
        <v/>
      </c>
      <c r="P228" s="1763">
        <f>O228/32</f>
        <v/>
      </c>
      <c r="Q228" s="1764">
        <f>N228*I228/1000</f>
        <v/>
      </c>
    </row>
    <row r="229" ht="15.75" customHeight="1">
      <c r="A229" s="728" t="inlineStr">
        <is>
          <t>FO23030078</t>
        </is>
      </c>
      <c r="B229" s="729" t="n">
        <v>45015</v>
      </c>
      <c r="C229" s="730" t="inlineStr">
        <is>
          <t>มัลติแบกซ์</t>
        </is>
      </c>
      <c r="D229" s="730" t="inlineStr">
        <is>
          <t>ท่าเรือแหลมฉบัง</t>
        </is>
      </c>
      <c r="E229" s="731" t="n">
        <v>7.1</v>
      </c>
      <c r="F229" s="728" t="inlineStr">
        <is>
          <t>Km</t>
        </is>
      </c>
      <c r="G229" s="732" t="inlineStr">
        <is>
          <t>รถเทรลเลอร์</t>
        </is>
      </c>
      <c r="H229" s="728" t="inlineStr">
        <is>
          <t>HAMAD, QATAR</t>
        </is>
      </c>
      <c r="I229" s="733" t="n">
        <v>5317</v>
      </c>
      <c r="J229" s="732" t="inlineStr">
        <is>
          <t>Km</t>
        </is>
      </c>
      <c r="K229" s="734" t="n">
        <v>3640</v>
      </c>
      <c r="L229" s="741">
        <f>M229-K229</f>
        <v/>
      </c>
      <c r="M229" s="1771" t="n">
        <v>16643.37</v>
      </c>
      <c r="N229" s="1772" t="n">
        <v>10672.53</v>
      </c>
      <c r="O229" s="1762">
        <f>N229*E229/1000</f>
        <v/>
      </c>
      <c r="P229" s="1763">
        <f>O229/32</f>
        <v/>
      </c>
      <c r="Q229" s="1764">
        <f>N229*I229/1000</f>
        <v/>
      </c>
    </row>
    <row r="230" ht="15.75" customHeight="1">
      <c r="A230" s="698" t="inlineStr">
        <is>
          <t>FO23030079</t>
        </is>
      </c>
      <c r="B230" s="720" t="n">
        <v>45015</v>
      </c>
      <c r="C230" s="721" t="inlineStr">
        <is>
          <t>มัลติแบกซ์</t>
        </is>
      </c>
      <c r="D230" s="721" t="inlineStr">
        <is>
          <t>ท่าเรือแหลมฉบัง</t>
        </is>
      </c>
      <c r="E230" s="722" t="n">
        <v>7.1</v>
      </c>
      <c r="F230" s="719" t="inlineStr">
        <is>
          <t>Km</t>
        </is>
      </c>
      <c r="G230" s="723" t="inlineStr">
        <is>
          <t>รถเทรลเลอร์</t>
        </is>
      </c>
      <c r="H230" s="719" t="inlineStr">
        <is>
          <t>SOHAR, OMAN</t>
        </is>
      </c>
      <c r="I230" s="724" t="n">
        <v>4795</v>
      </c>
      <c r="J230" s="723" t="inlineStr">
        <is>
          <t>Km</t>
        </is>
      </c>
      <c r="K230" s="725" t="n">
        <v>2180</v>
      </c>
      <c r="L230" s="740">
        <f>M230-K230</f>
        <v/>
      </c>
      <c r="M230" s="1769" t="n">
        <v>8549.700000000001</v>
      </c>
      <c r="N230" s="1773" t="n">
        <v>5225.5</v>
      </c>
      <c r="O230" s="1762">
        <f>N230*E230/1000</f>
        <v/>
      </c>
      <c r="P230" s="1763">
        <f>O230/32</f>
        <v/>
      </c>
      <c r="Q230" s="1764">
        <f>N230*I230/1000</f>
        <v/>
      </c>
    </row>
    <row r="231" ht="15.75" customHeight="1">
      <c r="A231" s="719" t="inlineStr">
        <is>
          <t>FO23040001</t>
        </is>
      </c>
      <c r="B231" s="720" t="n">
        <v>45019</v>
      </c>
      <c r="C231" s="721" t="inlineStr">
        <is>
          <t>มัลติแบกซ์</t>
        </is>
      </c>
      <c r="D231" s="721" t="inlineStr">
        <is>
          <t>ท่าเรือแหลมฉบัง</t>
        </is>
      </c>
      <c r="E231" s="722" t="n">
        <v>6</v>
      </c>
      <c r="F231" s="719" t="inlineStr">
        <is>
          <t>Km</t>
        </is>
      </c>
      <c r="G231" s="719" t="inlineStr">
        <is>
          <t>รถเทรลเลอร์</t>
        </is>
      </c>
      <c r="H231" s="719" t="inlineStr">
        <is>
          <t>SOHAR, OMAN</t>
        </is>
      </c>
      <c r="I231" s="724" t="n">
        <v>4795</v>
      </c>
      <c r="J231" s="723" t="inlineStr">
        <is>
          <t>Km</t>
        </is>
      </c>
      <c r="K231" s="725" t="n">
        <v>3900</v>
      </c>
      <c r="L231" s="740">
        <f>M231-K231</f>
        <v/>
      </c>
      <c r="M231" s="1769" t="n">
        <v>12787.64</v>
      </c>
      <c r="N231" s="1773" t="n">
        <v>6764.67</v>
      </c>
      <c r="O231" s="1762">
        <f>N231*E231/1000</f>
        <v/>
      </c>
      <c r="P231" s="1763">
        <f>O231/32</f>
        <v/>
      </c>
      <c r="Q231" s="1764">
        <f>N231*I231/1000</f>
        <v/>
      </c>
    </row>
    <row r="232" ht="15.75" customHeight="1">
      <c r="A232" s="728" t="inlineStr">
        <is>
          <t>FO23040002</t>
        </is>
      </c>
      <c r="B232" s="729" t="n">
        <v>45019</v>
      </c>
      <c r="C232" s="730" t="inlineStr">
        <is>
          <t>มัลติแบกซ์</t>
        </is>
      </c>
      <c r="D232" s="730" t="inlineStr">
        <is>
          <t>ท่าเรือแหลมฉบัง</t>
        </is>
      </c>
      <c r="E232" s="731" t="n">
        <v>7.1</v>
      </c>
      <c r="F232" s="730" t="inlineStr">
        <is>
          <t>Km</t>
        </is>
      </c>
      <c r="G232" s="730" t="inlineStr">
        <is>
          <t>รถเทรลเลอร์</t>
        </is>
      </c>
      <c r="H232" s="728" t="inlineStr">
        <is>
          <t>KHALIFA BIN SALMAN, BAHRAIN</t>
        </is>
      </c>
      <c r="I232" s="733" t="n">
        <v>5416</v>
      </c>
      <c r="J232" s="737" t="inlineStr">
        <is>
          <t>Km</t>
        </is>
      </c>
      <c r="K232" s="734" t="n">
        <v>2100</v>
      </c>
      <c r="L232" s="741">
        <f>M232-K232</f>
        <v/>
      </c>
      <c r="M232" s="1771" t="n">
        <v>5633.09</v>
      </c>
      <c r="N232" s="1772" t="n">
        <v>2479.41</v>
      </c>
      <c r="O232" s="1762">
        <f>N232*E232/1000</f>
        <v/>
      </c>
      <c r="P232" s="1763">
        <f>O232/32</f>
        <v/>
      </c>
      <c r="Q232" s="1764">
        <f>N232*I232/1000</f>
        <v/>
      </c>
    </row>
    <row r="233" ht="15.75" customHeight="1">
      <c r="A233" s="728" t="inlineStr">
        <is>
          <t>FO23040003</t>
        </is>
      </c>
      <c r="B233" s="729" t="n">
        <v>45021</v>
      </c>
      <c r="C233" s="730" t="inlineStr">
        <is>
          <t>มัลติแบกซ์</t>
        </is>
      </c>
      <c r="D233" s="730" t="inlineStr">
        <is>
          <t>ลาดกระบัง</t>
        </is>
      </c>
      <c r="E233" s="731" t="n">
        <v>41.1</v>
      </c>
      <c r="F233" s="730" t="inlineStr">
        <is>
          <t>Km</t>
        </is>
      </c>
      <c r="G233" s="730" t="inlineStr">
        <is>
          <t>รถเทรลเลอร์</t>
        </is>
      </c>
      <c r="H233" s="728" t="inlineStr">
        <is>
          <t>HAMAD, QATAR</t>
        </is>
      </c>
      <c r="I233" s="733" t="n">
        <v>5317</v>
      </c>
      <c r="J233" s="737" t="inlineStr">
        <is>
          <t>Km</t>
        </is>
      </c>
      <c r="K233" s="734" t="n">
        <v>3750</v>
      </c>
      <c r="L233" s="741" t="n">
        <v>9415.85</v>
      </c>
      <c r="M233" s="1771" t="n">
        <v>5333.85</v>
      </c>
      <c r="N233" s="1772" t="n">
        <v>4077.81</v>
      </c>
      <c r="O233" s="1762">
        <f>N233*E233/1000</f>
        <v/>
      </c>
      <c r="P233" s="1763">
        <f>O233/32</f>
        <v/>
      </c>
      <c r="Q233" s="1764">
        <f>N233*I233/1000</f>
        <v/>
      </c>
    </row>
    <row r="234" ht="15.75" customHeight="1">
      <c r="A234" s="728" t="inlineStr">
        <is>
          <t>FO23040004</t>
        </is>
      </c>
      <c r="B234" s="729" t="n">
        <v>45021</v>
      </c>
      <c r="C234" s="730" t="inlineStr">
        <is>
          <t>มัลติแบกซ์</t>
        </is>
      </c>
      <c r="D234" s="730" t="inlineStr">
        <is>
          <t>ท่าเรือแหลมฉบัง</t>
        </is>
      </c>
      <c r="E234" s="731" t="n">
        <v>7.1</v>
      </c>
      <c r="F234" s="728" t="inlineStr">
        <is>
          <t>Km</t>
        </is>
      </c>
      <c r="G234" s="728" t="inlineStr">
        <is>
          <t>รถเทรลเลอร์</t>
        </is>
      </c>
      <c r="H234" s="728" t="inlineStr">
        <is>
          <t>BREMERHAVEN, GERMANY</t>
        </is>
      </c>
      <c r="I234" s="733" t="n">
        <v>8986</v>
      </c>
      <c r="J234" s="732" t="inlineStr">
        <is>
          <t>Km</t>
        </is>
      </c>
      <c r="K234" s="734" t="n">
        <v>2140</v>
      </c>
      <c r="L234" s="741">
        <f>M234-K234</f>
        <v/>
      </c>
      <c r="M234" s="1771" t="n">
        <v>8089.19</v>
      </c>
      <c r="N234" s="1772" t="n">
        <v>4229.59</v>
      </c>
      <c r="O234" s="1762">
        <f>N234*E234/1000</f>
        <v/>
      </c>
      <c r="P234" s="1763">
        <f>O234/32</f>
        <v/>
      </c>
      <c r="Q234" s="1764">
        <f>N234*I234/1000</f>
        <v/>
      </c>
    </row>
    <row r="235" ht="15.75" customHeight="1">
      <c r="A235" s="719" t="inlineStr">
        <is>
          <t>FO23040005</t>
        </is>
      </c>
      <c r="B235" s="720" t="n">
        <v>45019</v>
      </c>
      <c r="C235" s="721" t="inlineStr">
        <is>
          <t>มัลติแบกซ์</t>
        </is>
      </c>
      <c r="D235" s="721" t="inlineStr">
        <is>
          <t>ท่าเรือแหลมฉบัง</t>
        </is>
      </c>
      <c r="E235" s="722" t="n">
        <v>5.3</v>
      </c>
      <c r="F235" s="719" t="inlineStr">
        <is>
          <t>Km</t>
        </is>
      </c>
      <c r="G235" s="719" t="inlineStr">
        <is>
          <t>รถเทรลเลอร์</t>
        </is>
      </c>
      <c r="H235" s="719" t="inlineStr">
        <is>
          <t>HONG KONG</t>
        </is>
      </c>
      <c r="I235" s="724" t="n">
        <v>1734</v>
      </c>
      <c r="J235" s="723" t="inlineStr">
        <is>
          <t>Km</t>
        </is>
      </c>
      <c r="K235" s="725" t="n">
        <v>3820</v>
      </c>
      <c r="L235" s="740">
        <f>M235-K235</f>
        <v/>
      </c>
      <c r="M235" s="1769" t="n">
        <v>14534.1</v>
      </c>
      <c r="N235" s="1773" t="n">
        <v>8046.9</v>
      </c>
      <c r="O235" s="1762">
        <f>N235*E235/1000</f>
        <v/>
      </c>
      <c r="P235" s="1763">
        <f>O235/32</f>
        <v/>
      </c>
      <c r="Q235" s="1764">
        <f>N235*I235/1000</f>
        <v/>
      </c>
    </row>
    <row r="236" ht="15.75" customHeight="1">
      <c r="A236" s="728" t="inlineStr">
        <is>
          <t>FO23040006</t>
        </is>
      </c>
      <c r="B236" s="729" t="n">
        <v>45023</v>
      </c>
      <c r="C236" s="730" t="inlineStr">
        <is>
          <t>มัลติแบกซ์</t>
        </is>
      </c>
      <c r="D236" s="730" t="inlineStr">
        <is>
          <t>ท่าเรือแหลมฉบัง</t>
        </is>
      </c>
      <c r="E236" s="731" t="n">
        <v>11.9</v>
      </c>
      <c r="F236" s="728" t="inlineStr">
        <is>
          <t>Km</t>
        </is>
      </c>
      <c r="G236" s="728" t="inlineStr">
        <is>
          <t>รถเทรลเลอร์</t>
        </is>
      </c>
      <c r="H236" s="728" t="inlineStr">
        <is>
          <t>HONG KONG</t>
        </is>
      </c>
      <c r="I236" s="733" t="n">
        <v>1734</v>
      </c>
      <c r="J236" s="732" t="inlineStr">
        <is>
          <t>Km</t>
        </is>
      </c>
      <c r="K236" s="734" t="n">
        <v>3700</v>
      </c>
      <c r="L236" s="741">
        <f>M236-K236</f>
        <v/>
      </c>
      <c r="M236" s="1771" t="n">
        <v>15394.6</v>
      </c>
      <c r="N236" s="1772" t="n">
        <v>9386.6</v>
      </c>
      <c r="O236" s="1762">
        <f>N236*E236/1000</f>
        <v/>
      </c>
      <c r="P236" s="1763">
        <f>O236/32</f>
        <v/>
      </c>
      <c r="Q236" s="1764">
        <f>N236*I236/1000</f>
        <v/>
      </c>
    </row>
    <row r="237" ht="15.75" customHeight="1">
      <c r="A237" s="698" t="inlineStr">
        <is>
          <t>FO23040007</t>
        </is>
      </c>
      <c r="B237" s="720" t="n">
        <v>45023</v>
      </c>
      <c r="C237" s="698" t="inlineStr">
        <is>
          <t>มัลติแบกซ์</t>
        </is>
      </c>
      <c r="D237" s="698" t="inlineStr">
        <is>
          <t>ท่าเรือแหลมฉบัง</t>
        </is>
      </c>
      <c r="E237" s="700" t="n">
        <v>11.9</v>
      </c>
      <c r="F237" s="698" t="inlineStr">
        <is>
          <t>Km</t>
        </is>
      </c>
      <c r="G237" s="698" t="inlineStr">
        <is>
          <t>รถเทรลเลอร์</t>
        </is>
      </c>
      <c r="H237" s="719" t="inlineStr">
        <is>
          <t>SINGAPORE</t>
        </is>
      </c>
      <c r="I237" s="724" t="n">
        <v>1931</v>
      </c>
      <c r="J237" s="703" t="inlineStr">
        <is>
          <t>Km</t>
        </is>
      </c>
      <c r="K237" s="704" t="n">
        <v>3800</v>
      </c>
      <c r="L237" s="744" t="n">
        <v>9573.85</v>
      </c>
      <c r="M237" s="1760" t="n">
        <v>13373.85</v>
      </c>
      <c r="N237" s="1773" t="n">
        <v>3132.45</v>
      </c>
      <c r="O237" s="1762">
        <f>N237*E237/1000</f>
        <v/>
      </c>
      <c r="P237" s="1763">
        <f>O237/32</f>
        <v/>
      </c>
      <c r="Q237" s="1764">
        <f>N237*I237/1000</f>
        <v/>
      </c>
    </row>
    <row r="238" ht="15.75" customHeight="1">
      <c r="A238" s="728" t="inlineStr">
        <is>
          <t>FO23040008</t>
        </is>
      </c>
      <c r="B238" s="729" t="n">
        <v>45021</v>
      </c>
      <c r="C238" s="730" t="inlineStr">
        <is>
          <t>มัลติแบกซ์</t>
        </is>
      </c>
      <c r="D238" s="730" t="inlineStr">
        <is>
          <t>ท่าเรือแหลมฉบัง</t>
        </is>
      </c>
      <c r="E238" s="731" t="n">
        <v>6</v>
      </c>
      <c r="F238" s="728" t="inlineStr">
        <is>
          <t>Km</t>
        </is>
      </c>
      <c r="G238" s="728" t="inlineStr">
        <is>
          <t>รถเทรลเลอร์</t>
        </is>
      </c>
      <c r="H238" s="728" t="inlineStr">
        <is>
          <t>CARROLLTON TX, USA</t>
        </is>
      </c>
      <c r="I238" s="733" t="n">
        <v>14544</v>
      </c>
      <c r="J238" s="732" t="inlineStr">
        <is>
          <t>Km</t>
        </is>
      </c>
      <c r="K238" s="734" t="n">
        <v>3800</v>
      </c>
      <c r="L238" s="741">
        <f>M238-K238</f>
        <v/>
      </c>
      <c r="M238" s="1771" t="n">
        <v>17624</v>
      </c>
      <c r="N238" s="1772" t="n">
        <v>11400</v>
      </c>
      <c r="O238" s="1762">
        <f>N238*E238/1000</f>
        <v/>
      </c>
      <c r="P238" s="1763">
        <f>O238/32</f>
        <v/>
      </c>
      <c r="Q238" s="1764">
        <f>N238*I238/1000</f>
        <v/>
      </c>
    </row>
    <row r="239" ht="15.75" customHeight="1">
      <c r="A239" s="719" t="inlineStr">
        <is>
          <t>FO23040009</t>
        </is>
      </c>
      <c r="B239" s="720" t="n">
        <v>45021</v>
      </c>
      <c r="C239" s="721" t="inlineStr">
        <is>
          <t>มัลติแบกซ์</t>
        </is>
      </c>
      <c r="D239" s="721" t="inlineStr">
        <is>
          <t>ท่าเรือแหลมฉบัง</t>
        </is>
      </c>
      <c r="E239" s="722" t="n">
        <v>11.9</v>
      </c>
      <c r="F239" s="719" t="inlineStr">
        <is>
          <t>Km</t>
        </is>
      </c>
      <c r="G239" s="719" t="inlineStr">
        <is>
          <t>รถเทรลเลอร์</t>
        </is>
      </c>
      <c r="H239" s="719" t="inlineStr">
        <is>
          <t>GUANGZHOU, CHINA</t>
        </is>
      </c>
      <c r="I239" s="724" t="n">
        <v>2597</v>
      </c>
      <c r="J239" s="723" t="inlineStr">
        <is>
          <t>Km</t>
        </is>
      </c>
      <c r="K239" s="725" t="n">
        <v>2100</v>
      </c>
      <c r="L239" s="740">
        <f>M239-K239</f>
        <v/>
      </c>
      <c r="M239" s="1769" t="n">
        <v>7444.5</v>
      </c>
      <c r="N239" s="1773" t="n">
        <v>4067</v>
      </c>
      <c r="O239" s="1762">
        <f>N239*E239/1000</f>
        <v/>
      </c>
      <c r="P239" s="1763">
        <f>O239/32</f>
        <v/>
      </c>
      <c r="Q239" s="1764">
        <f>N239*I239/1000</f>
        <v/>
      </c>
    </row>
    <row r="240" ht="15.75" customHeight="1">
      <c r="A240" s="728" t="inlineStr">
        <is>
          <t>FO23040010</t>
        </is>
      </c>
      <c r="B240" s="729" t="n">
        <v>45036</v>
      </c>
      <c r="C240" s="730" t="inlineStr">
        <is>
          <t>มัลติแบกซ์</t>
        </is>
      </c>
      <c r="D240" s="730" t="inlineStr">
        <is>
          <t>ท่าเรือแหลมฉบัง</t>
        </is>
      </c>
      <c r="E240" s="731" t="n">
        <v>6.2</v>
      </c>
      <c r="F240" s="728" t="inlineStr">
        <is>
          <t>Km</t>
        </is>
      </c>
      <c r="G240" s="728" t="inlineStr">
        <is>
          <t>รถเทรลเลอร์</t>
        </is>
      </c>
      <c r="H240" s="728" t="inlineStr">
        <is>
          <t>PERRIS CA, USA</t>
        </is>
      </c>
      <c r="I240" s="733" t="n">
        <v>13413</v>
      </c>
      <c r="J240" s="732" t="inlineStr">
        <is>
          <t>Km</t>
        </is>
      </c>
      <c r="K240" s="734" t="n">
        <v>3750</v>
      </c>
      <c r="L240" s="741">
        <f>M240-K240</f>
        <v/>
      </c>
      <c r="M240" s="1771" t="n">
        <v>22821.6</v>
      </c>
      <c r="N240" s="1772" t="n">
        <v>15602.4</v>
      </c>
      <c r="O240" s="1762">
        <f>N240*E240/1000</f>
        <v/>
      </c>
      <c r="P240" s="1763">
        <f>O240/32</f>
        <v/>
      </c>
      <c r="Q240" s="1764">
        <f>N240*I240/1000</f>
        <v/>
      </c>
    </row>
    <row r="241" ht="15.75" customHeight="1">
      <c r="A241" s="719" t="inlineStr">
        <is>
          <t>FO23040011</t>
        </is>
      </c>
      <c r="B241" s="720" t="n">
        <v>45035</v>
      </c>
      <c r="C241" s="721" t="inlineStr">
        <is>
          <t>มัลติแบกซ์</t>
        </is>
      </c>
      <c r="D241" s="721" t="inlineStr">
        <is>
          <t>ท่าเรือแหลมฉบัง</t>
        </is>
      </c>
      <c r="E241" s="722" t="n">
        <v>6.2</v>
      </c>
      <c r="F241" s="719" t="inlineStr">
        <is>
          <t>Km</t>
        </is>
      </c>
      <c r="G241" s="719" t="inlineStr">
        <is>
          <t>รถเทรลเลอร์</t>
        </is>
      </c>
      <c r="H241" s="719" t="inlineStr">
        <is>
          <t>SYDNEY, AUSTRALIA</t>
        </is>
      </c>
      <c r="I241" s="724" t="n">
        <v>7448</v>
      </c>
      <c r="J241" s="723" t="inlineStr">
        <is>
          <t>Km</t>
        </is>
      </c>
      <c r="K241" s="725" t="n">
        <v>3830</v>
      </c>
      <c r="L241" s="740">
        <f>M241-K241</f>
        <v/>
      </c>
      <c r="M241" s="738" t="n">
        <v>13787</v>
      </c>
      <c r="N241" s="1773" t="n">
        <v>5262</v>
      </c>
      <c r="O241" s="1762">
        <f>N241*E241/1000</f>
        <v/>
      </c>
      <c r="P241" s="1763">
        <f>O241/32</f>
        <v/>
      </c>
      <c r="Q241" s="1764">
        <f>N241*I241/1000</f>
        <v/>
      </c>
    </row>
    <row r="242" ht="15.75" customHeight="1">
      <c r="A242" s="728" t="inlineStr">
        <is>
          <t>FO23040012</t>
        </is>
      </c>
      <c r="B242" s="729" t="n">
        <v>45036</v>
      </c>
      <c r="C242" s="730" t="inlineStr">
        <is>
          <t>มัลติแบกซ์</t>
        </is>
      </c>
      <c r="D242" s="730" t="inlineStr">
        <is>
          <t>ท่าเรือแหลมฉบัง</t>
        </is>
      </c>
      <c r="E242" s="731" t="n">
        <v>7.1</v>
      </c>
      <c r="F242" s="728" t="inlineStr">
        <is>
          <t>Km</t>
        </is>
      </c>
      <c r="G242" s="728" t="inlineStr">
        <is>
          <t>รถเทรลเลอร์</t>
        </is>
      </c>
      <c r="H242" s="728" t="inlineStr">
        <is>
          <t>SHUWAIKH, KUWAIT</t>
        </is>
      </c>
      <c r="I242" s="733" t="n">
        <v>5727</v>
      </c>
      <c r="J242" s="732" t="inlineStr">
        <is>
          <t>Km</t>
        </is>
      </c>
      <c r="K242" s="734" t="n">
        <v>3640</v>
      </c>
      <c r="L242" s="741">
        <f>M242-K242</f>
        <v/>
      </c>
      <c r="M242" s="739" t="n">
        <v>15974.6</v>
      </c>
      <c r="N242" s="1772" t="n">
        <v>10463.84</v>
      </c>
      <c r="O242" s="1762">
        <f>N242*E242/1000</f>
        <v/>
      </c>
      <c r="P242" s="1763">
        <f>O242/32</f>
        <v/>
      </c>
      <c r="Q242" s="1764">
        <f>N242*I242/1000</f>
        <v/>
      </c>
    </row>
    <row r="243" ht="15.75" customHeight="1">
      <c r="A243" s="719" t="inlineStr">
        <is>
          <t>FO23040013</t>
        </is>
      </c>
      <c r="B243" s="720" t="n">
        <v>45037</v>
      </c>
      <c r="C243" s="721" t="inlineStr">
        <is>
          <t>มัลติแบกซ์</t>
        </is>
      </c>
      <c r="D243" s="721" t="inlineStr">
        <is>
          <t>ท่าเรือแหลมฉบัง</t>
        </is>
      </c>
      <c r="E243" s="722" t="n">
        <v>6.5</v>
      </c>
      <c r="F243" s="719" t="inlineStr">
        <is>
          <t>Km</t>
        </is>
      </c>
      <c r="G243" s="719" t="inlineStr">
        <is>
          <t>รถเทรลเลอร์</t>
        </is>
      </c>
      <c r="H243" s="719" t="inlineStr">
        <is>
          <t>AJMAN PORT, UAE</t>
        </is>
      </c>
      <c r="I243" s="724" t="n">
        <v>4929</v>
      </c>
      <c r="J243" s="723" t="inlineStr">
        <is>
          <t>Km</t>
        </is>
      </c>
      <c r="K243" s="725" t="n">
        <v>2220</v>
      </c>
      <c r="L243" s="740">
        <f>M243-K243</f>
        <v/>
      </c>
      <c r="M243" s="738" t="n">
        <v>9717.15</v>
      </c>
      <c r="N243" s="1773" t="n">
        <v>6644.95</v>
      </c>
      <c r="O243" s="1762">
        <f>N243*E243/1000</f>
        <v/>
      </c>
      <c r="P243" s="1763">
        <f>O243/32</f>
        <v/>
      </c>
      <c r="Q243" s="1764">
        <f>N243*I243/1000</f>
        <v/>
      </c>
    </row>
    <row r="244" ht="15.75" customHeight="1">
      <c r="A244" s="728" t="inlineStr">
        <is>
          <t>FO23040014</t>
        </is>
      </c>
      <c r="B244" s="729" t="n">
        <v>45037</v>
      </c>
      <c r="C244" s="730" t="inlineStr">
        <is>
          <t>มัลติแบกซ์</t>
        </is>
      </c>
      <c r="D244" s="730" t="inlineStr">
        <is>
          <t>ท่าเรือแหลมฉบัง</t>
        </is>
      </c>
      <c r="E244" s="731" t="n">
        <v>6.5</v>
      </c>
      <c r="F244" s="728" t="inlineStr">
        <is>
          <t>Km</t>
        </is>
      </c>
      <c r="G244" s="728" t="inlineStr">
        <is>
          <t>รถเทรลเลอร์</t>
        </is>
      </c>
      <c r="H244" s="728" t="inlineStr">
        <is>
          <t>HORSENS, DENMARK</t>
        </is>
      </c>
      <c r="I244" s="733" t="n">
        <v>8839</v>
      </c>
      <c r="J244" s="732" t="inlineStr">
        <is>
          <t>Km</t>
        </is>
      </c>
      <c r="K244" s="734" t="n">
        <v>3800</v>
      </c>
      <c r="L244" s="741">
        <f>M244-K244</f>
        <v/>
      </c>
      <c r="M244" s="739" t="n">
        <v>17394</v>
      </c>
      <c r="N244" s="1772" t="n">
        <v>10091</v>
      </c>
      <c r="O244" s="1762">
        <f>N244*E244/1000</f>
        <v/>
      </c>
      <c r="P244" s="1763">
        <f>O244/32</f>
        <v/>
      </c>
      <c r="Q244" s="1764">
        <f>N244*I244/1000</f>
        <v/>
      </c>
    </row>
    <row r="245" ht="15.75" customHeight="1">
      <c r="A245" s="719" t="inlineStr">
        <is>
          <t>FO23040015</t>
        </is>
      </c>
      <c r="B245" s="720" t="n">
        <v>45035</v>
      </c>
      <c r="C245" s="721" t="inlineStr">
        <is>
          <t>มัลติแบกซ์</t>
        </is>
      </c>
      <c r="D245" s="721" t="inlineStr">
        <is>
          <t>ท่าเรือแหลมฉบัง</t>
        </is>
      </c>
      <c r="E245" s="722" t="n">
        <v>6.2</v>
      </c>
      <c r="F245" s="719" t="inlineStr">
        <is>
          <t>Km</t>
        </is>
      </c>
      <c r="G245" s="719" t="inlineStr">
        <is>
          <t>รถเทรลเลอร์</t>
        </is>
      </c>
      <c r="H245" s="719" t="inlineStr">
        <is>
          <t>PERRIS CA, USA</t>
        </is>
      </c>
      <c r="I245" s="724" t="n">
        <v>13413</v>
      </c>
      <c r="J245" s="723" t="inlineStr">
        <is>
          <t>Km</t>
        </is>
      </c>
      <c r="K245" s="725" t="n">
        <v>3700</v>
      </c>
      <c r="L245" s="740">
        <f>M245-K245</f>
        <v/>
      </c>
      <c r="M245" s="738" t="n">
        <v>18539</v>
      </c>
      <c r="N245" s="1773" t="n">
        <v>12511.2</v>
      </c>
      <c r="O245" s="1762">
        <f>N245*E245/1000</f>
        <v/>
      </c>
      <c r="P245" s="1763">
        <f>O245/32</f>
        <v/>
      </c>
      <c r="Q245" s="1764">
        <f>N245*I245/1000</f>
        <v/>
      </c>
    </row>
    <row r="246" ht="15.75" customHeight="1">
      <c r="A246" s="728" t="inlineStr">
        <is>
          <t>FO23040016</t>
        </is>
      </c>
      <c r="B246" s="729" t="n">
        <v>45035</v>
      </c>
      <c r="C246" s="730" t="inlineStr">
        <is>
          <t>มัลติแบกซ์</t>
        </is>
      </c>
      <c r="D246" s="730" t="inlineStr">
        <is>
          <t>ท่าเรือแหลมฉบัง</t>
        </is>
      </c>
      <c r="E246" s="731" t="n">
        <v>6.2</v>
      </c>
      <c r="F246" s="728" t="inlineStr">
        <is>
          <t>Km</t>
        </is>
      </c>
      <c r="G246" s="728" t="inlineStr">
        <is>
          <t>รถเทรลเลอร์</t>
        </is>
      </c>
      <c r="H246" s="728" t="inlineStr">
        <is>
          <t>PERRIS CA, USA</t>
        </is>
      </c>
      <c r="I246" s="733" t="n">
        <v>13413</v>
      </c>
      <c r="J246" s="732" t="inlineStr">
        <is>
          <t>Km</t>
        </is>
      </c>
      <c r="K246" s="734" t="n">
        <v>3870</v>
      </c>
      <c r="L246" s="741">
        <f>M246-K246</f>
        <v/>
      </c>
      <c r="M246" s="739" t="n">
        <v>18709</v>
      </c>
      <c r="N246" s="1772" t="n">
        <v>12511.2</v>
      </c>
      <c r="O246" s="1762">
        <f>N246*E246/1000</f>
        <v/>
      </c>
      <c r="P246" s="1763">
        <f>O246/32</f>
        <v/>
      </c>
      <c r="Q246" s="1764">
        <f>N246*I246/1000</f>
        <v/>
      </c>
    </row>
    <row r="247" ht="15.75" customHeight="1">
      <c r="A247" s="719" t="inlineStr">
        <is>
          <t>FO23040017</t>
        </is>
      </c>
      <c r="B247" s="720" t="n">
        <v>45036</v>
      </c>
      <c r="C247" s="721" t="inlineStr">
        <is>
          <t>มัลติแบกซ์</t>
        </is>
      </c>
      <c r="D247" s="721" t="inlineStr">
        <is>
          <t>ท่าเรือแหลมฉบัง</t>
        </is>
      </c>
      <c r="E247" s="722" t="n">
        <v>6.2</v>
      </c>
      <c r="F247" s="719" t="inlineStr">
        <is>
          <t>Km</t>
        </is>
      </c>
      <c r="G247" s="719" t="inlineStr">
        <is>
          <t>รถเทรลเลอร์</t>
        </is>
      </c>
      <c r="H247" s="719" t="inlineStr">
        <is>
          <t>APPLETON WI , USA</t>
        </is>
      </c>
      <c r="I247" s="724" t="n">
        <v>13558</v>
      </c>
      <c r="J247" s="723" t="inlineStr">
        <is>
          <t>Km</t>
        </is>
      </c>
      <c r="K247" s="725" t="n">
        <v>3830</v>
      </c>
      <c r="L247" s="740">
        <f>M247-K247</f>
        <v/>
      </c>
      <c r="M247" s="738" t="n">
        <v>18669</v>
      </c>
      <c r="N247" s="1773" t="n">
        <v>12511.2</v>
      </c>
      <c r="O247" s="1762">
        <f>N247*E247/1000</f>
        <v/>
      </c>
      <c r="P247" s="1763">
        <f>O247/32</f>
        <v/>
      </c>
      <c r="Q247" s="1764">
        <f>N247*I247/1000</f>
        <v/>
      </c>
    </row>
    <row r="248" ht="15.75" customHeight="1">
      <c r="A248" s="728" t="inlineStr">
        <is>
          <t>FO23040018</t>
        </is>
      </c>
      <c r="B248" s="729" t="n">
        <v>45035</v>
      </c>
      <c r="C248" s="730" t="inlineStr">
        <is>
          <t>มัลติแบกซ์</t>
        </is>
      </c>
      <c r="D248" s="730" t="inlineStr">
        <is>
          <t>ท่าเรือแหลมฉบัง</t>
        </is>
      </c>
      <c r="E248" s="731" t="n">
        <v>6.2</v>
      </c>
      <c r="F248" s="728" t="inlineStr">
        <is>
          <t>Km</t>
        </is>
      </c>
      <c r="G248" s="728" t="inlineStr">
        <is>
          <t>รถเทรลเลอร์</t>
        </is>
      </c>
      <c r="H248" s="728" t="inlineStr">
        <is>
          <t>CARROLLTON TX, USA</t>
        </is>
      </c>
      <c r="I248" s="733" t="n">
        <v>14544</v>
      </c>
      <c r="J248" s="732" t="inlineStr">
        <is>
          <t>Km</t>
        </is>
      </c>
      <c r="K248" s="734" t="n">
        <v>3860</v>
      </c>
      <c r="L248" s="741">
        <f>M248-K248</f>
        <v/>
      </c>
      <c r="M248" s="739" t="n">
        <v>18699</v>
      </c>
      <c r="N248" s="1772" t="n">
        <v>12511.2</v>
      </c>
      <c r="O248" s="1762">
        <f>N248*E248/1000</f>
        <v/>
      </c>
      <c r="P248" s="1763">
        <f>O248/32</f>
        <v/>
      </c>
      <c r="Q248" s="1764">
        <f>N248*I248/1000</f>
        <v/>
      </c>
    </row>
    <row r="249" ht="15.75" customHeight="1">
      <c r="A249" s="719" t="inlineStr">
        <is>
          <t>FO23040019</t>
        </is>
      </c>
      <c r="B249" s="720" t="n">
        <v>45035</v>
      </c>
      <c r="C249" s="721" t="inlineStr">
        <is>
          <t>มัลติแบกซ์</t>
        </is>
      </c>
      <c r="D249" s="721" t="inlineStr">
        <is>
          <t>ท่าเรือแหลมฉบัง</t>
        </is>
      </c>
      <c r="E249" s="722" t="n">
        <v>6</v>
      </c>
      <c r="F249" s="719" t="inlineStr">
        <is>
          <t>Km</t>
        </is>
      </c>
      <c r="G249" s="719" t="inlineStr">
        <is>
          <t>รถเทรลเลอร์</t>
        </is>
      </c>
      <c r="H249" s="719" t="inlineStr">
        <is>
          <t>SHUWAIKH, KUWAIT</t>
        </is>
      </c>
      <c r="I249" s="724" t="n">
        <v>5727</v>
      </c>
      <c r="J249" s="723" t="inlineStr">
        <is>
          <t>Km</t>
        </is>
      </c>
      <c r="K249" s="725" t="n">
        <v>2150</v>
      </c>
      <c r="L249" s="740">
        <f>M249-K249</f>
        <v/>
      </c>
      <c r="M249" s="738" t="n">
        <v>6551.95</v>
      </c>
      <c r="N249" s="1773" t="n">
        <v>3377.16</v>
      </c>
      <c r="O249" s="1762">
        <f>N249*E249/1000</f>
        <v/>
      </c>
      <c r="P249" s="1763">
        <f>O249/32</f>
        <v/>
      </c>
      <c r="Q249" s="1764">
        <f>N249*I249/1000</f>
        <v/>
      </c>
    </row>
    <row r="250" ht="15.75" customHeight="1">
      <c r="A250" s="728" t="inlineStr">
        <is>
          <t>FO23040020</t>
        </is>
      </c>
      <c r="B250" s="729" t="n">
        <v>45038</v>
      </c>
      <c r="C250" s="730" t="inlineStr">
        <is>
          <t>มัลติแบกซ์</t>
        </is>
      </c>
      <c r="D250" s="730" t="inlineStr">
        <is>
          <t>ท่าเรือแหลมฉบัง</t>
        </is>
      </c>
      <c r="E250" s="731" t="n">
        <v>6.5</v>
      </c>
      <c r="F250" s="728" t="inlineStr">
        <is>
          <t>Km</t>
        </is>
      </c>
      <c r="G250" s="728" t="inlineStr">
        <is>
          <t>รถเทรลเลอร์</t>
        </is>
      </c>
      <c r="H250" s="728" t="inlineStr">
        <is>
          <t>SOUTH BOSTON VA, USA</t>
        </is>
      </c>
      <c r="I250" s="733" t="n">
        <v>13787</v>
      </c>
      <c r="J250" s="732" t="inlineStr">
        <is>
          <t>Km</t>
        </is>
      </c>
      <c r="K250" s="734" t="n">
        <v>3700</v>
      </c>
      <c r="L250" s="741">
        <f>M250-K250</f>
        <v/>
      </c>
      <c r="M250" s="1771" t="n">
        <v>22468</v>
      </c>
      <c r="N250" s="1772" t="n">
        <v>15270</v>
      </c>
      <c r="O250" s="1762">
        <f>N250*E250/1000</f>
        <v/>
      </c>
      <c r="P250" s="1763">
        <f>O250/32</f>
        <v/>
      </c>
      <c r="Q250" s="1764">
        <f>N250*I250/1000</f>
        <v/>
      </c>
    </row>
    <row r="251" ht="15.75" customHeight="1">
      <c r="A251" s="719" t="inlineStr">
        <is>
          <t>FO23040021</t>
        </is>
      </c>
      <c r="B251" s="720" t="n">
        <v>45048</v>
      </c>
      <c r="C251" s="721" t="inlineStr">
        <is>
          <t>มัลติแบกซ์</t>
        </is>
      </c>
      <c r="D251" s="721" t="inlineStr">
        <is>
          <t>ท่าเรือแหลมฉบัง</t>
        </is>
      </c>
      <c r="E251" s="722" t="n">
        <v>6.2</v>
      </c>
      <c r="F251" s="719" t="inlineStr">
        <is>
          <t>Km</t>
        </is>
      </c>
      <c r="G251" s="719" t="inlineStr">
        <is>
          <t>รถเทรลเลอร์</t>
        </is>
      </c>
      <c r="H251" s="719" t="inlineStr">
        <is>
          <t>AUCKLAND, NEW ZEALAND</t>
        </is>
      </c>
      <c r="I251" s="724" t="n">
        <v>9486</v>
      </c>
      <c r="J251" s="723" t="inlineStr">
        <is>
          <t>Km</t>
        </is>
      </c>
      <c r="K251" s="725" t="n">
        <v>3810</v>
      </c>
      <c r="L251" s="740" t="n">
        <v>20414.9</v>
      </c>
      <c r="M251" s="1769" t="n">
        <v>24224.9</v>
      </c>
      <c r="N251" s="1773" t="n">
        <v>15325.4</v>
      </c>
      <c r="O251" s="1762">
        <f>N251*E251/1000</f>
        <v/>
      </c>
      <c r="P251" s="1763">
        <f>O251/32</f>
        <v/>
      </c>
      <c r="Q251" s="1764">
        <f>N251*I251/1000</f>
        <v/>
      </c>
    </row>
    <row r="252" ht="15.75" customHeight="1">
      <c r="A252" s="728" t="inlineStr">
        <is>
          <t>FO23040022</t>
        </is>
      </c>
      <c r="B252" s="729" t="n">
        <v>45048</v>
      </c>
      <c r="C252" s="730" t="inlineStr">
        <is>
          <t>มัลติแบกซ์</t>
        </is>
      </c>
      <c r="D252" s="730" t="inlineStr">
        <is>
          <t>ท่าเรือแหลมฉบัง</t>
        </is>
      </c>
      <c r="E252" s="731" t="n">
        <v>6.2</v>
      </c>
      <c r="F252" s="728" t="inlineStr">
        <is>
          <t>Km</t>
        </is>
      </c>
      <c r="G252" s="728" t="inlineStr">
        <is>
          <t>รถเทรลเลอร์</t>
        </is>
      </c>
      <c r="H252" s="728" t="inlineStr">
        <is>
          <t>AUCKLAND, NEW ZEALAND</t>
        </is>
      </c>
      <c r="I252" s="733" t="n">
        <v>9486</v>
      </c>
      <c r="J252" s="732" t="inlineStr">
        <is>
          <t>Km</t>
        </is>
      </c>
      <c r="K252" s="734" t="n">
        <v>3700</v>
      </c>
      <c r="L252" s="741" t="n">
        <v>20834.6</v>
      </c>
      <c r="M252" s="1771" t="n">
        <v>24534.6</v>
      </c>
      <c r="N252" s="1772" t="n">
        <v>17383.1</v>
      </c>
      <c r="O252" s="1762">
        <f>N252*E252/1000</f>
        <v/>
      </c>
      <c r="P252" s="1763">
        <f>O252/32</f>
        <v/>
      </c>
      <c r="Q252" s="1764">
        <f>N252*I252/1000</f>
        <v/>
      </c>
    </row>
    <row r="253" ht="15.75" customHeight="1">
      <c r="A253" s="719" t="inlineStr">
        <is>
          <t>FO23040023</t>
        </is>
      </c>
      <c r="B253" s="720" t="n">
        <v>45048</v>
      </c>
      <c r="C253" s="721" t="inlineStr">
        <is>
          <t>มัลติแบกซ์</t>
        </is>
      </c>
      <c r="D253" s="721" t="inlineStr">
        <is>
          <t>ท่าเรือแหลมฉบัง</t>
        </is>
      </c>
      <c r="E253" s="722" t="n">
        <v>6.2</v>
      </c>
      <c r="F253" s="719" t="inlineStr">
        <is>
          <t>Km</t>
        </is>
      </c>
      <c r="G253" s="719" t="inlineStr">
        <is>
          <t>รถเทรลเลอร์</t>
        </is>
      </c>
      <c r="H253" s="719" t="inlineStr">
        <is>
          <t>AUCKLAND, NEW ZEALAND</t>
        </is>
      </c>
      <c r="I253" s="724" t="n">
        <v>9486</v>
      </c>
      <c r="J253" s="723" t="inlineStr">
        <is>
          <t>Km</t>
        </is>
      </c>
      <c r="K253" s="725" t="n">
        <v>3700</v>
      </c>
      <c r="L253" s="740" t="n">
        <v>19709</v>
      </c>
      <c r="M253" s="1769" t="n">
        <v>23409</v>
      </c>
      <c r="N253" s="1773" t="n">
        <v>16584.5</v>
      </c>
      <c r="O253" s="1762">
        <f>N253*E253/1000</f>
        <v/>
      </c>
      <c r="P253" s="1763">
        <f>O253/32</f>
        <v/>
      </c>
      <c r="Q253" s="1764">
        <f>N253*I253/1000</f>
        <v/>
      </c>
    </row>
    <row r="254" ht="15.75" customHeight="1">
      <c r="A254" s="728" t="inlineStr">
        <is>
          <t>FO23040024</t>
        </is>
      </c>
      <c r="B254" s="729" t="n">
        <v>45043</v>
      </c>
      <c r="C254" s="730" t="inlineStr">
        <is>
          <t>มัลติแบกซ์</t>
        </is>
      </c>
      <c r="D254" s="730" t="inlineStr">
        <is>
          <t>ท่าเรือแหลมฉบัง</t>
        </is>
      </c>
      <c r="E254" s="731" t="n">
        <v>6.5</v>
      </c>
      <c r="F254" s="728" t="inlineStr">
        <is>
          <t>Km</t>
        </is>
      </c>
      <c r="G254" s="728" t="inlineStr">
        <is>
          <t>รถเทรลเลอร์</t>
        </is>
      </c>
      <c r="H254" s="728" t="inlineStr">
        <is>
          <t>HELSINGBORG, SWEDEN</t>
        </is>
      </c>
      <c r="I254" s="733" t="n">
        <v>8687</v>
      </c>
      <c r="J254" s="732" t="inlineStr">
        <is>
          <t>Km</t>
        </is>
      </c>
      <c r="K254" s="734" t="n">
        <v>4000</v>
      </c>
      <c r="L254" s="741">
        <f>M254-K254</f>
        <v/>
      </c>
      <c r="M254" s="739" t="n">
        <v>17717.9</v>
      </c>
      <c r="N254" s="1772" t="n">
        <v>11188.4</v>
      </c>
      <c r="O254" s="1762">
        <f>N254*E254/1000</f>
        <v/>
      </c>
      <c r="P254" s="1763">
        <f>O254/32</f>
        <v/>
      </c>
      <c r="Q254" s="1764">
        <f>N254*I254/1000</f>
        <v/>
      </c>
    </row>
    <row r="255" ht="15.75" customHeight="1">
      <c r="A255" s="719" t="inlineStr">
        <is>
          <t>FO23040025</t>
        </is>
      </c>
      <c r="B255" s="720" t="n">
        <v>45035</v>
      </c>
      <c r="C255" s="721" t="inlineStr">
        <is>
          <t>มัลติแบกซ์</t>
        </is>
      </c>
      <c r="D255" s="721" t="inlineStr">
        <is>
          <t>ท่าเรือแหลมฉบัง</t>
        </is>
      </c>
      <c r="E255" s="722" t="n">
        <v>6</v>
      </c>
      <c r="F255" s="719" t="inlineStr">
        <is>
          <t>Km</t>
        </is>
      </c>
      <c r="G255" s="719" t="inlineStr">
        <is>
          <t>รถเทรลเลอร์</t>
        </is>
      </c>
      <c r="H255" s="719" t="inlineStr">
        <is>
          <t>SINGAPORE</t>
        </is>
      </c>
      <c r="I255" s="724" t="n">
        <v>1931</v>
      </c>
      <c r="J255" s="723" t="inlineStr">
        <is>
          <t>Km</t>
        </is>
      </c>
      <c r="K255" s="725" t="n">
        <v>2220</v>
      </c>
      <c r="L255" s="740">
        <f>M255-K255</f>
        <v/>
      </c>
      <c r="M255" s="1769" t="n">
        <v>8348</v>
      </c>
      <c r="N255" s="1773" t="n">
        <v>5214</v>
      </c>
      <c r="O255" s="1762">
        <f>N255*E255/1000</f>
        <v/>
      </c>
      <c r="P255" s="1763">
        <f>O255/32</f>
        <v/>
      </c>
      <c r="Q255" s="1764">
        <f>N255*I255/1000</f>
        <v/>
      </c>
    </row>
    <row r="256" ht="15.75" customHeight="1">
      <c r="A256" s="728" t="inlineStr">
        <is>
          <t>FO23040026</t>
        </is>
      </c>
      <c r="B256" s="729" t="n">
        <v>45036</v>
      </c>
      <c r="C256" s="730" t="inlineStr">
        <is>
          <t>มัลติแบกซ์</t>
        </is>
      </c>
      <c r="D256" s="730" t="inlineStr">
        <is>
          <t>ท่าเรือแหลมฉบัง</t>
        </is>
      </c>
      <c r="E256" s="731" t="n">
        <v>6.2</v>
      </c>
      <c r="F256" s="728" t="inlineStr">
        <is>
          <t>Km</t>
        </is>
      </c>
      <c r="G256" s="728" t="inlineStr">
        <is>
          <t>รถเทรลเลอร์</t>
        </is>
      </c>
      <c r="H256" s="728" t="inlineStr">
        <is>
          <t>SANTA TERESA, NM USA</t>
        </is>
      </c>
      <c r="I256" s="733" t="n">
        <v>17387</v>
      </c>
      <c r="J256" s="732" t="inlineStr">
        <is>
          <t>Km</t>
        </is>
      </c>
      <c r="K256" s="734" t="n">
        <v>3840</v>
      </c>
      <c r="L256" s="741">
        <f>M256-K256</f>
        <v/>
      </c>
      <c r="M256" s="1771" t="n">
        <v>22614.99</v>
      </c>
      <c r="N256" s="1772" t="n">
        <v>16468.87</v>
      </c>
      <c r="O256" s="1762">
        <f>N256*E256/1000</f>
        <v/>
      </c>
      <c r="P256" s="1763">
        <f>O256/32</f>
        <v/>
      </c>
      <c r="Q256" s="1764">
        <f>N256*I256/1000</f>
        <v/>
      </c>
    </row>
    <row r="257" ht="15.75" customHeight="1">
      <c r="A257" s="719" t="inlineStr">
        <is>
          <t>FO23040027</t>
        </is>
      </c>
      <c r="B257" s="720" t="n">
        <v>45036</v>
      </c>
      <c r="C257" s="721" t="inlineStr">
        <is>
          <t>มัลติแบกซ์</t>
        </is>
      </c>
      <c r="D257" s="721" t="inlineStr">
        <is>
          <t>ท่าเรือแหลมฉบัง</t>
        </is>
      </c>
      <c r="E257" s="722" t="n">
        <v>7.1</v>
      </c>
      <c r="F257" s="719" t="inlineStr">
        <is>
          <t>Km</t>
        </is>
      </c>
      <c r="G257" s="719" t="inlineStr">
        <is>
          <t>รถเทรลเลอร์</t>
        </is>
      </c>
      <c r="H257" s="719" t="inlineStr">
        <is>
          <t>KLANG, MALAYSIA</t>
        </is>
      </c>
      <c r="I257" s="724" t="n">
        <v>1588</v>
      </c>
      <c r="J257" s="723" t="inlineStr">
        <is>
          <t>Km</t>
        </is>
      </c>
      <c r="K257" s="725" t="n">
        <v>3700</v>
      </c>
      <c r="L257" s="740">
        <f>M257-K257</f>
        <v/>
      </c>
      <c r="M257" s="738" t="n">
        <v>13274.6</v>
      </c>
      <c r="N257" s="1773" t="n">
        <v>6697.4</v>
      </c>
      <c r="O257" s="1762">
        <f>N257*E257/1000</f>
        <v/>
      </c>
      <c r="P257" s="1763">
        <f>O257/32</f>
        <v/>
      </c>
      <c r="Q257" s="1764">
        <f>N257*I257/1000</f>
        <v/>
      </c>
    </row>
    <row r="258" ht="15.75" customHeight="1">
      <c r="A258" s="728" t="inlineStr">
        <is>
          <t>FO23040028</t>
        </is>
      </c>
      <c r="B258" s="729" t="n">
        <v>45041</v>
      </c>
      <c r="C258" s="730" t="inlineStr">
        <is>
          <t>มัลติแบกซ์</t>
        </is>
      </c>
      <c r="D258" s="730" t="inlineStr">
        <is>
          <t>ท่าเรือแหลมฉบัง</t>
        </is>
      </c>
      <c r="E258" s="731" t="n">
        <v>6.2</v>
      </c>
      <c r="F258" s="728" t="inlineStr">
        <is>
          <t>Km</t>
        </is>
      </c>
      <c r="G258" s="728" t="inlineStr">
        <is>
          <t>รถเทรลเลอร์</t>
        </is>
      </c>
      <c r="H258" s="728" t="inlineStr">
        <is>
          <t>MELBOURNE, AUSTRALIA</t>
        </is>
      </c>
      <c r="I258" s="733" t="n">
        <v>7283</v>
      </c>
      <c r="J258" s="732" t="inlineStr">
        <is>
          <t>Km</t>
        </is>
      </c>
      <c r="K258" s="734" t="n">
        <v>3870</v>
      </c>
      <c r="L258" s="741">
        <f>M258-K258</f>
        <v/>
      </c>
      <c r="M258" s="739" t="n">
        <v>13827</v>
      </c>
      <c r="N258" s="1772" t="n">
        <v>5262</v>
      </c>
      <c r="O258" s="1762">
        <f>N258*E258/1000</f>
        <v/>
      </c>
      <c r="P258" s="1763">
        <f>O258/32</f>
        <v/>
      </c>
      <c r="Q258" s="1764">
        <f>N258*I258/1000</f>
        <v/>
      </c>
    </row>
    <row r="259" ht="15.75" customHeight="1">
      <c r="A259" s="719" t="inlineStr">
        <is>
          <t>FO23040029</t>
        </is>
      </c>
      <c r="B259" s="720" t="n">
        <v>45041</v>
      </c>
      <c r="C259" s="721" t="inlineStr">
        <is>
          <t>มัลติแบกซ์</t>
        </is>
      </c>
      <c r="D259" s="721" t="inlineStr">
        <is>
          <t>ท่าเรือแหลมฉบัง</t>
        </is>
      </c>
      <c r="E259" s="722" t="n">
        <v>6.2</v>
      </c>
      <c r="F259" s="719" t="inlineStr">
        <is>
          <t>Km</t>
        </is>
      </c>
      <c r="G259" s="719" t="inlineStr">
        <is>
          <t>รถเทรลเลอร์</t>
        </is>
      </c>
      <c r="H259" s="719" t="inlineStr">
        <is>
          <t>MELBOURNE, AUSTRALIA</t>
        </is>
      </c>
      <c r="I259" s="724" t="n">
        <v>7283</v>
      </c>
      <c r="J259" s="723" t="inlineStr">
        <is>
          <t>Km</t>
        </is>
      </c>
      <c r="K259" s="725" t="n">
        <v>2150</v>
      </c>
      <c r="L259" s="740">
        <f>M259-K259</f>
        <v/>
      </c>
      <c r="M259" s="738" t="n">
        <v>8402</v>
      </c>
      <c r="N259" s="1773" t="n">
        <v>3454</v>
      </c>
      <c r="O259" s="1762">
        <f>N259*E259/1000</f>
        <v/>
      </c>
      <c r="P259" s="1763">
        <f>O259/32</f>
        <v/>
      </c>
      <c r="Q259" s="1764">
        <f>N259*I259/1000</f>
        <v/>
      </c>
    </row>
    <row r="260" ht="15.75" customHeight="1">
      <c r="A260" s="728" t="inlineStr">
        <is>
          <t>FO23040030</t>
        </is>
      </c>
      <c r="B260" s="729" t="n">
        <v>45043</v>
      </c>
      <c r="C260" s="730" t="inlineStr">
        <is>
          <t>มัลติแบกซ์</t>
        </is>
      </c>
      <c r="D260" s="730" t="inlineStr">
        <is>
          <t>ท่าเรือแหลมฉบัง</t>
        </is>
      </c>
      <c r="E260" s="731" t="n">
        <v>6.2</v>
      </c>
      <c r="F260" s="728" t="inlineStr">
        <is>
          <t>Km</t>
        </is>
      </c>
      <c r="G260" s="728" t="inlineStr">
        <is>
          <t>รถเทรลเลอร์</t>
        </is>
      </c>
      <c r="H260" s="728" t="inlineStr">
        <is>
          <t>SYDNEY, AUSTRALIA</t>
        </is>
      </c>
      <c r="I260" s="733" t="n">
        <v>7448</v>
      </c>
      <c r="J260" s="732" t="inlineStr">
        <is>
          <t>Km</t>
        </is>
      </c>
      <c r="K260" s="734" t="n">
        <v>3860</v>
      </c>
      <c r="L260" s="741">
        <f>M260-K260</f>
        <v/>
      </c>
      <c r="M260" s="739" t="n">
        <v>25937</v>
      </c>
      <c r="N260" s="1772" t="n">
        <v>16007</v>
      </c>
      <c r="O260" s="1762">
        <f>N260*E260/1000</f>
        <v/>
      </c>
      <c r="P260" s="1763">
        <f>O260/32</f>
        <v/>
      </c>
      <c r="Q260" s="1764">
        <f>N260*I260/1000</f>
        <v/>
      </c>
    </row>
    <row r="261" ht="15.75" customHeight="1">
      <c r="A261" s="719" t="inlineStr">
        <is>
          <t>FO23040031</t>
        </is>
      </c>
      <c r="B261" s="720" t="n">
        <v>45036</v>
      </c>
      <c r="C261" s="721" t="inlineStr">
        <is>
          <t>มัลติแบกซ์</t>
        </is>
      </c>
      <c r="D261" s="721" t="inlineStr">
        <is>
          <t>ท่าเรือแหลมฉบัง</t>
        </is>
      </c>
      <c r="E261" s="722" t="n">
        <v>7.1</v>
      </c>
      <c r="F261" s="719" t="inlineStr">
        <is>
          <t>Km</t>
        </is>
      </c>
      <c r="G261" s="719" t="inlineStr">
        <is>
          <t>รถเทรลเลอร์</t>
        </is>
      </c>
      <c r="H261" s="719" t="inlineStr">
        <is>
          <t>LOUISVILLE KY, USA</t>
        </is>
      </c>
      <c r="I261" s="724" t="n">
        <v>14253</v>
      </c>
      <c r="J261" s="723" t="inlineStr">
        <is>
          <t>Km</t>
        </is>
      </c>
      <c r="K261" s="725" t="n">
        <v>3870</v>
      </c>
      <c r="L261" s="740">
        <f>M261-K261</f>
        <v/>
      </c>
      <c r="M261" s="1769" t="n">
        <v>15417.38</v>
      </c>
      <c r="N261" s="1773" t="n">
        <v>8841.42</v>
      </c>
      <c r="O261" s="1762">
        <f>N261*E261/1000</f>
        <v/>
      </c>
      <c r="P261" s="1763">
        <f>O261/32</f>
        <v/>
      </c>
      <c r="Q261" s="1764">
        <f>N261*I261/1000</f>
        <v/>
      </c>
    </row>
    <row r="262" ht="15.75" customHeight="1">
      <c r="A262" s="728" t="inlineStr">
        <is>
          <t>FO23040032</t>
        </is>
      </c>
      <c r="B262" s="729" t="n">
        <v>45035</v>
      </c>
      <c r="C262" s="730" t="inlineStr">
        <is>
          <t>มัลติแบกซ์</t>
        </is>
      </c>
      <c r="D262" s="730" t="inlineStr">
        <is>
          <t>ท่าเรือแหลมฉบัง</t>
        </is>
      </c>
      <c r="E262" s="731" t="n">
        <v>6.2</v>
      </c>
      <c r="F262" s="728" t="inlineStr">
        <is>
          <t>Km</t>
        </is>
      </c>
      <c r="G262" s="728" t="inlineStr">
        <is>
          <t>รถเทรลเลอร์</t>
        </is>
      </c>
      <c r="H262" s="728" t="inlineStr">
        <is>
          <t>MANILA, PHILIPPINES</t>
        </is>
      </c>
      <c r="I262" s="733" t="n">
        <v>2167</v>
      </c>
      <c r="J262" s="732" t="inlineStr">
        <is>
          <t>Km</t>
        </is>
      </c>
      <c r="K262" s="734" t="n">
        <v>2180</v>
      </c>
      <c r="L262" s="741">
        <f>M262-K262</f>
        <v/>
      </c>
      <c r="M262" s="739" t="n">
        <v>6767.3</v>
      </c>
      <c r="N262" s="1772" t="n">
        <v>3450.2</v>
      </c>
      <c r="O262" s="1762">
        <f>N262*E262/1000</f>
        <v/>
      </c>
      <c r="P262" s="1763">
        <f>O262/32</f>
        <v/>
      </c>
      <c r="Q262" s="1764">
        <f>N262*I262/1000</f>
        <v/>
      </c>
    </row>
    <row r="263" ht="15.75" customHeight="1">
      <c r="A263" s="719" t="inlineStr">
        <is>
          <t>FO23040033</t>
        </is>
      </c>
      <c r="B263" s="720" t="n">
        <v>45043</v>
      </c>
      <c r="C263" s="721" t="inlineStr">
        <is>
          <t>มัลติแบกซ์</t>
        </is>
      </c>
      <c r="D263" s="721" t="inlineStr">
        <is>
          <t>ท่าเรือแหลมฉบัง</t>
        </is>
      </c>
      <c r="E263" s="722" t="n">
        <v>6.5</v>
      </c>
      <c r="F263" s="719" t="inlineStr">
        <is>
          <t>Km</t>
        </is>
      </c>
      <c r="G263" s="719" t="inlineStr">
        <is>
          <t>รถเทรลเลอร์</t>
        </is>
      </c>
      <c r="H263" s="719" t="inlineStr">
        <is>
          <t>UK PORT</t>
        </is>
      </c>
      <c r="I263" s="724" t="n">
        <v>9687</v>
      </c>
      <c r="J263" s="723" t="inlineStr">
        <is>
          <t>Km</t>
        </is>
      </c>
      <c r="K263" s="725" t="n">
        <v>3630</v>
      </c>
      <c r="L263" s="740">
        <f>M263-K263</f>
        <v/>
      </c>
      <c r="M263" s="738" t="n">
        <v>26466.24</v>
      </c>
      <c r="N263" s="1773" t="n">
        <v>21241.24</v>
      </c>
      <c r="O263" s="1762">
        <f>N263*E263/1000</f>
        <v/>
      </c>
      <c r="P263" s="1763">
        <f>O263/32</f>
        <v/>
      </c>
      <c r="Q263" s="1764">
        <f>N263*I263/1000</f>
        <v/>
      </c>
    </row>
    <row r="264" ht="15.75" customHeight="1">
      <c r="A264" s="728" t="inlineStr">
        <is>
          <t>FO23040034</t>
        </is>
      </c>
      <c r="B264" s="729" t="n">
        <v>45043</v>
      </c>
      <c r="C264" s="730" t="inlineStr">
        <is>
          <t>มัลติแบกซ์</t>
        </is>
      </c>
      <c r="D264" s="730" t="inlineStr">
        <is>
          <t>ท่าเรือแหลมฉบัง</t>
        </is>
      </c>
      <c r="E264" s="731" t="n">
        <v>6.5</v>
      </c>
      <c r="F264" s="728" t="inlineStr">
        <is>
          <t>Km</t>
        </is>
      </c>
      <c r="G264" s="728" t="inlineStr">
        <is>
          <t>รถเทรลเลอร์</t>
        </is>
      </c>
      <c r="H264" s="728" t="inlineStr">
        <is>
          <t>UK PORT</t>
        </is>
      </c>
      <c r="I264" s="733" t="n">
        <v>9687</v>
      </c>
      <c r="J264" s="732" t="inlineStr">
        <is>
          <t>Km</t>
        </is>
      </c>
      <c r="K264" s="734" t="n">
        <v>3660</v>
      </c>
      <c r="L264" s="741">
        <f>M264-K264</f>
        <v/>
      </c>
      <c r="M264" s="1771" t="n">
        <v>24094.7</v>
      </c>
      <c r="N264" s="1772" t="n">
        <v>19052.7</v>
      </c>
      <c r="O264" s="1762">
        <f>N264*E264/1000</f>
        <v/>
      </c>
      <c r="P264" s="1763">
        <f>O264/32</f>
        <v/>
      </c>
      <c r="Q264" s="1764">
        <f>N264*I264/1000</f>
        <v/>
      </c>
    </row>
    <row r="265" ht="15.75" customHeight="1">
      <c r="A265" s="719" t="inlineStr">
        <is>
          <t>FO23040038</t>
        </is>
      </c>
      <c r="B265" s="720" t="n">
        <v>45040</v>
      </c>
      <c r="C265" s="721" t="inlineStr">
        <is>
          <t>มัลติแบกซ์</t>
        </is>
      </c>
      <c r="D265" s="721" t="inlineStr">
        <is>
          <t>ท่าเรือแหลมฉบัง</t>
        </is>
      </c>
      <c r="E265" s="722" t="n">
        <v>11.9</v>
      </c>
      <c r="F265" s="719" t="inlineStr">
        <is>
          <t>Km</t>
        </is>
      </c>
      <c r="G265" s="719" t="inlineStr">
        <is>
          <t>รถเทรลเลอร์</t>
        </is>
      </c>
      <c r="H265" s="719" t="inlineStr">
        <is>
          <t>HONG KONG</t>
        </is>
      </c>
      <c r="I265" s="724" t="n">
        <v>1734</v>
      </c>
      <c r="J265" s="723" t="inlineStr">
        <is>
          <t>Km</t>
        </is>
      </c>
      <c r="K265" s="725" t="n">
        <v>3820</v>
      </c>
      <c r="L265" s="740">
        <f>M265-K265</f>
        <v/>
      </c>
      <c r="M265" s="738" t="n">
        <v>15461.8</v>
      </c>
      <c r="N265" s="1773" t="n">
        <v>8899.700000000001</v>
      </c>
      <c r="O265" s="1762">
        <f>N265*E265/1000</f>
        <v/>
      </c>
      <c r="P265" s="1763">
        <f>O265/32</f>
        <v/>
      </c>
      <c r="Q265" s="1764">
        <f>N265*I265/1000</f>
        <v/>
      </c>
    </row>
    <row r="266" ht="15.75" customHeight="1">
      <c r="A266" s="728" t="inlineStr">
        <is>
          <t>FO23040039</t>
        </is>
      </c>
      <c r="B266" s="729" t="n">
        <v>45043</v>
      </c>
      <c r="C266" s="730" t="inlineStr">
        <is>
          <t>มัลติแบกซ์</t>
        </is>
      </c>
      <c r="D266" s="730" t="inlineStr">
        <is>
          <t>ท่าเรือแหลมฉบัง</t>
        </is>
      </c>
      <c r="E266" s="731" t="n">
        <v>6</v>
      </c>
      <c r="F266" s="728" t="inlineStr">
        <is>
          <t>Km</t>
        </is>
      </c>
      <c r="G266" s="728" t="inlineStr">
        <is>
          <t>รถเทรลเลอร์</t>
        </is>
      </c>
      <c r="H266" s="728" t="inlineStr">
        <is>
          <t>COLUMBUS OHIO, USA</t>
        </is>
      </c>
      <c r="I266" s="733" t="n">
        <v>14000</v>
      </c>
      <c r="J266" s="732" t="inlineStr">
        <is>
          <t>Km</t>
        </is>
      </c>
      <c r="K266" s="734" t="n">
        <v>3900</v>
      </c>
      <c r="L266" s="741">
        <f>M266-K266</f>
        <v/>
      </c>
      <c r="M266" s="739" t="n">
        <v>21245.25</v>
      </c>
      <c r="N266" s="1772" t="n">
        <v>14853.81</v>
      </c>
      <c r="O266" s="1762">
        <f>N266*E266/1000</f>
        <v/>
      </c>
      <c r="P266" s="1763">
        <f>O266/32</f>
        <v/>
      </c>
      <c r="Q266" s="1764">
        <f>N266*I266/1000</f>
        <v/>
      </c>
    </row>
    <row r="267" ht="15.75" customHeight="1">
      <c r="A267" s="719" t="inlineStr">
        <is>
          <t>FO23040040</t>
        </is>
      </c>
      <c r="B267" s="720" t="n">
        <v>45044</v>
      </c>
      <c r="C267" s="721" t="inlineStr">
        <is>
          <t>มัลติแบกซ์</t>
        </is>
      </c>
      <c r="D267" s="721" t="inlineStr">
        <is>
          <t>ท่าเรือแหลมฉบัง</t>
        </is>
      </c>
      <c r="E267" s="722" t="n">
        <v>3.6</v>
      </c>
      <c r="F267" s="719" t="inlineStr">
        <is>
          <t>Km</t>
        </is>
      </c>
      <c r="G267" s="719" t="inlineStr">
        <is>
          <t>รถเทรลเลอร์</t>
        </is>
      </c>
      <c r="H267" s="719" t="inlineStr">
        <is>
          <t>BUSAN, KOREA</t>
        </is>
      </c>
      <c r="I267" s="724" t="n">
        <v>3740</v>
      </c>
      <c r="J267" s="723" t="inlineStr">
        <is>
          <t>Km</t>
        </is>
      </c>
      <c r="K267" s="725" t="n">
        <v>3830</v>
      </c>
      <c r="L267" s="740">
        <f>M267-K267</f>
        <v/>
      </c>
      <c r="M267" s="738" t="n">
        <v>10197.7</v>
      </c>
      <c r="N267" s="1773" t="n">
        <v>4439.4</v>
      </c>
      <c r="O267" s="1762">
        <f>N267*E267/1000</f>
        <v/>
      </c>
      <c r="P267" s="1763">
        <f>O267/32</f>
        <v/>
      </c>
      <c r="Q267" s="1764">
        <f>N267*I267/1000</f>
        <v/>
      </c>
    </row>
    <row r="268" ht="15.75" customHeight="1">
      <c r="A268" s="728" t="inlineStr">
        <is>
          <t>FO23040041</t>
        </is>
      </c>
      <c r="B268" s="729" t="n">
        <v>45040</v>
      </c>
      <c r="C268" s="730" t="inlineStr">
        <is>
          <t>มัลติแบกซ์</t>
        </is>
      </c>
      <c r="D268" s="730" t="inlineStr">
        <is>
          <t>ท่าเรือแหลมฉบัง</t>
        </is>
      </c>
      <c r="E268" s="731" t="n">
        <v>5.3</v>
      </c>
      <c r="F268" s="728" t="inlineStr">
        <is>
          <t>Km</t>
        </is>
      </c>
      <c r="G268" s="728" t="inlineStr">
        <is>
          <t>รถเทรลเลอร์</t>
        </is>
      </c>
      <c r="H268" s="728" t="inlineStr">
        <is>
          <t>NINGBO, CHINA</t>
        </is>
      </c>
      <c r="I268" s="733" t="n">
        <v>3824</v>
      </c>
      <c r="J268" s="732" t="inlineStr">
        <is>
          <t>Km</t>
        </is>
      </c>
      <c r="K268" s="734" t="n">
        <v>3700</v>
      </c>
      <c r="L268" s="741">
        <f>M268-K268</f>
        <v/>
      </c>
      <c r="M268" s="739" t="n">
        <v>13780.46</v>
      </c>
      <c r="N268" s="1772" t="n">
        <v>7403.4</v>
      </c>
      <c r="O268" s="1762">
        <f>N268*E268/1000</f>
        <v/>
      </c>
      <c r="P268" s="1763">
        <f>O268/32</f>
        <v/>
      </c>
      <c r="Q268" s="1764">
        <f>N268*I268/1000</f>
        <v/>
      </c>
    </row>
    <row r="269" ht="15.75" customHeight="1">
      <c r="A269" s="719" t="inlineStr">
        <is>
          <t>FO23040042</t>
        </is>
      </c>
      <c r="B269" s="720" t="n">
        <v>45040</v>
      </c>
      <c r="C269" s="721" t="inlineStr">
        <is>
          <t>มัลติแบกซ์</t>
        </is>
      </c>
      <c r="D269" s="721" t="inlineStr">
        <is>
          <t>ท่าเรือแหลมฉบัง</t>
        </is>
      </c>
      <c r="E269" s="722" t="n">
        <v>6.2</v>
      </c>
      <c r="F269" s="719" t="inlineStr">
        <is>
          <t>Km</t>
        </is>
      </c>
      <c r="G269" s="719" t="inlineStr">
        <is>
          <t>รถเทรลเลอร์</t>
        </is>
      </c>
      <c r="H269" s="719" t="inlineStr">
        <is>
          <t>SOUTH BOSTON VA, USA</t>
        </is>
      </c>
      <c r="I269" s="724" t="n">
        <v>13787</v>
      </c>
      <c r="J269" s="723" t="inlineStr">
        <is>
          <t>Km</t>
        </is>
      </c>
      <c r="K269" s="725" t="n">
        <v>3810</v>
      </c>
      <c r="L269" s="740">
        <f>M269-K269</f>
        <v/>
      </c>
      <c r="M269" s="738" t="n">
        <v>18438</v>
      </c>
      <c r="N269" s="1773" t="n">
        <v>10952</v>
      </c>
      <c r="O269" s="1762">
        <f>N269*E269/1000</f>
        <v/>
      </c>
      <c r="P269" s="1763">
        <f>O269/32</f>
        <v/>
      </c>
      <c r="Q269" s="1764">
        <f>N269*I269/1000</f>
        <v/>
      </c>
    </row>
    <row r="270" ht="15.75" customHeight="1">
      <c r="A270" s="728" t="inlineStr">
        <is>
          <t>FO23040043</t>
        </is>
      </c>
      <c r="B270" s="729" t="inlineStr">
        <is>
          <t>27/04/203</t>
        </is>
      </c>
      <c r="C270" s="730" t="inlineStr">
        <is>
          <t>มัลติแบกซ์</t>
        </is>
      </c>
      <c r="D270" s="730" t="inlineStr">
        <is>
          <t>ท่าเรือแหลมฉบัง</t>
        </is>
      </c>
      <c r="E270" s="731" t="n">
        <v>6.5</v>
      </c>
      <c r="F270" s="728" t="inlineStr">
        <is>
          <t>Km</t>
        </is>
      </c>
      <c r="G270" s="728" t="inlineStr">
        <is>
          <t>รถเทรลเลอร์</t>
        </is>
      </c>
      <c r="H270" s="728" t="inlineStr">
        <is>
          <t>SANTA TERESA, NM USA</t>
        </is>
      </c>
      <c r="I270" s="733" t="n">
        <v>17387</v>
      </c>
      <c r="J270" s="732" t="inlineStr">
        <is>
          <t>Km</t>
        </is>
      </c>
      <c r="K270" s="734" t="n">
        <v>3840</v>
      </c>
      <c r="L270" s="741">
        <f>M270-K270</f>
        <v/>
      </c>
      <c r="M270" s="739" t="n">
        <v>22295.66</v>
      </c>
      <c r="N270" s="1772" t="n">
        <v>15983.28</v>
      </c>
      <c r="O270" s="1762">
        <f>N270*E270/1000</f>
        <v/>
      </c>
      <c r="P270" s="1763">
        <f>O270/32</f>
        <v/>
      </c>
      <c r="Q270" s="1764">
        <f>N270*I270/1000</f>
        <v/>
      </c>
    </row>
    <row r="271" ht="15.75" customHeight="1">
      <c r="A271" s="719" t="inlineStr">
        <is>
          <t>FO23040044</t>
        </is>
      </c>
      <c r="B271" s="720" t="n">
        <v>45042</v>
      </c>
      <c r="C271" s="721" t="inlineStr">
        <is>
          <t>มัลติแบกซ์</t>
        </is>
      </c>
      <c r="D271" s="721" t="inlineStr">
        <is>
          <t>ท่าเรือแหลมฉบัง</t>
        </is>
      </c>
      <c r="E271" s="722" t="n">
        <v>6.2</v>
      </c>
      <c r="F271" s="719" t="inlineStr">
        <is>
          <t>Km</t>
        </is>
      </c>
      <c r="G271" s="719" t="inlineStr">
        <is>
          <t>รถเทรลเลอร์</t>
        </is>
      </c>
      <c r="H271" s="719" t="inlineStr">
        <is>
          <t>APPLETON WI , USA</t>
        </is>
      </c>
      <c r="I271" s="724" t="n">
        <v>13558</v>
      </c>
      <c r="J271" s="723" t="inlineStr">
        <is>
          <t>Km</t>
        </is>
      </c>
      <c r="K271" s="725" t="n">
        <v>3810</v>
      </c>
      <c r="L271" s="740">
        <f>M271-K271</f>
        <v/>
      </c>
      <c r="M271" s="738" t="n">
        <v>18773</v>
      </c>
      <c r="N271" s="1773" t="n">
        <v>12158</v>
      </c>
      <c r="O271" s="1762">
        <f>N271*E271/1000</f>
        <v/>
      </c>
      <c r="P271" s="1763">
        <f>O271/32</f>
        <v/>
      </c>
      <c r="Q271" s="1764">
        <f>N271*I271/1000</f>
        <v/>
      </c>
    </row>
    <row r="272" ht="15.75" customHeight="1">
      <c r="A272" s="728" t="inlineStr">
        <is>
          <t>FO23040045</t>
        </is>
      </c>
      <c r="B272" s="729" t="n">
        <v>45042</v>
      </c>
      <c r="C272" s="730" t="inlineStr">
        <is>
          <t>มัลติแบกซ์</t>
        </is>
      </c>
      <c r="D272" s="730" t="inlineStr">
        <is>
          <t>ท่าเรือแหลมฉบัง</t>
        </is>
      </c>
      <c r="E272" s="731" t="n">
        <v>6.2</v>
      </c>
      <c r="F272" s="728" t="inlineStr">
        <is>
          <t>Km</t>
        </is>
      </c>
      <c r="G272" s="728" t="inlineStr">
        <is>
          <t>รถเทรลเลอร์</t>
        </is>
      </c>
      <c r="H272" s="728" t="inlineStr">
        <is>
          <t>APPLETON WI , USA</t>
        </is>
      </c>
      <c r="I272" s="733" t="n">
        <v>13558</v>
      </c>
      <c r="J272" s="732" t="inlineStr">
        <is>
          <t>Km</t>
        </is>
      </c>
      <c r="K272" s="734" t="n">
        <v>3840</v>
      </c>
      <c r="L272" s="741">
        <f>M272-K272</f>
        <v/>
      </c>
      <c r="M272" s="739" t="n">
        <v>16747.5</v>
      </c>
      <c r="N272" s="1772" t="n">
        <v>10159.5</v>
      </c>
      <c r="O272" s="1762">
        <f>N272*E272/1000</f>
        <v/>
      </c>
      <c r="P272" s="1763">
        <f>O272/32</f>
        <v/>
      </c>
      <c r="Q272" s="1764">
        <f>N272*I272/1000</f>
        <v/>
      </c>
    </row>
    <row r="273" ht="15.75" customHeight="1">
      <c r="A273" s="719" t="inlineStr">
        <is>
          <t>FO23040046</t>
        </is>
      </c>
      <c r="B273" s="720" t="n">
        <v>45043</v>
      </c>
      <c r="C273" s="721" t="inlineStr">
        <is>
          <t>มัลติแบกซ์</t>
        </is>
      </c>
      <c r="D273" s="721" t="inlineStr">
        <is>
          <t>ท่าเรือแหลมฉบัง</t>
        </is>
      </c>
      <c r="E273" s="722" t="n">
        <v>6.5</v>
      </c>
      <c r="F273" s="719" t="inlineStr">
        <is>
          <t>Km</t>
        </is>
      </c>
      <c r="G273" s="719" t="inlineStr">
        <is>
          <t>รถเทรลเลอร์</t>
        </is>
      </c>
      <c r="H273" s="719" t="inlineStr">
        <is>
          <t>LOUISVILLE KY, USA</t>
        </is>
      </c>
      <c r="I273" s="724" t="n">
        <v>14253</v>
      </c>
      <c r="J273" s="723" t="inlineStr">
        <is>
          <t>Km</t>
        </is>
      </c>
      <c r="K273" s="725" t="n">
        <v>3890</v>
      </c>
      <c r="L273" s="740">
        <f>M273-K273</f>
        <v/>
      </c>
      <c r="M273" s="738" t="n">
        <v>14492.8</v>
      </c>
      <c r="N273" s="1773" t="n">
        <v>7899.29</v>
      </c>
      <c r="O273" s="1762">
        <f>N273*E273/1000</f>
        <v/>
      </c>
      <c r="P273" s="1763">
        <f>O273/32</f>
        <v/>
      </c>
      <c r="Q273" s="1764">
        <f>N273*I273/1000</f>
        <v/>
      </c>
    </row>
    <row r="274" ht="15.75" customHeight="1">
      <c r="A274" s="728" t="inlineStr">
        <is>
          <t>FO23040047</t>
        </is>
      </c>
      <c r="B274" s="729" t="n">
        <v>45043</v>
      </c>
      <c r="C274" s="730" t="inlineStr">
        <is>
          <t>มัลติแบกซ์</t>
        </is>
      </c>
      <c r="D274" s="730" t="inlineStr">
        <is>
          <t>ท่าเรือแหลมฉบัง</t>
        </is>
      </c>
      <c r="E274" s="731" t="n">
        <v>6</v>
      </c>
      <c r="F274" s="728" t="inlineStr">
        <is>
          <t>Km</t>
        </is>
      </c>
      <c r="G274" s="728" t="inlineStr">
        <is>
          <t>รถเทรลเลอร์</t>
        </is>
      </c>
      <c r="H274" s="728" t="inlineStr">
        <is>
          <t>SAN JUAN, PUERTO RICO</t>
        </is>
      </c>
      <c r="I274" s="733" t="n">
        <v>9292</v>
      </c>
      <c r="J274" s="732" t="inlineStr">
        <is>
          <t>Km</t>
        </is>
      </c>
      <c r="K274" s="734" t="n">
        <v>3850</v>
      </c>
      <c r="L274" s="741">
        <f>M274-K274</f>
        <v/>
      </c>
      <c r="M274" s="739" t="n">
        <v>15268</v>
      </c>
      <c r="N274" s="1772" t="n">
        <v>7386</v>
      </c>
      <c r="O274" s="1762">
        <f>N274*E274/1000</f>
        <v/>
      </c>
      <c r="P274" s="1763">
        <f>O274/32</f>
        <v/>
      </c>
      <c r="Q274" s="1764">
        <f>N274*I274/1000</f>
        <v/>
      </c>
    </row>
    <row r="275" ht="15.75" customHeight="1">
      <c r="A275" s="719" t="inlineStr">
        <is>
          <t>FO23040048</t>
        </is>
      </c>
      <c r="B275" s="720" t="n">
        <v>45043</v>
      </c>
      <c r="C275" s="721" t="inlineStr">
        <is>
          <t>มัลติแบกซ์</t>
        </is>
      </c>
      <c r="D275" s="721" t="inlineStr">
        <is>
          <t>ท่าเรือแหลมฉบัง</t>
        </is>
      </c>
      <c r="E275" s="722" t="n">
        <v>6</v>
      </c>
      <c r="F275" s="719" t="inlineStr">
        <is>
          <t>Km</t>
        </is>
      </c>
      <c r="G275" s="719" t="inlineStr">
        <is>
          <t>รถเทรลเลอร์</t>
        </is>
      </c>
      <c r="H275" s="719" t="inlineStr">
        <is>
          <t>SAN JUAN, PUERTO RICO</t>
        </is>
      </c>
      <c r="I275" s="724" t="n">
        <v>9292</v>
      </c>
      <c r="J275" s="723" t="inlineStr">
        <is>
          <t>Km</t>
        </is>
      </c>
      <c r="K275" s="725" t="n">
        <v>3750</v>
      </c>
      <c r="L275" s="740">
        <f>M275-K275</f>
        <v/>
      </c>
      <c r="M275" s="738" t="n">
        <v>15168</v>
      </c>
      <c r="N275" s="1773" t="n">
        <v>7386</v>
      </c>
      <c r="O275" s="1762">
        <f>N275*E275/1000</f>
        <v/>
      </c>
      <c r="P275" s="1763">
        <f>O275/32</f>
        <v/>
      </c>
      <c r="Q275" s="1764">
        <f>N275*I275/1000</f>
        <v/>
      </c>
    </row>
    <row r="276" ht="15.75" customHeight="1">
      <c r="A276" s="728" t="inlineStr">
        <is>
          <t>FO23040049</t>
        </is>
      </c>
      <c r="B276" s="729" t="n">
        <v>45044</v>
      </c>
      <c r="C276" s="730" t="inlineStr">
        <is>
          <t>มัลติแบกซ์</t>
        </is>
      </c>
      <c r="D276" s="730" t="inlineStr">
        <is>
          <t>ท่าเรือแหลมฉบัง</t>
        </is>
      </c>
      <c r="E276" s="731" t="n">
        <v>7.5</v>
      </c>
      <c r="F276" s="728" t="inlineStr">
        <is>
          <t>Km</t>
        </is>
      </c>
      <c r="G276" s="728" t="inlineStr">
        <is>
          <t>รถเทรลเลอร์</t>
        </is>
      </c>
      <c r="H276" s="728" t="inlineStr">
        <is>
          <t>SINGAPORE</t>
        </is>
      </c>
      <c r="I276" s="733" t="n">
        <v>1931</v>
      </c>
      <c r="J276" s="732" t="inlineStr">
        <is>
          <t>Km</t>
        </is>
      </c>
      <c r="K276" s="734" t="n">
        <v>5393.6</v>
      </c>
      <c r="L276" s="741">
        <f>M276-K276</f>
        <v/>
      </c>
      <c r="M276" s="1771" t="n">
        <v>6361.6</v>
      </c>
      <c r="N276" s="1772" t="n">
        <v>5393.6</v>
      </c>
      <c r="O276" s="1762">
        <f>N276*E276/1000</f>
        <v/>
      </c>
      <c r="P276" s="1763">
        <f>O276/32</f>
        <v/>
      </c>
      <c r="Q276" s="1764">
        <f>N276*I276/1000</f>
        <v/>
      </c>
    </row>
    <row r="277" ht="15.75" customHeight="1">
      <c r="A277" s="719" t="inlineStr">
        <is>
          <t>FO23040050</t>
        </is>
      </c>
      <c r="B277" s="720" t="n">
        <v>45044</v>
      </c>
      <c r="C277" s="721" t="inlineStr">
        <is>
          <t>มัลติแบกซ์</t>
        </is>
      </c>
      <c r="D277" s="721" t="inlineStr">
        <is>
          <t>ท่าเรือแหลมฉบัง</t>
        </is>
      </c>
      <c r="E277" s="722" t="n">
        <v>7.1</v>
      </c>
      <c r="F277" s="719" t="inlineStr">
        <is>
          <t>Km</t>
        </is>
      </c>
      <c r="G277" s="719" t="inlineStr">
        <is>
          <t>รถเทรลเลอร์</t>
        </is>
      </c>
      <c r="H277" s="719" t="inlineStr">
        <is>
          <t>UNIVERSITY PARK IL, USA</t>
        </is>
      </c>
      <c r="I277" s="724" t="n">
        <v>13877</v>
      </c>
      <c r="J277" s="723" t="inlineStr">
        <is>
          <t>Km</t>
        </is>
      </c>
      <c r="K277" s="725" t="n">
        <v>3840</v>
      </c>
      <c r="L277" s="740">
        <f>M277-K277</f>
        <v/>
      </c>
      <c r="M277" s="1769" t="n">
        <v>14566</v>
      </c>
      <c r="N277" s="1773" t="n">
        <v>8196.200000000001</v>
      </c>
      <c r="O277" s="1762">
        <f>N277*E277/1000</f>
        <v/>
      </c>
      <c r="P277" s="1763">
        <f>O277/32</f>
        <v/>
      </c>
      <c r="Q277" s="1764">
        <f>N277*I277/1000</f>
        <v/>
      </c>
    </row>
    <row r="278" ht="15.75" customHeight="1">
      <c r="A278" s="728" t="inlineStr">
        <is>
          <t>FO23040051</t>
        </is>
      </c>
      <c r="B278" s="729" t="n">
        <v>45045</v>
      </c>
      <c r="C278" s="730" t="inlineStr">
        <is>
          <t>มัลติแบกซ์</t>
        </is>
      </c>
      <c r="D278" s="730" t="inlineStr">
        <is>
          <t>ท่าเรือแหลมฉบัง</t>
        </is>
      </c>
      <c r="E278" s="731" t="n">
        <v>7.1</v>
      </c>
      <c r="F278" s="728" t="inlineStr">
        <is>
          <t>Km</t>
        </is>
      </c>
      <c r="G278" s="728" t="inlineStr">
        <is>
          <t>รถเทรลเลอร์</t>
        </is>
      </c>
      <c r="H278" s="728" t="inlineStr">
        <is>
          <t>UNIVERSITY PARK IL, USA</t>
        </is>
      </c>
      <c r="I278" s="733" t="n">
        <v>13877</v>
      </c>
      <c r="J278" s="732" t="inlineStr">
        <is>
          <t>Km</t>
        </is>
      </c>
      <c r="K278" s="734" t="n">
        <v>3700</v>
      </c>
      <c r="L278" s="741">
        <f>M278-K278</f>
        <v/>
      </c>
      <c r="M278" s="1771" t="n">
        <v>13889.8</v>
      </c>
      <c r="N278" s="1772" t="n">
        <v>7660</v>
      </c>
      <c r="O278" s="1762">
        <f>N278*E278/1000</f>
        <v/>
      </c>
      <c r="P278" s="1763">
        <f>O278/32</f>
        <v/>
      </c>
      <c r="Q278" s="1764">
        <f>N278*I278/1000</f>
        <v/>
      </c>
    </row>
    <row r="279" ht="15.75" customHeight="1">
      <c r="A279" s="719" t="inlineStr">
        <is>
          <t>FO23050001</t>
        </is>
      </c>
      <c r="B279" s="720" t="n">
        <v>45048</v>
      </c>
      <c r="C279" s="721" t="inlineStr">
        <is>
          <t>มัลติแบกซ์</t>
        </is>
      </c>
      <c r="D279" s="721" t="inlineStr">
        <is>
          <t>ท่าเรือแหลมฉบัง</t>
        </is>
      </c>
      <c r="E279" s="722" t="n">
        <v>4.5</v>
      </c>
      <c r="F279" s="719" t="inlineStr">
        <is>
          <t>Km</t>
        </is>
      </c>
      <c r="G279" s="719" t="inlineStr">
        <is>
          <t>รถเทรลเลอร์</t>
        </is>
      </c>
      <c r="H279" s="719" t="inlineStr">
        <is>
          <t>UK PORT</t>
        </is>
      </c>
      <c r="I279" s="724" t="n">
        <v>9687</v>
      </c>
      <c r="J279" s="723" t="inlineStr">
        <is>
          <t>Km</t>
        </is>
      </c>
      <c r="K279" s="725" t="n">
        <v>2040</v>
      </c>
      <c r="L279" s="740">
        <f>M279-K279</f>
        <v/>
      </c>
      <c r="M279" s="1769" t="n">
        <v>11557</v>
      </c>
      <c r="N279" s="1773" t="n">
        <v>8877</v>
      </c>
      <c r="O279" s="1762">
        <f>N279*E279/1000</f>
        <v/>
      </c>
      <c r="P279" s="1763">
        <f>O279/32</f>
        <v/>
      </c>
      <c r="Q279" s="1764">
        <f>N279*I279/1000</f>
        <v/>
      </c>
    </row>
    <row r="280" ht="15.75" customHeight="1">
      <c r="A280" s="747" t="inlineStr">
        <is>
          <t>FO23050002</t>
        </is>
      </c>
      <c r="B280" s="729" t="n">
        <v>45071</v>
      </c>
      <c r="C280" s="730" t="inlineStr">
        <is>
          <t>มัลติแบกซ์</t>
        </is>
      </c>
      <c r="D280" s="730" t="inlineStr">
        <is>
          <t>ท่่าเรือลาดกระบัง</t>
        </is>
      </c>
      <c r="E280" s="731" t="n">
        <v>41.1</v>
      </c>
      <c r="F280" s="728" t="inlineStr">
        <is>
          <t>Km</t>
        </is>
      </c>
      <c r="G280" s="728" t="inlineStr">
        <is>
          <t>รถเทรลเลอร์</t>
        </is>
      </c>
      <c r="H280" s="728" t="inlineStr">
        <is>
          <t>UK PORT</t>
        </is>
      </c>
      <c r="I280" s="733" t="n">
        <v>9687</v>
      </c>
      <c r="J280" s="732" t="inlineStr">
        <is>
          <t>Km</t>
        </is>
      </c>
      <c r="K280" s="734" t="n">
        <v>0</v>
      </c>
      <c r="L280" s="741" t="n">
        <v>0</v>
      </c>
      <c r="M280" s="1771" t="n">
        <v>0</v>
      </c>
      <c r="N280" s="1772" t="n">
        <v>7468</v>
      </c>
      <c r="O280" s="1762">
        <f>N280*E280/1000</f>
        <v/>
      </c>
      <c r="P280" s="1763">
        <f>O280/32</f>
        <v/>
      </c>
      <c r="Q280" s="1764">
        <f>N280*I280/1000</f>
        <v/>
      </c>
    </row>
    <row r="281" ht="15.75" customHeight="1">
      <c r="A281" s="719" t="inlineStr">
        <is>
          <t>FO23050003</t>
        </is>
      </c>
      <c r="B281" s="720" t="n">
        <v>45048</v>
      </c>
      <c r="C281" s="721" t="inlineStr">
        <is>
          <t>มัลติแบกซ์</t>
        </is>
      </c>
      <c r="D281" s="721" t="inlineStr">
        <is>
          <t>ท่าเรือแหลมฉบัง</t>
        </is>
      </c>
      <c r="E281" s="722" t="n">
        <v>6.2</v>
      </c>
      <c r="F281" s="719" t="inlineStr">
        <is>
          <t>Km</t>
        </is>
      </c>
      <c r="G281" s="719" t="inlineStr">
        <is>
          <t>รถเทรลเลอร์</t>
        </is>
      </c>
      <c r="H281" s="719" t="inlineStr">
        <is>
          <t>HONG KONG</t>
        </is>
      </c>
      <c r="I281" s="724" t="n">
        <v>1734</v>
      </c>
      <c r="J281" s="723" t="inlineStr">
        <is>
          <t>Km</t>
        </is>
      </c>
      <c r="K281" s="725" t="n">
        <v>3700</v>
      </c>
      <c r="L281" s="740">
        <f>M281-K281</f>
        <v/>
      </c>
      <c r="M281" s="1769" t="n">
        <v>15204.9</v>
      </c>
      <c r="N281" s="1773" t="n">
        <v>9026</v>
      </c>
      <c r="O281" s="1762">
        <f>N281*E281/1000</f>
        <v/>
      </c>
      <c r="P281" s="1763">
        <f>O281/32</f>
        <v/>
      </c>
      <c r="Q281" s="1764">
        <f>N281*I281/1000</f>
        <v/>
      </c>
    </row>
    <row r="282" ht="15.75" customHeight="1">
      <c r="A282" s="728" t="inlineStr">
        <is>
          <t>FO23050004</t>
        </is>
      </c>
      <c r="B282" s="729" t="n">
        <v>45048</v>
      </c>
      <c r="C282" s="730" t="inlineStr">
        <is>
          <t>มัลติแบกซ์</t>
        </is>
      </c>
      <c r="D282" s="730" t="inlineStr">
        <is>
          <t>ท่าเรือแหลมฉบัง</t>
        </is>
      </c>
      <c r="E282" s="731" t="n">
        <v>6.2</v>
      </c>
      <c r="F282" s="728" t="inlineStr">
        <is>
          <t>Km</t>
        </is>
      </c>
      <c r="G282" s="728" t="inlineStr">
        <is>
          <t>รถเทรลเลอร์</t>
        </is>
      </c>
      <c r="H282" s="728" t="inlineStr">
        <is>
          <t>HONG KONG</t>
        </is>
      </c>
      <c r="I282" s="733" t="n">
        <v>1734</v>
      </c>
      <c r="J282" s="732" t="inlineStr">
        <is>
          <t>Km</t>
        </is>
      </c>
      <c r="K282" s="734" t="n">
        <v>2150</v>
      </c>
      <c r="L282" s="741">
        <f>M282-K282</f>
        <v/>
      </c>
      <c r="M282" s="1771" t="n">
        <v>7967.5</v>
      </c>
      <c r="N282" s="1772" t="n">
        <v>4400.8</v>
      </c>
      <c r="O282" s="1762">
        <f>N282*E282/1000</f>
        <v/>
      </c>
      <c r="P282" s="1763">
        <f>O282/32</f>
        <v/>
      </c>
      <c r="Q282" s="1764">
        <f>N282*I282/1000</f>
        <v/>
      </c>
    </row>
    <row r="283" ht="15.75" customHeight="1">
      <c r="A283" s="719" t="inlineStr">
        <is>
          <t>FO23050005</t>
        </is>
      </c>
      <c r="B283" s="720" t="n">
        <v>45051</v>
      </c>
      <c r="C283" s="721" t="inlineStr">
        <is>
          <t>มัลติแบกซ์</t>
        </is>
      </c>
      <c r="D283" s="721" t="inlineStr">
        <is>
          <t>ท่าเรือแหลมฉบัง</t>
        </is>
      </c>
      <c r="E283" s="722" t="n">
        <v>6</v>
      </c>
      <c r="F283" s="719" t="inlineStr">
        <is>
          <t>Km</t>
        </is>
      </c>
      <c r="G283" s="719" t="inlineStr">
        <is>
          <t>รถเทรลเลอร์</t>
        </is>
      </c>
      <c r="H283" s="719" t="inlineStr">
        <is>
          <t>PORT OF LIBYA</t>
        </is>
      </c>
      <c r="I283" s="724" t="n">
        <v>9007</v>
      </c>
      <c r="J283" s="723" t="inlineStr">
        <is>
          <t>Km</t>
        </is>
      </c>
      <c r="K283" s="725" t="n">
        <v>2185</v>
      </c>
      <c r="L283" s="740">
        <f>M283-K283</f>
        <v/>
      </c>
      <c r="M283" s="1769" t="n">
        <v>7308</v>
      </c>
      <c r="N283" s="1773" t="n">
        <v>3723.6</v>
      </c>
      <c r="O283" s="1762">
        <f>N283*E283/1000</f>
        <v/>
      </c>
      <c r="P283" s="1763">
        <f>O283/32</f>
        <v/>
      </c>
      <c r="Q283" s="1764">
        <f>N283*I283/1000</f>
        <v/>
      </c>
    </row>
    <row r="284" ht="15.75" customHeight="1">
      <c r="A284" s="728" t="inlineStr">
        <is>
          <t>FO23050006</t>
        </is>
      </c>
      <c r="B284" s="729" t="n">
        <v>45048</v>
      </c>
      <c r="C284" s="730" t="inlineStr">
        <is>
          <t>มัลติแบกซ์</t>
        </is>
      </c>
      <c r="D284" s="730" t="inlineStr">
        <is>
          <t>ท่าเรือแหลมฉบัง</t>
        </is>
      </c>
      <c r="E284" s="731" t="n">
        <v>6.2</v>
      </c>
      <c r="F284" s="728" t="inlineStr">
        <is>
          <t>Km</t>
        </is>
      </c>
      <c r="G284" s="728" t="inlineStr">
        <is>
          <t>รถเทรลเลอร์</t>
        </is>
      </c>
      <c r="H284" s="728" t="inlineStr">
        <is>
          <t>PERRIS CA, USA</t>
        </is>
      </c>
      <c r="I284" s="733" t="n">
        <v>13413</v>
      </c>
      <c r="J284" s="732" t="inlineStr">
        <is>
          <t>Km</t>
        </is>
      </c>
      <c r="K284" s="734" t="n">
        <v>3700</v>
      </c>
      <c r="L284" s="741">
        <f>M284-K284</f>
        <v/>
      </c>
      <c r="M284" s="1771" t="n">
        <v>18539</v>
      </c>
      <c r="N284" s="1772" t="n">
        <v>12511.2</v>
      </c>
      <c r="O284" s="1762">
        <f>N284*E284/1000</f>
        <v/>
      </c>
      <c r="P284" s="1763">
        <f>O284/32</f>
        <v/>
      </c>
      <c r="Q284" s="1764">
        <f>N284*I284/1000</f>
        <v/>
      </c>
    </row>
    <row r="285" ht="15.75" customHeight="1">
      <c r="A285" s="719" t="inlineStr">
        <is>
          <t>FO23050007</t>
        </is>
      </c>
      <c r="B285" s="720" t="n">
        <v>45055</v>
      </c>
      <c r="C285" s="721" t="inlineStr">
        <is>
          <t>มัลติแบกซ์</t>
        </is>
      </c>
      <c r="D285" s="721" t="n"/>
      <c r="E285" s="722" t="n"/>
      <c r="F285" s="719" t="n"/>
      <c r="G285" s="719" t="inlineStr">
        <is>
          <t>รถเทรลเลอร์</t>
        </is>
      </c>
      <c r="H285" s="719" t="inlineStr">
        <is>
          <t>SINGAPORE</t>
        </is>
      </c>
      <c r="I285" s="724" t="n">
        <v>1931</v>
      </c>
      <c r="J285" s="723" t="n"/>
      <c r="K285" s="725" t="n">
        <v>3142.78</v>
      </c>
      <c r="L285" s="740" t="n">
        <v>1333.24</v>
      </c>
      <c r="M285" s="1769" t="n">
        <v>4476.07</v>
      </c>
      <c r="N285" s="1773" t="n">
        <v>3142.78</v>
      </c>
      <c r="O285" s="1762">
        <f>N285*E285/1000</f>
        <v/>
      </c>
      <c r="P285" s="1763">
        <f>O285/32</f>
        <v/>
      </c>
      <c r="Q285" s="1764">
        <f>N285*I285/1000</f>
        <v/>
      </c>
    </row>
    <row r="286" ht="15.75" customHeight="1">
      <c r="A286" s="728" t="inlineStr">
        <is>
          <t>FO23050008</t>
        </is>
      </c>
      <c r="B286" s="729" t="n">
        <v>45054</v>
      </c>
      <c r="C286" s="730" t="inlineStr">
        <is>
          <t>มัลติแบกซ์</t>
        </is>
      </c>
      <c r="D286" s="730" t="inlineStr">
        <is>
          <t>ท่าเรือแหลมฉบัง</t>
        </is>
      </c>
      <c r="E286" s="731" t="n">
        <v>6</v>
      </c>
      <c r="F286" s="728" t="inlineStr">
        <is>
          <t>Km</t>
        </is>
      </c>
      <c r="G286" s="728" t="inlineStr">
        <is>
          <t>รถเทรลเลอร์</t>
        </is>
      </c>
      <c r="H286" s="728" t="inlineStr">
        <is>
          <t>UK PORT</t>
        </is>
      </c>
      <c r="I286" s="733" t="n">
        <v>9687</v>
      </c>
      <c r="J286" s="732" t="inlineStr">
        <is>
          <t>Km</t>
        </is>
      </c>
      <c r="K286" s="734" t="n">
        <v>2230</v>
      </c>
      <c r="L286" s="741">
        <f>M286-K286</f>
        <v/>
      </c>
      <c r="M286" s="1771" t="n">
        <v>8007</v>
      </c>
      <c r="N286" s="1772" t="n">
        <v>4550</v>
      </c>
      <c r="O286" s="1762">
        <f>N286*E286/1000</f>
        <v/>
      </c>
      <c r="P286" s="1763">
        <f>O286/32</f>
        <v/>
      </c>
      <c r="Q286" s="1764">
        <f>N286*I286/1000</f>
        <v/>
      </c>
    </row>
    <row r="287" ht="15.75" customHeight="1">
      <c r="A287" s="719" t="inlineStr">
        <is>
          <t>FO23050009</t>
        </is>
      </c>
      <c r="B287" s="720" t="n">
        <v>45054</v>
      </c>
      <c r="C287" s="721" t="inlineStr">
        <is>
          <t>มัลติแบกซ์</t>
        </is>
      </c>
      <c r="D287" s="721" t="inlineStr">
        <is>
          <t>ท่าเรือแหลมฉบัง</t>
        </is>
      </c>
      <c r="E287" s="722" t="n">
        <v>6.3</v>
      </c>
      <c r="F287" s="719" t="inlineStr">
        <is>
          <t>Km</t>
        </is>
      </c>
      <c r="G287" s="719" t="inlineStr">
        <is>
          <t>รถเทรลเลอร์</t>
        </is>
      </c>
      <c r="H287" s="719" t="inlineStr">
        <is>
          <t>SOUTH BOSTON VA, USA</t>
        </is>
      </c>
      <c r="I287" s="724" t="n">
        <v>13787</v>
      </c>
      <c r="J287" s="723" t="inlineStr">
        <is>
          <t>Km</t>
        </is>
      </c>
      <c r="K287" s="725" t="n">
        <v>3800</v>
      </c>
      <c r="L287" s="740">
        <f>M287-K287</f>
        <v/>
      </c>
      <c r="M287" s="1769" t="n">
        <v>18639</v>
      </c>
      <c r="N287" s="1773" t="n">
        <v>12511.2</v>
      </c>
      <c r="O287" s="1762">
        <f>N287*E287/1000</f>
        <v/>
      </c>
      <c r="P287" s="1763">
        <f>O287/32</f>
        <v/>
      </c>
      <c r="Q287" s="1764">
        <f>N287*I287/1000</f>
        <v/>
      </c>
    </row>
    <row r="288" ht="15.75" customHeight="1">
      <c r="A288" s="728" t="inlineStr">
        <is>
          <t>FO23050010</t>
        </is>
      </c>
      <c r="B288" s="729" t="n">
        <v>45051</v>
      </c>
      <c r="C288" s="730" t="inlineStr">
        <is>
          <t>มัลติแบกซ์</t>
        </is>
      </c>
      <c r="D288" s="730" t="inlineStr">
        <is>
          <t>ท่าเรือแหลมฉบัง</t>
        </is>
      </c>
      <c r="E288" s="731" t="n">
        <v>7.1</v>
      </c>
      <c r="F288" s="728" t="inlineStr">
        <is>
          <t>Km</t>
        </is>
      </c>
      <c r="G288" s="728" t="inlineStr">
        <is>
          <t>รถเทรลเลอร์</t>
        </is>
      </c>
      <c r="H288" s="728" t="inlineStr">
        <is>
          <t>SHUWAIKH, KUWAIT</t>
        </is>
      </c>
      <c r="I288" s="733" t="n">
        <v>5727</v>
      </c>
      <c r="J288" s="732" t="inlineStr">
        <is>
          <t>Km</t>
        </is>
      </c>
      <c r="K288" s="734" t="n">
        <v>2220</v>
      </c>
      <c r="L288" s="741">
        <f>M288-K288</f>
        <v/>
      </c>
      <c r="M288" s="1771" t="n">
        <v>8261.780000000001</v>
      </c>
      <c r="N288" s="1772" t="n">
        <v>5083.78</v>
      </c>
      <c r="O288" s="1762">
        <f>N288*E288/1000</f>
        <v/>
      </c>
      <c r="P288" s="1763">
        <f>O288/32</f>
        <v/>
      </c>
      <c r="Q288" s="1764">
        <f>N288*I288/1000</f>
        <v/>
      </c>
    </row>
    <row r="289" ht="15.75" customHeight="1">
      <c r="A289" s="719" t="inlineStr">
        <is>
          <t>FO23050011</t>
        </is>
      </c>
      <c r="B289" s="720" t="n">
        <v>45051</v>
      </c>
      <c r="C289" s="721" t="inlineStr">
        <is>
          <t>มัลติแบกซ์</t>
        </is>
      </c>
      <c r="D289" s="721" t="inlineStr">
        <is>
          <t>ท่าเรือแหลมฉบัง</t>
        </is>
      </c>
      <c r="E289" s="722" t="n">
        <v>7.1</v>
      </c>
      <c r="F289" s="719" t="inlineStr">
        <is>
          <t>Km</t>
        </is>
      </c>
      <c r="G289" s="719" t="inlineStr">
        <is>
          <t>รถเทรลเลอร์</t>
        </is>
      </c>
      <c r="H289" s="719" t="inlineStr">
        <is>
          <t>HAMAD, QATAR</t>
        </is>
      </c>
      <c r="I289" s="724" t="n">
        <v>5317</v>
      </c>
      <c r="J289" s="723" t="inlineStr">
        <is>
          <t>Km</t>
        </is>
      </c>
      <c r="K289" s="725" t="n">
        <v>2180</v>
      </c>
      <c r="L289" s="740">
        <f>M289-K289</f>
        <v/>
      </c>
      <c r="M289" s="1769" t="n">
        <v>8639.15</v>
      </c>
      <c r="N289" s="1773" t="n">
        <v>5232.02</v>
      </c>
      <c r="O289" s="1762">
        <f>N289*E289/1000</f>
        <v/>
      </c>
      <c r="P289" s="1763">
        <f>O289/32</f>
        <v/>
      </c>
      <c r="Q289" s="1764">
        <f>N289*I289/1000</f>
        <v/>
      </c>
    </row>
    <row r="290" ht="15.75" customHeight="1">
      <c r="A290" s="728" t="inlineStr">
        <is>
          <t>FO23050012</t>
        </is>
      </c>
      <c r="B290" s="729" t="n">
        <v>45051</v>
      </c>
      <c r="C290" s="730" t="inlineStr">
        <is>
          <t>มัลติแบกซ์</t>
        </is>
      </c>
      <c r="D290" s="730" t="inlineStr">
        <is>
          <t>ท่าเรือแหลมฉบัง</t>
        </is>
      </c>
      <c r="E290" s="731" t="n">
        <v>7.1</v>
      </c>
      <c r="F290" s="728" t="inlineStr">
        <is>
          <t>Km</t>
        </is>
      </c>
      <c r="G290" s="728" t="inlineStr">
        <is>
          <t>รถเทรลเลอร์</t>
        </is>
      </c>
      <c r="H290" s="728" t="inlineStr">
        <is>
          <t>AJMAN PORT, UAE</t>
        </is>
      </c>
      <c r="I290" s="733" t="n">
        <v>4929</v>
      </c>
      <c r="J290" s="732" t="inlineStr">
        <is>
          <t>Km</t>
        </is>
      </c>
      <c r="K290" s="734" t="n">
        <v>3640</v>
      </c>
      <c r="L290" s="741">
        <f>M290-K290</f>
        <v/>
      </c>
      <c r="M290" s="1771" t="n">
        <v>18631.64</v>
      </c>
      <c r="N290" s="1772" t="n">
        <v>13057.23</v>
      </c>
      <c r="O290" s="1762">
        <f>N290*E290/1000</f>
        <v/>
      </c>
      <c r="P290" s="1763">
        <f>O290/32</f>
        <v/>
      </c>
      <c r="Q290" s="1764">
        <f>N290*I290/1000</f>
        <v/>
      </c>
    </row>
    <row r="291" ht="15.75" customHeight="1">
      <c r="A291" s="719" t="inlineStr">
        <is>
          <t>FO23050013</t>
        </is>
      </c>
      <c r="B291" s="720" t="n">
        <v>45054</v>
      </c>
      <c r="C291" s="721" t="inlineStr">
        <is>
          <t>มัลติแบกซ์</t>
        </is>
      </c>
      <c r="D291" s="721" t="inlineStr">
        <is>
          <t>ท่าเรือแหลมฉบัง</t>
        </is>
      </c>
      <c r="E291" s="722" t="n">
        <v>7.1</v>
      </c>
      <c r="F291" s="719" t="inlineStr">
        <is>
          <t>Km</t>
        </is>
      </c>
      <c r="G291" s="719" t="inlineStr">
        <is>
          <t>รถเทรลเลอร์</t>
        </is>
      </c>
      <c r="H291" s="719" t="inlineStr">
        <is>
          <t>AJMAN PORT, UAE</t>
        </is>
      </c>
      <c r="I291" s="724" t="n">
        <v>4929</v>
      </c>
      <c r="J291" s="723" t="inlineStr">
        <is>
          <t>Km</t>
        </is>
      </c>
      <c r="K291" s="725" t="n">
        <v>3740</v>
      </c>
      <c r="L291" s="740">
        <f>M291-K291</f>
        <v/>
      </c>
      <c r="M291" s="1769" t="n">
        <v>16940.1</v>
      </c>
      <c r="N291" s="1773" t="n">
        <v>10567.3</v>
      </c>
      <c r="O291" s="1762">
        <f>N291*E291/1000</f>
        <v/>
      </c>
      <c r="P291" s="1763">
        <f>O291/32</f>
        <v/>
      </c>
      <c r="Q291" s="1764">
        <f>N291*I291/1000</f>
        <v/>
      </c>
    </row>
    <row r="292" ht="15.75" customHeight="1">
      <c r="A292" s="728" t="inlineStr">
        <is>
          <t>FO23050014</t>
        </is>
      </c>
      <c r="B292" s="729" t="n">
        <v>45056</v>
      </c>
      <c r="C292" s="730" t="inlineStr">
        <is>
          <t>มัลติแบกซ์</t>
        </is>
      </c>
      <c r="D292" s="730" t="inlineStr">
        <is>
          <t>ท่าเรือแหลมฉบัง</t>
        </is>
      </c>
      <c r="E292" s="731" t="n">
        <v>6.3</v>
      </c>
      <c r="F292" s="728" t="inlineStr">
        <is>
          <t>Km</t>
        </is>
      </c>
      <c r="G292" s="728" t="inlineStr">
        <is>
          <t>รถเทรลเลอร์</t>
        </is>
      </c>
      <c r="H292" s="728" t="inlineStr">
        <is>
          <t>UK PORT</t>
        </is>
      </c>
      <c r="I292" s="733" t="n">
        <v>9687</v>
      </c>
      <c r="J292" s="732" t="inlineStr">
        <is>
          <t>Km</t>
        </is>
      </c>
      <c r="K292" s="734" t="n">
        <v>3750</v>
      </c>
      <c r="L292" s="741">
        <f>M292-K292</f>
        <v/>
      </c>
      <c r="M292" s="1771" t="n">
        <v>28777</v>
      </c>
      <c r="N292" s="1772" t="n">
        <v>23842</v>
      </c>
      <c r="O292" s="1762">
        <f>N292*E292/1000</f>
        <v/>
      </c>
      <c r="P292" s="1763">
        <f>O292/32</f>
        <v/>
      </c>
      <c r="Q292" s="1764">
        <f>N292*I292/1000</f>
        <v/>
      </c>
    </row>
    <row r="293" ht="15.75" customHeight="1">
      <c r="A293" s="719" t="inlineStr">
        <is>
          <t>FO23050015</t>
        </is>
      </c>
      <c r="B293" s="720" t="n">
        <v>45054</v>
      </c>
      <c r="C293" s="721" t="inlineStr">
        <is>
          <t>มัลติแบกซ์</t>
        </is>
      </c>
      <c r="D293" s="721" t="inlineStr">
        <is>
          <t>ท่าเรือแหลมฉบัง</t>
        </is>
      </c>
      <c r="E293" s="722" t="n">
        <v>6</v>
      </c>
      <c r="F293" s="719" t="inlineStr">
        <is>
          <t>Km</t>
        </is>
      </c>
      <c r="G293" s="719" t="inlineStr">
        <is>
          <t>รถเทรลเลอร์</t>
        </is>
      </c>
      <c r="H293" s="719" t="inlineStr">
        <is>
          <t>HAMAD, QATAR</t>
        </is>
      </c>
      <c r="I293" s="724" t="n">
        <v>5317</v>
      </c>
      <c r="J293" s="723" t="inlineStr">
        <is>
          <t>Km</t>
        </is>
      </c>
      <c r="K293" s="725" t="n">
        <v>2210</v>
      </c>
      <c r="L293" s="740">
        <f>M293-K293</f>
        <v/>
      </c>
      <c r="M293" s="1769" t="n">
        <v>5980.69</v>
      </c>
      <c r="N293" s="1773" t="n">
        <v>2729.97</v>
      </c>
      <c r="O293" s="1762">
        <f>N293*E293/1000</f>
        <v/>
      </c>
      <c r="P293" s="1763">
        <f>O293/32</f>
        <v/>
      </c>
      <c r="Q293" s="1764">
        <f>N293*I293/1000</f>
        <v/>
      </c>
    </row>
    <row r="294" ht="15.75" customHeight="1">
      <c r="A294" s="728" t="inlineStr">
        <is>
          <t>FO23050016</t>
        </is>
      </c>
      <c r="B294" s="729" t="n">
        <v>45061</v>
      </c>
      <c r="C294" s="730" t="inlineStr">
        <is>
          <t>มัลติแบกซ์</t>
        </is>
      </c>
      <c r="D294" s="730" t="inlineStr">
        <is>
          <t>ท่าเรือแหลมฉบัง</t>
        </is>
      </c>
      <c r="E294" s="731" t="n">
        <v>6.2</v>
      </c>
      <c r="F294" s="728" t="inlineStr">
        <is>
          <t>Km</t>
        </is>
      </c>
      <c r="G294" s="728" t="inlineStr">
        <is>
          <t>รถเทรลเลอร์</t>
        </is>
      </c>
      <c r="H294" s="728" t="inlineStr">
        <is>
          <t>JEBEL ALI, UAE</t>
        </is>
      </c>
      <c r="I294" s="733" t="n">
        <v>4972</v>
      </c>
      <c r="J294" s="732" t="inlineStr">
        <is>
          <t>Km</t>
        </is>
      </c>
      <c r="K294" s="734" t="n">
        <v>3570</v>
      </c>
      <c r="L294" s="741">
        <f>M294-K294</f>
        <v/>
      </c>
      <c r="M294" s="739" t="n">
        <v>15922.75</v>
      </c>
      <c r="N294" s="1772" t="n">
        <v>9530.799999999999</v>
      </c>
      <c r="O294" s="1762">
        <f>N294*E294/1000</f>
        <v/>
      </c>
      <c r="P294" s="1763">
        <f>O294/32</f>
        <v/>
      </c>
      <c r="Q294" s="1764">
        <f>N294*I294/1000</f>
        <v/>
      </c>
    </row>
    <row r="295" ht="15.75" customHeight="1">
      <c r="A295" s="719" t="inlineStr">
        <is>
          <t>FO23050017</t>
        </is>
      </c>
      <c r="B295" s="720" t="n">
        <v>45072</v>
      </c>
      <c r="C295" s="721" t="inlineStr">
        <is>
          <t>มัลติแบกซ์</t>
        </is>
      </c>
      <c r="D295" s="721" t="inlineStr">
        <is>
          <t>ท่าเรือแหลมฉบัง</t>
        </is>
      </c>
      <c r="E295" s="722" t="n">
        <v>7.1</v>
      </c>
      <c r="F295" s="719" t="inlineStr">
        <is>
          <t>Km</t>
        </is>
      </c>
      <c r="G295" s="719" t="inlineStr">
        <is>
          <t>รถเทรลเลอร์</t>
        </is>
      </c>
      <c r="H295" s="719" t="inlineStr">
        <is>
          <t>AUCKLAND, NEW ZEALAND</t>
        </is>
      </c>
      <c r="I295" s="724" t="n">
        <v>9486</v>
      </c>
      <c r="J295" s="723" t="inlineStr">
        <is>
          <t>Km</t>
        </is>
      </c>
      <c r="K295" s="725" t="n">
        <v>3890</v>
      </c>
      <c r="L295" s="740">
        <f>M295-K295</f>
        <v/>
      </c>
      <c r="M295" s="738" t="n">
        <v>20716.9</v>
      </c>
      <c r="N295" s="1773" t="n">
        <v>12903.9</v>
      </c>
      <c r="O295" s="1762">
        <f>N295*E295/1000</f>
        <v/>
      </c>
      <c r="P295" s="1763">
        <f>O295/32</f>
        <v/>
      </c>
      <c r="Q295" s="1764">
        <f>N295*I295/1000</f>
        <v/>
      </c>
    </row>
    <row r="296" ht="15.75" customHeight="1">
      <c r="A296" s="728" t="inlineStr">
        <is>
          <t>FO23050018</t>
        </is>
      </c>
      <c r="B296" s="729" t="n">
        <v>45062</v>
      </c>
      <c r="C296" s="730" t="inlineStr">
        <is>
          <t>มัลติแบกซ์</t>
        </is>
      </c>
      <c r="D296" s="730" t="inlineStr">
        <is>
          <t>ท่าเรือแหลมฉบัง</t>
        </is>
      </c>
      <c r="E296" s="731" t="n">
        <v>6.2</v>
      </c>
      <c r="F296" s="728" t="inlineStr">
        <is>
          <t>Km</t>
        </is>
      </c>
      <c r="G296" s="728" t="inlineStr">
        <is>
          <t>รถเทรลเลอร์</t>
        </is>
      </c>
      <c r="H296" s="728" t="inlineStr">
        <is>
          <t>AUCKLAND, NEW ZEALAND</t>
        </is>
      </c>
      <c r="I296" s="733" t="n">
        <v>9486</v>
      </c>
      <c r="J296" s="732" t="inlineStr">
        <is>
          <t>Km</t>
        </is>
      </c>
      <c r="K296" s="734" t="n">
        <v>3830</v>
      </c>
      <c r="L296" s="741">
        <f>M296-K296</f>
        <v/>
      </c>
      <c r="M296" s="739" t="n">
        <v>20691.35</v>
      </c>
      <c r="N296" s="1772" t="n">
        <v>12792.45</v>
      </c>
      <c r="O296" s="1762">
        <f>N296*E296/1000</f>
        <v/>
      </c>
      <c r="P296" s="1763">
        <f>O296/32</f>
        <v/>
      </c>
      <c r="Q296" s="1764">
        <f>N296*I296/1000</f>
        <v/>
      </c>
    </row>
    <row r="297" ht="15.75" customHeight="1">
      <c r="A297" s="719" t="inlineStr">
        <is>
          <t>FO23050019</t>
        </is>
      </c>
      <c r="B297" s="720" t="n">
        <v>45062</v>
      </c>
      <c r="C297" s="721" t="inlineStr">
        <is>
          <t>มัลติแบกซ์</t>
        </is>
      </c>
      <c r="D297" s="721" t="inlineStr">
        <is>
          <t>ท่าเรือแหลมฉบัง</t>
        </is>
      </c>
      <c r="E297" s="722" t="n">
        <v>6.3</v>
      </c>
      <c r="F297" s="719" t="inlineStr">
        <is>
          <t>Km</t>
        </is>
      </c>
      <c r="G297" s="719" t="inlineStr">
        <is>
          <t>รถเทรลเลอร์</t>
        </is>
      </c>
      <c r="H297" s="719" t="inlineStr">
        <is>
          <t>AUCKLAND, NEW ZEALAND</t>
        </is>
      </c>
      <c r="I297" s="724" t="n">
        <v>9486</v>
      </c>
      <c r="J297" s="723" t="inlineStr">
        <is>
          <t>Km</t>
        </is>
      </c>
      <c r="K297" s="725" t="n">
        <v>3860</v>
      </c>
      <c r="L297" s="740">
        <f>M297-K297</f>
        <v/>
      </c>
      <c r="M297" s="725" t="n">
        <v>21261.05</v>
      </c>
      <c r="N297" s="1773" t="n">
        <v>12365.65</v>
      </c>
      <c r="O297" s="1762">
        <f>N297*E297/1000</f>
        <v/>
      </c>
      <c r="P297" s="1763">
        <f>O297/32</f>
        <v/>
      </c>
      <c r="Q297" s="1764">
        <f>N297*I297/1000</f>
        <v/>
      </c>
    </row>
    <row r="298" ht="15.75" customHeight="1">
      <c r="A298" s="257" t="inlineStr">
        <is>
          <t>FO23050020</t>
        </is>
      </c>
      <c r="B298" s="748" t="n">
        <v>45056</v>
      </c>
      <c r="C298" s="730" t="inlineStr">
        <is>
          <t>มัลติแบกซ์</t>
        </is>
      </c>
      <c r="D298" s="730" t="inlineStr">
        <is>
          <t>ท่าเรือแหลมฉบัง</t>
        </is>
      </c>
      <c r="E298" s="731" t="n">
        <v>6.3</v>
      </c>
      <c r="F298" s="728" t="inlineStr">
        <is>
          <t>Km</t>
        </is>
      </c>
      <c r="G298" s="728" t="inlineStr">
        <is>
          <t>รถเทรลเลอร์</t>
        </is>
      </c>
      <c r="H298" s="257" t="inlineStr">
        <is>
          <t>DURBAN, SOUTH AFRICA</t>
        </is>
      </c>
      <c r="I298" s="749" t="n">
        <v>8865</v>
      </c>
      <c r="J298" s="732" t="inlineStr">
        <is>
          <t>Km</t>
        </is>
      </c>
      <c r="K298" s="734" t="n">
        <v>3570</v>
      </c>
      <c r="L298" s="741">
        <f>M298-K298</f>
        <v/>
      </c>
      <c r="M298" s="1771" t="n">
        <v>23343</v>
      </c>
      <c r="N298" s="1773" t="n">
        <v>18255.4</v>
      </c>
      <c r="O298" s="1762">
        <f>N298*E298/1000</f>
        <v/>
      </c>
      <c r="P298" s="1763">
        <f>O298/32</f>
        <v/>
      </c>
      <c r="Q298" s="1764">
        <f>N298*I298/1000</f>
        <v/>
      </c>
    </row>
    <row r="299" ht="15.75" customHeight="1">
      <c r="A299" s="728" t="inlineStr">
        <is>
          <t>FO23050021</t>
        </is>
      </c>
      <c r="B299" s="729" t="n">
        <v>45064</v>
      </c>
      <c r="C299" s="721" t="inlineStr">
        <is>
          <t>มัลติแบกซ์</t>
        </is>
      </c>
      <c r="D299" s="721" t="inlineStr">
        <is>
          <t>ท่าเรือแหลมฉบัง</t>
        </is>
      </c>
      <c r="E299" s="722" t="n">
        <v>6.2</v>
      </c>
      <c r="F299" s="719" t="inlineStr">
        <is>
          <t>Km</t>
        </is>
      </c>
      <c r="G299" s="719" t="inlineStr">
        <is>
          <t>รถเทรลเลอร์</t>
        </is>
      </c>
      <c r="H299" s="728" t="inlineStr">
        <is>
          <t>ROTTERDAM, NETHERLANDS</t>
        </is>
      </c>
      <c r="I299" s="733" t="n">
        <v>9292</v>
      </c>
      <c r="J299" s="723" t="inlineStr">
        <is>
          <t>Km</t>
        </is>
      </c>
      <c r="K299" s="725" t="n">
        <v>2180</v>
      </c>
      <c r="L299" s="740">
        <f>M299-K299</f>
        <v/>
      </c>
      <c r="M299" s="1769" t="n">
        <v>16985</v>
      </c>
      <c r="N299" s="1772" t="n">
        <v>14226.6</v>
      </c>
      <c r="O299" s="1762">
        <f>N299*E299/1000</f>
        <v/>
      </c>
      <c r="P299" s="1763">
        <f>O299/32</f>
        <v/>
      </c>
      <c r="Q299" s="1764">
        <f>N299*I299/1000</f>
        <v/>
      </c>
    </row>
    <row r="300" ht="15.75" customHeight="1">
      <c r="A300" s="728" t="inlineStr">
        <is>
          <t>FO23050022</t>
        </is>
      </c>
      <c r="B300" s="729" t="n">
        <v>45055</v>
      </c>
      <c r="C300" s="730" t="inlineStr">
        <is>
          <t>มัลติแบกซ์</t>
        </is>
      </c>
      <c r="D300" s="730" t="inlineStr">
        <is>
          <t>ท่าเรือแหลมฉบัง</t>
        </is>
      </c>
      <c r="E300" s="731" t="n">
        <v>6.2</v>
      </c>
      <c r="F300" s="728" t="inlineStr">
        <is>
          <t>Km</t>
        </is>
      </c>
      <c r="G300" s="728" t="inlineStr">
        <is>
          <t>รถเทรลเลอร์</t>
        </is>
      </c>
      <c r="H300" s="728" t="inlineStr">
        <is>
          <t>APPLETON WI , USA</t>
        </is>
      </c>
      <c r="I300" s="733" t="n">
        <v>13558</v>
      </c>
      <c r="J300" s="732" t="inlineStr">
        <is>
          <t>Km</t>
        </is>
      </c>
      <c r="K300" s="734" t="n">
        <v>3830</v>
      </c>
      <c r="L300" s="741">
        <f>M300-K300</f>
        <v/>
      </c>
      <c r="M300" s="1771" t="n">
        <v>21719.1</v>
      </c>
      <c r="N300" s="1772" t="n">
        <v>14665.2</v>
      </c>
      <c r="O300" s="1762">
        <f>N300*E300/1000</f>
        <v/>
      </c>
      <c r="P300" s="1763">
        <f>O300/32</f>
        <v/>
      </c>
      <c r="Q300" s="1764">
        <f>N300*I300/1000</f>
        <v/>
      </c>
    </row>
    <row r="301" ht="15.75" customHeight="1">
      <c r="A301" s="719" t="inlineStr">
        <is>
          <t>FO23050023</t>
        </is>
      </c>
      <c r="B301" s="720" t="n">
        <v>45056</v>
      </c>
      <c r="C301" s="721" t="inlineStr">
        <is>
          <t>มัลติแบกซ์</t>
        </is>
      </c>
      <c r="D301" s="721" t="inlineStr">
        <is>
          <t>ท่าเรือแหลมฉบัง</t>
        </is>
      </c>
      <c r="E301" s="722" t="n">
        <v>6.2</v>
      </c>
      <c r="F301" s="719" t="inlineStr">
        <is>
          <t>Km</t>
        </is>
      </c>
      <c r="G301" s="719" t="inlineStr">
        <is>
          <t>รถเทรลเลอร์</t>
        </is>
      </c>
      <c r="H301" s="719" t="inlineStr">
        <is>
          <t>APPLETON WI , USA</t>
        </is>
      </c>
      <c r="I301" s="724" t="n">
        <v>13558</v>
      </c>
      <c r="J301" s="723" t="inlineStr">
        <is>
          <t>Km</t>
        </is>
      </c>
      <c r="K301" s="725" t="n">
        <v>3840</v>
      </c>
      <c r="L301" s="740">
        <f>M301-K301</f>
        <v/>
      </c>
      <c r="M301" s="1769" t="n">
        <v>21729.1</v>
      </c>
      <c r="N301" s="1773" t="n">
        <v>14665.2</v>
      </c>
      <c r="O301" s="1762">
        <f>N301*E301/1000</f>
        <v/>
      </c>
      <c r="P301" s="1763">
        <f>O301/32</f>
        <v/>
      </c>
      <c r="Q301" s="1764">
        <f>N301*I301/1000</f>
        <v/>
      </c>
    </row>
    <row r="302" ht="15.75" customHeight="1">
      <c r="A302" s="728" t="inlineStr">
        <is>
          <t>FO23050024</t>
        </is>
      </c>
      <c r="B302" s="729" t="n">
        <v>45061</v>
      </c>
      <c r="C302" s="730" t="inlineStr">
        <is>
          <t>มัลติแบกซ์</t>
        </is>
      </c>
      <c r="D302" s="730" t="inlineStr">
        <is>
          <t>ท่าเรือแหลมฉบัง</t>
        </is>
      </c>
      <c r="E302" s="731" t="n">
        <v>11.9</v>
      </c>
      <c r="F302" s="728" t="inlineStr">
        <is>
          <t>Km</t>
        </is>
      </c>
      <c r="G302" s="728" t="inlineStr">
        <is>
          <t>รถเทรลเลอร์</t>
        </is>
      </c>
      <c r="H302" s="728" t="inlineStr">
        <is>
          <t>CARROLLTON TX, USA</t>
        </is>
      </c>
      <c r="I302" s="733" t="n">
        <v>14544</v>
      </c>
      <c r="J302" s="732" t="inlineStr">
        <is>
          <t>Km</t>
        </is>
      </c>
      <c r="K302" s="734" t="n">
        <v>3700</v>
      </c>
      <c r="L302" s="741">
        <f>M302-K302</f>
        <v/>
      </c>
      <c r="M302" s="734" t="n">
        <v>21589.1</v>
      </c>
      <c r="N302" s="1772" t="n">
        <v>14665.2</v>
      </c>
      <c r="O302" s="1762">
        <f>N302*E302/1000</f>
        <v/>
      </c>
      <c r="P302" s="1763">
        <f>O302/32</f>
        <v/>
      </c>
      <c r="Q302" s="1764">
        <f>N302*I302/1000</f>
        <v/>
      </c>
    </row>
    <row r="303" ht="15.75" customHeight="1">
      <c r="A303" s="719" t="inlineStr">
        <is>
          <t>FO23050025</t>
        </is>
      </c>
      <c r="B303" s="720" t="n">
        <v>45062</v>
      </c>
      <c r="C303" s="721" t="inlineStr">
        <is>
          <t>มัลติแบกซ์</t>
        </is>
      </c>
      <c r="D303" s="721" t="inlineStr">
        <is>
          <t>ท่าเรือแหลมฉบัง</t>
        </is>
      </c>
      <c r="E303" s="722" t="n">
        <v>6.2</v>
      </c>
      <c r="F303" s="719" t="inlineStr">
        <is>
          <t>Km</t>
        </is>
      </c>
      <c r="G303" s="719" t="inlineStr">
        <is>
          <t>รถเทรลเลอร์</t>
        </is>
      </c>
      <c r="H303" s="719" t="inlineStr">
        <is>
          <t>CARROLLTON TX, USA</t>
        </is>
      </c>
      <c r="I303" s="724" t="n">
        <v>14544</v>
      </c>
      <c r="J303" s="723" t="inlineStr">
        <is>
          <t>Km</t>
        </is>
      </c>
      <c r="K303" s="725" t="n">
        <v>3860</v>
      </c>
      <c r="L303" s="740">
        <f>M303-K303</f>
        <v/>
      </c>
      <c r="M303" s="725" t="n">
        <v>18699</v>
      </c>
      <c r="N303" s="1773" t="n">
        <v>12511.2</v>
      </c>
      <c r="O303" s="1762">
        <f>N303*E303/1000</f>
        <v/>
      </c>
      <c r="P303" s="1763">
        <f>O303/32</f>
        <v/>
      </c>
      <c r="Q303" s="1764">
        <f>N303*I303/1000</f>
        <v/>
      </c>
    </row>
    <row r="304" ht="15.75" customHeight="1">
      <c r="A304" s="728" t="inlineStr">
        <is>
          <t>FO23050026</t>
        </is>
      </c>
      <c r="B304" s="729" t="n">
        <v>45072</v>
      </c>
      <c r="C304" s="730" t="inlineStr">
        <is>
          <t>มัลติแบกซ์</t>
        </is>
      </c>
      <c r="D304" s="730" t="inlineStr">
        <is>
          <t>ท่าเรือแหลมฉบัง</t>
        </is>
      </c>
      <c r="E304" s="731" t="n">
        <v>6.3</v>
      </c>
      <c r="F304" s="728" t="inlineStr">
        <is>
          <t>Km</t>
        </is>
      </c>
      <c r="G304" s="728" t="inlineStr">
        <is>
          <t>รถเทรลเลอร์</t>
        </is>
      </c>
      <c r="H304" s="728" t="inlineStr">
        <is>
          <t>SOUTH BOSTON VA, USA</t>
        </is>
      </c>
      <c r="I304" s="733" t="n">
        <v>13787</v>
      </c>
      <c r="J304" s="732" t="inlineStr">
        <is>
          <t>Km</t>
        </is>
      </c>
      <c r="K304" s="734" t="n">
        <v>3700</v>
      </c>
      <c r="L304" s="741">
        <f>M304-K304</f>
        <v/>
      </c>
      <c r="M304" s="739" t="n">
        <v>13302</v>
      </c>
      <c r="N304" s="1772" t="n">
        <v>5376</v>
      </c>
      <c r="O304" s="1762">
        <f>N304*E304/1000</f>
        <v/>
      </c>
      <c r="P304" s="1763">
        <f>O304/32</f>
        <v/>
      </c>
      <c r="Q304" s="1764">
        <f>N304*I304/1000</f>
        <v/>
      </c>
    </row>
    <row r="305" ht="15.75" customHeight="1">
      <c r="A305" s="719" t="inlineStr">
        <is>
          <t>FO23050027</t>
        </is>
      </c>
      <c r="B305" s="720" t="n">
        <v>45057</v>
      </c>
      <c r="C305" s="721" t="inlineStr">
        <is>
          <t>มัลติแบกซ์</t>
        </is>
      </c>
      <c r="D305" s="721" t="inlineStr">
        <is>
          <t>ท่าเรือแหลมฉบัง</t>
        </is>
      </c>
      <c r="E305" s="722" t="n">
        <v>6.3</v>
      </c>
      <c r="F305" s="719" t="inlineStr">
        <is>
          <t>Km</t>
        </is>
      </c>
      <c r="G305" s="719" t="inlineStr">
        <is>
          <t>รถเทรลเลอร์</t>
        </is>
      </c>
      <c r="H305" s="719" t="inlineStr">
        <is>
          <t>UK PORT</t>
        </is>
      </c>
      <c r="I305" s="724" t="n">
        <v>9687</v>
      </c>
      <c r="J305" s="723" t="inlineStr">
        <is>
          <t>Km</t>
        </is>
      </c>
      <c r="K305" s="725" t="n">
        <v>3640</v>
      </c>
      <c r="L305" s="740">
        <f>M305-K305</f>
        <v/>
      </c>
      <c r="M305" s="1769" t="n">
        <v>23970.1</v>
      </c>
      <c r="N305" s="1773" t="n">
        <v>19030.3</v>
      </c>
      <c r="O305" s="1762">
        <f>N305*E305/1000</f>
        <v/>
      </c>
      <c r="P305" s="1763">
        <f>O305/32</f>
        <v/>
      </c>
      <c r="Q305" s="1764">
        <f>N305*I305/1000</f>
        <v/>
      </c>
    </row>
    <row r="306" ht="15.75" customHeight="1">
      <c r="A306" s="728" t="inlineStr">
        <is>
          <t>FO23050031</t>
        </is>
      </c>
      <c r="B306" s="729" t="n">
        <v>45064</v>
      </c>
      <c r="C306" s="730" t="inlineStr">
        <is>
          <t>มัลติแบกซ์</t>
        </is>
      </c>
      <c r="D306" s="730" t="inlineStr">
        <is>
          <t>ท่าเรือแหลมฉบัง</t>
        </is>
      </c>
      <c r="E306" s="731" t="n">
        <v>6.2</v>
      </c>
      <c r="F306" s="728" t="inlineStr">
        <is>
          <t>Km</t>
        </is>
      </c>
      <c r="G306" s="728" t="inlineStr">
        <is>
          <t>รถเทรลเลอร์</t>
        </is>
      </c>
      <c r="H306" s="728" t="inlineStr">
        <is>
          <t>APPLETON WI , USA</t>
        </is>
      </c>
      <c r="I306" s="733" t="n">
        <v>13558</v>
      </c>
      <c r="J306" s="732" t="inlineStr">
        <is>
          <t>Km</t>
        </is>
      </c>
      <c r="K306" s="734" t="n">
        <v>3870</v>
      </c>
      <c r="L306" s="741">
        <f>M306-K306</f>
        <v/>
      </c>
      <c r="M306" s="1771" t="n">
        <v>22941.6</v>
      </c>
      <c r="N306" s="1772" t="n">
        <v>15602.4</v>
      </c>
      <c r="O306" s="1762">
        <f>N306*E306/1000</f>
        <v/>
      </c>
      <c r="P306" s="1763">
        <f>O306/32</f>
        <v/>
      </c>
      <c r="Q306" s="1764">
        <f>N306*I306/1000</f>
        <v/>
      </c>
    </row>
    <row r="307" ht="15.75" customHeight="1">
      <c r="A307" s="719" t="inlineStr">
        <is>
          <t>FO23050032</t>
        </is>
      </c>
      <c r="B307" s="720" t="n">
        <v>45064</v>
      </c>
      <c r="C307" s="721" t="inlineStr">
        <is>
          <t>มัลติแบกซ์</t>
        </is>
      </c>
      <c r="D307" s="721" t="inlineStr">
        <is>
          <t>ท่าเรือแหลมฉบัง</t>
        </is>
      </c>
      <c r="E307" s="722" t="n">
        <v>6.2</v>
      </c>
      <c r="F307" s="719" t="inlineStr">
        <is>
          <t>Km</t>
        </is>
      </c>
      <c r="G307" s="719" t="inlineStr">
        <is>
          <t>รถเทรลเลอร์</t>
        </is>
      </c>
      <c r="H307" s="719" t="inlineStr">
        <is>
          <t>JACKSONVILLE IL, USA</t>
        </is>
      </c>
      <c r="I307" s="724" t="n">
        <v>15168</v>
      </c>
      <c r="J307" s="723" t="inlineStr">
        <is>
          <t>Km</t>
        </is>
      </c>
      <c r="K307" s="725" t="n">
        <v>3830</v>
      </c>
      <c r="L307" s="740">
        <f>M307-K307</f>
        <v/>
      </c>
      <c r="M307" s="1769" t="n">
        <v>23969.36</v>
      </c>
      <c r="N307" s="1773" t="n">
        <v>17014.08</v>
      </c>
      <c r="O307" s="1762">
        <f>N307*E307/1000</f>
        <v/>
      </c>
      <c r="P307" s="1763">
        <f>O307/32</f>
        <v/>
      </c>
      <c r="Q307" s="1764">
        <f>N307*I307/1000</f>
        <v/>
      </c>
    </row>
    <row r="308" ht="15.75" customHeight="1">
      <c r="A308" s="728" t="inlineStr">
        <is>
          <t>FO23050033</t>
        </is>
      </c>
      <c r="B308" s="729" t="n">
        <v>45064</v>
      </c>
      <c r="C308" s="730" t="inlineStr">
        <is>
          <t>มัลติแบกซ์</t>
        </is>
      </c>
      <c r="D308" s="730" t="inlineStr">
        <is>
          <t>ท่าเรือแหลมฉบัง</t>
        </is>
      </c>
      <c r="E308" s="731" t="n">
        <v>6.2</v>
      </c>
      <c r="F308" s="728" t="inlineStr">
        <is>
          <t>Km</t>
        </is>
      </c>
      <c r="G308" s="728" t="inlineStr">
        <is>
          <t>รถเทรลเลอร์</t>
        </is>
      </c>
      <c r="H308" s="728" t="inlineStr">
        <is>
          <t>JACKSONVILLE IL, USA</t>
        </is>
      </c>
      <c r="I308" s="733" t="n">
        <v>15168</v>
      </c>
      <c r="J308" s="732" t="inlineStr">
        <is>
          <t>Km</t>
        </is>
      </c>
      <c r="K308" s="734" t="n">
        <v>3900</v>
      </c>
      <c r="L308" s="741">
        <f>M308-K308</f>
        <v/>
      </c>
      <c r="M308" s="1771" t="n">
        <v>24039.36</v>
      </c>
      <c r="N308" s="1772" t="n">
        <v>17014.08</v>
      </c>
      <c r="O308" s="1762">
        <f>N308*E308/1000</f>
        <v/>
      </c>
      <c r="P308" s="1763">
        <f>O308/32</f>
        <v/>
      </c>
      <c r="Q308" s="1764">
        <f>N308*I308/1000</f>
        <v/>
      </c>
    </row>
    <row r="309" ht="15.75" customHeight="1">
      <c r="A309" s="719" t="inlineStr">
        <is>
          <t>FO23050034</t>
        </is>
      </c>
      <c r="B309" s="720" t="n">
        <v>45061</v>
      </c>
      <c r="C309" s="721" t="inlineStr">
        <is>
          <t>มัลติแบกซ์</t>
        </is>
      </c>
      <c r="D309" s="721" t="inlineStr">
        <is>
          <t>ท่าเรือแหลมฉบัง</t>
        </is>
      </c>
      <c r="E309" s="722" t="n">
        <v>11.9</v>
      </c>
      <c r="F309" s="719" t="inlineStr">
        <is>
          <t>Km</t>
        </is>
      </c>
      <c r="G309" s="719" t="inlineStr">
        <is>
          <t>รถเทรลเลอร์</t>
        </is>
      </c>
      <c r="H309" s="719" t="inlineStr">
        <is>
          <t>GUANGZHOU, CHINA</t>
        </is>
      </c>
      <c r="I309" s="724" t="n">
        <v>2597</v>
      </c>
      <c r="J309" s="723" t="inlineStr">
        <is>
          <t>Km</t>
        </is>
      </c>
      <c r="K309" s="725" t="n">
        <v>3820</v>
      </c>
      <c r="L309" s="740">
        <f>M309-K309</f>
        <v/>
      </c>
      <c r="M309" s="738" t="n">
        <v>17910</v>
      </c>
      <c r="N309" s="1773" t="n">
        <v>11494</v>
      </c>
      <c r="O309" s="1762">
        <f>N309*E309/1000</f>
        <v/>
      </c>
      <c r="P309" s="1763">
        <f>O309/32</f>
        <v/>
      </c>
      <c r="Q309" s="1764">
        <f>N309*I309/1000</f>
        <v/>
      </c>
    </row>
    <row r="310" ht="15.75" customHeight="1">
      <c r="A310" s="728" t="inlineStr">
        <is>
          <t>FO23050035</t>
        </is>
      </c>
      <c r="B310" s="729" t="n">
        <v>45062</v>
      </c>
      <c r="C310" s="730" t="inlineStr">
        <is>
          <t>มัลติแบกซ์</t>
        </is>
      </c>
      <c r="D310" s="730" t="inlineStr">
        <is>
          <t>ท่าเรือแหลมฉบัง</t>
        </is>
      </c>
      <c r="E310" s="731" t="n">
        <v>6.3</v>
      </c>
      <c r="F310" s="728" t="inlineStr">
        <is>
          <t>Km</t>
        </is>
      </c>
      <c r="G310" s="728" t="inlineStr">
        <is>
          <t>รถเทรลเลอร์</t>
        </is>
      </c>
      <c r="H310" s="728" t="inlineStr">
        <is>
          <t>LOUISVILLE KY, USA</t>
        </is>
      </c>
      <c r="I310" s="733" t="n">
        <v>14253</v>
      </c>
      <c r="J310" s="732" t="inlineStr">
        <is>
          <t>Km</t>
        </is>
      </c>
      <c r="K310" s="734" t="n">
        <v>3830</v>
      </c>
      <c r="L310" s="741">
        <f>M310-K310</f>
        <v/>
      </c>
      <c r="M310" s="734" t="n">
        <v>15683.05</v>
      </c>
      <c r="N310" s="1772" t="n">
        <v>8947.139999999999</v>
      </c>
      <c r="O310" s="1762">
        <f>N310*E310/1000</f>
        <v/>
      </c>
      <c r="P310" s="1763">
        <f>O310/32</f>
        <v/>
      </c>
      <c r="Q310" s="1764">
        <f>N310*I310/1000</f>
        <v/>
      </c>
    </row>
    <row r="311" ht="15.75" customHeight="1">
      <c r="A311" s="719" t="inlineStr">
        <is>
          <t>FO23050036</t>
        </is>
      </c>
      <c r="B311" s="720" t="n">
        <v>45070</v>
      </c>
      <c r="C311" s="721" t="inlineStr">
        <is>
          <t>มัลติแบกซ์</t>
        </is>
      </c>
      <c r="D311" s="721" t="inlineStr">
        <is>
          <t>ท่าเรือแหลมฉบัง</t>
        </is>
      </c>
      <c r="E311" s="722" t="n">
        <v>7.1</v>
      </c>
      <c r="F311" s="719" t="inlineStr">
        <is>
          <t>Km</t>
        </is>
      </c>
      <c r="G311" s="719" t="inlineStr">
        <is>
          <t>รถเทรลเลอร์</t>
        </is>
      </c>
      <c r="H311" s="719" t="inlineStr">
        <is>
          <t>SYDNEY, AUSTRALIA</t>
        </is>
      </c>
      <c r="I311" s="724" t="n">
        <v>7448</v>
      </c>
      <c r="J311" s="723" t="inlineStr">
        <is>
          <t>Km</t>
        </is>
      </c>
      <c r="K311" s="725" t="n">
        <v>3700</v>
      </c>
      <c r="L311" s="740">
        <f>M311-K311</f>
        <v/>
      </c>
      <c r="M311" s="1769" t="n">
        <v>27762</v>
      </c>
      <c r="N311" s="1773" t="n">
        <v>19896.5</v>
      </c>
      <c r="O311" s="1762">
        <f>N311*E311/1000</f>
        <v/>
      </c>
      <c r="P311" s="1763">
        <f>O311/32</f>
        <v/>
      </c>
      <c r="Q311" s="1764">
        <f>N311*I311/1000</f>
        <v/>
      </c>
    </row>
    <row r="312" ht="15.75" customHeight="1">
      <c r="A312" s="728" t="inlineStr">
        <is>
          <t>FO23050037</t>
        </is>
      </c>
      <c r="B312" s="729" t="n">
        <v>45070</v>
      </c>
      <c r="C312" s="730" t="inlineStr">
        <is>
          <t>มัลติแบกซ์</t>
        </is>
      </c>
      <c r="D312" s="730" t="inlineStr">
        <is>
          <t>ท่าเรือแหลมฉบัง</t>
        </is>
      </c>
      <c r="E312" s="731" t="n">
        <v>7.1</v>
      </c>
      <c r="F312" s="728" t="inlineStr">
        <is>
          <t>Km</t>
        </is>
      </c>
      <c r="G312" s="728" t="inlineStr">
        <is>
          <t>รถเทรลเลอร์</t>
        </is>
      </c>
      <c r="H312" s="728" t="inlineStr">
        <is>
          <t>SYDNEY, AUSTRALIA</t>
        </is>
      </c>
      <c r="I312" s="733" t="n">
        <v>7448</v>
      </c>
      <c r="J312" s="732" t="inlineStr">
        <is>
          <t>Km</t>
        </is>
      </c>
      <c r="K312" s="734" t="n">
        <v>3800</v>
      </c>
      <c r="L312" s="741">
        <f>M312-K312</f>
        <v/>
      </c>
      <c r="M312" s="1771" t="n">
        <v>24502</v>
      </c>
      <c r="N312" s="1772" t="n">
        <v>16560</v>
      </c>
      <c r="O312" s="1762">
        <f>N312*E312/1000</f>
        <v/>
      </c>
      <c r="P312" s="1763">
        <f>O312/32</f>
        <v/>
      </c>
      <c r="Q312" s="1764">
        <f>N312*I312/1000</f>
        <v/>
      </c>
    </row>
    <row r="313" ht="15.75" customHeight="1">
      <c r="A313" s="719" t="inlineStr">
        <is>
          <t>FO23050038</t>
        </is>
      </c>
      <c r="B313" s="720" t="n">
        <v>45064</v>
      </c>
      <c r="C313" s="721" t="inlineStr">
        <is>
          <t>มัลติแบกซ์</t>
        </is>
      </c>
      <c r="D313" s="721" t="inlineStr">
        <is>
          <t>ท่าเรือแหลมฉบัง</t>
        </is>
      </c>
      <c r="E313" s="722" t="n">
        <v>6.2</v>
      </c>
      <c r="F313" s="719" t="inlineStr">
        <is>
          <t>Km</t>
        </is>
      </c>
      <c r="G313" s="719" t="inlineStr">
        <is>
          <t>รถเทรลเลอร์</t>
        </is>
      </c>
      <c r="H313" s="719" t="inlineStr">
        <is>
          <t>UK PORT</t>
        </is>
      </c>
      <c r="I313" s="724" t="n">
        <v>9687</v>
      </c>
      <c r="J313" s="723" t="inlineStr">
        <is>
          <t>Km</t>
        </is>
      </c>
      <c r="K313" s="725" t="n">
        <v>3640</v>
      </c>
      <c r="L313" s="740">
        <f>M313-K313</f>
        <v/>
      </c>
      <c r="M313" s="738" t="n">
        <v>23427.4</v>
      </c>
      <c r="N313" s="1773" t="n">
        <v>18829.4</v>
      </c>
      <c r="O313" s="1762">
        <f>N313*E313/1000</f>
        <v/>
      </c>
      <c r="P313" s="1763">
        <f>O313/32</f>
        <v/>
      </c>
      <c r="Q313" s="1764">
        <f>N313*I313/1000</f>
        <v/>
      </c>
    </row>
    <row r="314" ht="15.75" customHeight="1">
      <c r="A314" s="728" t="inlineStr">
        <is>
          <t>FO23050039</t>
        </is>
      </c>
      <c r="B314" s="729" t="n">
        <v>45069</v>
      </c>
      <c r="C314" s="730" t="inlineStr">
        <is>
          <t>มัลติแบกซ์</t>
        </is>
      </c>
      <c r="D314" s="730" t="inlineStr">
        <is>
          <t>ท่าเรือแหลมฉบัง</t>
        </is>
      </c>
      <c r="E314" s="731" t="n">
        <v>11.9</v>
      </c>
      <c r="F314" s="728" t="inlineStr">
        <is>
          <t>Km</t>
        </is>
      </c>
      <c r="G314" s="728" t="inlineStr">
        <is>
          <t>รถเทรลเลอร์</t>
        </is>
      </c>
      <c r="H314" s="728" t="inlineStr">
        <is>
          <t>CHATTOGRAM, BANGLADESH</t>
        </is>
      </c>
      <c r="I314" s="733" t="n">
        <v>2686</v>
      </c>
      <c r="J314" s="732" t="inlineStr">
        <is>
          <t>Km</t>
        </is>
      </c>
      <c r="K314" s="734" t="n">
        <v>2180</v>
      </c>
      <c r="L314" s="741">
        <f>M314-K314</f>
        <v/>
      </c>
      <c r="M314" s="1771" t="n">
        <v>7822.5</v>
      </c>
      <c r="N314" s="1772" t="n">
        <v>4746.5</v>
      </c>
      <c r="O314" s="1762">
        <f>N314*E314/1000</f>
        <v/>
      </c>
      <c r="P314" s="1763">
        <f>O314/32</f>
        <v/>
      </c>
      <c r="Q314" s="1764">
        <f>N314*I314/1000</f>
        <v/>
      </c>
    </row>
    <row r="315" ht="15.75" customHeight="1">
      <c r="A315" s="719" t="inlineStr">
        <is>
          <t>FO23050040</t>
        </is>
      </c>
      <c r="B315" s="720" t="n">
        <v>45071</v>
      </c>
      <c r="C315" s="721" t="inlineStr">
        <is>
          <t>มัลติแบกซ์</t>
        </is>
      </c>
      <c r="D315" s="721" t="inlineStr">
        <is>
          <t>ท่าเรือแหลมฉบัง</t>
        </is>
      </c>
      <c r="E315" s="722" t="n">
        <v>5.3</v>
      </c>
      <c r="F315" s="719" t="inlineStr">
        <is>
          <t>Km</t>
        </is>
      </c>
      <c r="G315" s="719" t="inlineStr">
        <is>
          <t>รถเทรลเลอร์</t>
        </is>
      </c>
      <c r="H315" s="719" t="inlineStr">
        <is>
          <t>HONG KONG</t>
        </is>
      </c>
      <c r="I315" s="724" t="n">
        <v>1734</v>
      </c>
      <c r="J315" s="723" t="inlineStr">
        <is>
          <t>Km</t>
        </is>
      </c>
      <c r="K315" s="725" t="n">
        <v>3650</v>
      </c>
      <c r="L315" s="740">
        <f>M315-K315</f>
        <v/>
      </c>
      <c r="M315" s="738" t="n">
        <v>16128.42</v>
      </c>
      <c r="N315" s="1773" t="n">
        <v>9520.34</v>
      </c>
      <c r="O315" s="1762">
        <f>N315*E315/1000</f>
        <v/>
      </c>
      <c r="P315" s="1763">
        <f>O315/32</f>
        <v/>
      </c>
      <c r="Q315" s="1764">
        <f>N315*I315/1000</f>
        <v/>
      </c>
    </row>
    <row r="316" ht="15.75" customHeight="1">
      <c r="A316" s="728" t="inlineStr">
        <is>
          <t>FO23050041</t>
        </is>
      </c>
      <c r="B316" s="729" t="n">
        <v>45072</v>
      </c>
      <c r="C316" s="730" t="inlineStr">
        <is>
          <t>มัลติแบกซ์</t>
        </is>
      </c>
      <c r="D316" s="730" t="inlineStr">
        <is>
          <t>ท่าเรือแหลมฉบัง</t>
        </is>
      </c>
      <c r="E316" s="731" t="n">
        <v>6.2</v>
      </c>
      <c r="F316" s="728" t="inlineStr">
        <is>
          <t>Km</t>
        </is>
      </c>
      <c r="G316" s="728" t="inlineStr">
        <is>
          <t>รถเทรลเลอร์</t>
        </is>
      </c>
      <c r="H316" s="728" t="inlineStr">
        <is>
          <t>UNIVERSITY PARK IL, USA</t>
        </is>
      </c>
      <c r="I316" s="733" t="n">
        <v>13877</v>
      </c>
      <c r="J316" s="732" t="inlineStr">
        <is>
          <t>Km</t>
        </is>
      </c>
      <c r="K316" s="734" t="n">
        <v>3840</v>
      </c>
      <c r="L316" s="741">
        <f>M316-K316</f>
        <v/>
      </c>
      <c r="M316" s="739" t="n">
        <v>23439.5</v>
      </c>
      <c r="N316" s="1772" t="n">
        <v>15795</v>
      </c>
      <c r="O316" s="1762">
        <f>N316*E316/1000</f>
        <v/>
      </c>
      <c r="P316" s="1763">
        <f>O316/32</f>
        <v/>
      </c>
      <c r="Q316" s="1764">
        <f>N316*I316/1000</f>
        <v/>
      </c>
    </row>
    <row r="317" ht="15.75" customHeight="1">
      <c r="A317" s="719" t="inlineStr">
        <is>
          <t>FO23050042</t>
        </is>
      </c>
      <c r="B317" s="720" t="n">
        <v>45072</v>
      </c>
      <c r="C317" s="721" t="inlineStr">
        <is>
          <t>มัลติแบกซ์</t>
        </is>
      </c>
      <c r="D317" s="721" t="inlineStr">
        <is>
          <t>ท่าเรือแหลมฉบัง</t>
        </is>
      </c>
      <c r="E317" s="722" t="n">
        <v>7.1</v>
      </c>
      <c r="F317" s="719" t="inlineStr">
        <is>
          <t>Km</t>
        </is>
      </c>
      <c r="G317" s="719" t="inlineStr">
        <is>
          <t>รถเทรลเลอร์</t>
        </is>
      </c>
      <c r="H317" s="719" t="inlineStr">
        <is>
          <t>UNIVERSITY PARK IL, USA</t>
        </is>
      </c>
      <c r="I317" s="724" t="n">
        <v>13877</v>
      </c>
      <c r="J317" s="723" t="inlineStr">
        <is>
          <t>Km</t>
        </is>
      </c>
      <c r="K317" s="725" t="n">
        <v>3840</v>
      </c>
      <c r="L317" s="740">
        <f>M317-K317</f>
        <v/>
      </c>
      <c r="M317" s="738" t="n">
        <v>14029.8</v>
      </c>
      <c r="N317" s="1773" t="n">
        <v>7660</v>
      </c>
      <c r="O317" s="1762">
        <f>N317*E317/1000</f>
        <v/>
      </c>
      <c r="P317" s="1763">
        <f>O317/32</f>
        <v/>
      </c>
      <c r="Q317" s="1764">
        <f>N317*I317/1000</f>
        <v/>
      </c>
    </row>
    <row r="318" ht="15.75" customHeight="1">
      <c r="A318" s="728" t="inlineStr">
        <is>
          <t>FO23050043</t>
        </is>
      </c>
      <c r="B318" s="729" t="n">
        <v>45069</v>
      </c>
      <c r="C318" s="730" t="inlineStr">
        <is>
          <t>มัลติแบกซ์</t>
        </is>
      </c>
      <c r="D318" s="730" t="inlineStr">
        <is>
          <t>ท่าเรือแหลมฉบัง</t>
        </is>
      </c>
      <c r="E318" s="731" t="n">
        <v>6.2</v>
      </c>
      <c r="F318" s="728" t="inlineStr">
        <is>
          <t>Km</t>
        </is>
      </c>
      <c r="G318" s="728" t="inlineStr">
        <is>
          <t>รถเทรลเลอร์</t>
        </is>
      </c>
      <c r="H318" s="728" t="inlineStr">
        <is>
          <t>APPLETON WI , USA</t>
        </is>
      </c>
      <c r="I318" s="733" t="n">
        <v>13558</v>
      </c>
      <c r="J318" s="732" t="inlineStr">
        <is>
          <t>Km</t>
        </is>
      </c>
      <c r="K318" s="734" t="n">
        <v>3300</v>
      </c>
      <c r="L318" s="741">
        <f>M318-K318</f>
        <v/>
      </c>
      <c r="M318" s="1771" t="n">
        <v>22371.6</v>
      </c>
      <c r="N318" s="1772" t="n">
        <v>15602.4</v>
      </c>
      <c r="O318" s="1762">
        <f>N318*E318/1000</f>
        <v/>
      </c>
      <c r="P318" s="1763">
        <f>O318/32</f>
        <v/>
      </c>
      <c r="Q318" s="1764">
        <f>N318*I318/1000</f>
        <v/>
      </c>
    </row>
    <row r="319" ht="15.75" customHeight="1">
      <c r="A319" s="719" t="inlineStr">
        <is>
          <t>FO23050044</t>
        </is>
      </c>
      <c r="B319" s="720" t="n">
        <v>45070</v>
      </c>
      <c r="C319" s="721" t="inlineStr">
        <is>
          <t>มัลติแบกซ์</t>
        </is>
      </c>
      <c r="D319" s="721" t="inlineStr">
        <is>
          <t>ท่าเรือแหลมฉบัง</t>
        </is>
      </c>
      <c r="E319" s="722" t="n">
        <v>6.2</v>
      </c>
      <c r="F319" s="719" t="inlineStr">
        <is>
          <t>Km</t>
        </is>
      </c>
      <c r="G319" s="719" t="inlineStr">
        <is>
          <t>รถเทรลเลอร์</t>
        </is>
      </c>
      <c r="H319" s="719" t="inlineStr">
        <is>
          <t>COLUMBUS OHIO, USA</t>
        </is>
      </c>
      <c r="I319" s="724" t="n">
        <v>14000</v>
      </c>
      <c r="J319" s="723" t="inlineStr">
        <is>
          <t>Km</t>
        </is>
      </c>
      <c r="K319" s="725" t="n">
        <v>3860</v>
      </c>
      <c r="L319" s="740">
        <f>M319-K319</f>
        <v/>
      </c>
      <c r="M319" s="1769" t="n">
        <v>21749.43</v>
      </c>
      <c r="N319" s="1773" t="n">
        <v>15414.09</v>
      </c>
      <c r="O319" s="1762">
        <f>N319*E319/1000</f>
        <v/>
      </c>
      <c r="P319" s="1763">
        <f>O319/32</f>
        <v/>
      </c>
      <c r="Q319" s="1764">
        <f>N319*I319/1000</f>
        <v/>
      </c>
    </row>
    <row r="320" ht="15.75" customHeight="1">
      <c r="A320" s="728" t="inlineStr">
        <is>
          <t>FO23050045</t>
        </is>
      </c>
      <c r="B320" s="729" t="n">
        <v>45071</v>
      </c>
      <c r="C320" s="730" t="inlineStr">
        <is>
          <t>มัลติแบกซ์</t>
        </is>
      </c>
      <c r="D320" s="730" t="inlineStr">
        <is>
          <t>ท่าเรือแหลมฉบัง</t>
        </is>
      </c>
      <c r="E320" s="731" t="n">
        <v>6.2</v>
      </c>
      <c r="F320" s="728" t="inlineStr">
        <is>
          <t>Km</t>
        </is>
      </c>
      <c r="G320" s="728" t="inlineStr">
        <is>
          <t>รถเทรลเลอร์</t>
        </is>
      </c>
      <c r="H320" s="728" t="inlineStr">
        <is>
          <t>APPLETON WI , USA</t>
        </is>
      </c>
      <c r="I320" s="733" t="n">
        <v>13558</v>
      </c>
      <c r="J320" s="732" t="inlineStr">
        <is>
          <t>Km</t>
        </is>
      </c>
      <c r="K320" s="734" t="n">
        <v>3850</v>
      </c>
      <c r="L320" s="741">
        <f>M320-K320</f>
        <v/>
      </c>
      <c r="M320" s="739" t="n">
        <v>22921.6</v>
      </c>
      <c r="N320" s="1772" t="n">
        <v>15602.4</v>
      </c>
      <c r="O320" s="1762">
        <f>N320*E320/1000</f>
        <v/>
      </c>
      <c r="P320" s="1763">
        <f>O320/32</f>
        <v/>
      </c>
      <c r="Q320" s="1764">
        <f>N320*I320/1000</f>
        <v/>
      </c>
    </row>
    <row r="321" ht="15.75" customHeight="1">
      <c r="A321" s="719" t="inlineStr">
        <is>
          <t>FO23050046</t>
        </is>
      </c>
      <c r="B321" s="720" t="n">
        <v>45071</v>
      </c>
      <c r="C321" s="721" t="inlineStr">
        <is>
          <t>มัลติแบกซ์</t>
        </is>
      </c>
      <c r="D321" s="721" t="inlineStr">
        <is>
          <t>ท่าเรือแหลมฉบัง</t>
        </is>
      </c>
      <c r="E321" s="722" t="n">
        <v>6.2</v>
      </c>
      <c r="F321" s="719" t="inlineStr">
        <is>
          <t>Km</t>
        </is>
      </c>
      <c r="G321" s="719" t="inlineStr">
        <is>
          <t>รถเทรลเลอร์</t>
        </is>
      </c>
      <c r="H321" s="719" t="inlineStr">
        <is>
          <t>APPLETON WI , USA</t>
        </is>
      </c>
      <c r="I321" s="724" t="n">
        <v>13558</v>
      </c>
      <c r="J321" s="723" t="inlineStr">
        <is>
          <t>Km</t>
        </is>
      </c>
      <c r="K321" s="725" t="n">
        <v>3900</v>
      </c>
      <c r="L321" s="740">
        <f>M321-K321</f>
        <v/>
      </c>
      <c r="M321" s="738" t="n">
        <v>18821.75</v>
      </c>
      <c r="N321" s="1773" t="n">
        <v>12519.75</v>
      </c>
      <c r="O321" s="1762">
        <f>N321*E321/1000</f>
        <v/>
      </c>
      <c r="P321" s="1763">
        <f>O321/32</f>
        <v/>
      </c>
      <c r="Q321" s="1764">
        <f>N321*I321/1000</f>
        <v/>
      </c>
    </row>
    <row r="322" ht="15.75" customHeight="1">
      <c r="A322" s="728" t="inlineStr">
        <is>
          <t>FO23050047</t>
        </is>
      </c>
      <c r="B322" s="729" t="n">
        <v>45069</v>
      </c>
      <c r="C322" s="730" t="inlineStr">
        <is>
          <t>มัลติแบกซ์</t>
        </is>
      </c>
      <c r="D322" s="730" t="inlineStr">
        <is>
          <t>ท่าเรือแหลมฉบัง</t>
        </is>
      </c>
      <c r="E322" s="731" t="n">
        <v>6.2</v>
      </c>
      <c r="F322" s="728" t="inlineStr">
        <is>
          <t>Km</t>
        </is>
      </c>
      <c r="G322" s="728" t="inlineStr">
        <is>
          <t>รถเทรลเลอร์</t>
        </is>
      </c>
      <c r="H322" s="728" t="inlineStr">
        <is>
          <t>PERRIS CA, USA</t>
        </is>
      </c>
      <c r="I322" s="733" t="n">
        <v>13413</v>
      </c>
      <c r="J322" s="732" t="inlineStr">
        <is>
          <t>Km</t>
        </is>
      </c>
      <c r="K322" s="734" t="n">
        <v>3890</v>
      </c>
      <c r="L322" s="741">
        <f>M322-K322</f>
        <v/>
      </c>
      <c r="M322" s="1771" t="n">
        <v>18729</v>
      </c>
      <c r="N322" s="1772" t="n">
        <v>12511.2</v>
      </c>
      <c r="O322" s="1762">
        <f>N322*E322/1000</f>
        <v/>
      </c>
      <c r="P322" s="1763">
        <f>O322/32</f>
        <v/>
      </c>
      <c r="Q322" s="1764">
        <f>N322*I322/1000</f>
        <v/>
      </c>
    </row>
    <row r="323" ht="15.75" customHeight="1">
      <c r="A323" s="719" t="inlineStr">
        <is>
          <t>FO23050048</t>
        </is>
      </c>
      <c r="B323" s="720" t="n">
        <v>45073</v>
      </c>
      <c r="C323" s="721" t="inlineStr">
        <is>
          <t>มัลติแบกซ์</t>
        </is>
      </c>
      <c r="D323" s="721" t="inlineStr">
        <is>
          <t>ท่าเรือแหลมฉบัง</t>
        </is>
      </c>
      <c r="E323" s="722" t="n">
        <v>7.1</v>
      </c>
      <c r="F323" s="719" t="inlineStr">
        <is>
          <t>Km</t>
        </is>
      </c>
      <c r="G323" s="719" t="inlineStr">
        <is>
          <t>รถเทรลเลอร์</t>
        </is>
      </c>
      <c r="H323" s="719" t="inlineStr">
        <is>
          <t>LOUISVILLE KY, USA</t>
        </is>
      </c>
      <c r="I323" s="724" t="n">
        <v>14253</v>
      </c>
      <c r="J323" s="723" t="inlineStr">
        <is>
          <t>Km</t>
        </is>
      </c>
      <c r="K323" s="725" t="n">
        <v>3900</v>
      </c>
      <c r="L323" s="740">
        <f>M323-K323</f>
        <v/>
      </c>
      <c r="M323" s="738" t="n">
        <v>15043.27</v>
      </c>
      <c r="N323" s="1773" t="n">
        <v>8297.799999999999</v>
      </c>
      <c r="O323" s="1762">
        <f>N323*E323/1000</f>
        <v/>
      </c>
      <c r="P323" s="1763">
        <f>O323/32</f>
        <v/>
      </c>
      <c r="Q323" s="1764">
        <f>N323*I323/1000</f>
        <v/>
      </c>
    </row>
    <row r="324" ht="15.75" customHeight="1">
      <c r="A324" s="728" t="inlineStr">
        <is>
          <t>FO23050049</t>
        </is>
      </c>
      <c r="B324" s="729" t="n">
        <v>45071</v>
      </c>
      <c r="C324" s="730" t="inlineStr">
        <is>
          <t>มัลติแบกซ์</t>
        </is>
      </c>
      <c r="D324" s="730" t="inlineStr">
        <is>
          <t>ท่าเรือแหลมฉบัง</t>
        </is>
      </c>
      <c r="E324" s="731" t="n">
        <v>7.1</v>
      </c>
      <c r="F324" s="728" t="inlineStr">
        <is>
          <t>Km</t>
        </is>
      </c>
      <c r="G324" s="728" t="inlineStr">
        <is>
          <t>รถเทรลเลอร์</t>
        </is>
      </c>
      <c r="H324" s="728" t="inlineStr">
        <is>
          <t>MANILA, PHILIPPINES</t>
        </is>
      </c>
      <c r="I324" s="733" t="n">
        <v>2167</v>
      </c>
      <c r="J324" s="732" t="inlineStr">
        <is>
          <t>Km</t>
        </is>
      </c>
      <c r="K324" s="734" t="n">
        <v>2270</v>
      </c>
      <c r="L324" s="741">
        <f>M324-K324</f>
        <v/>
      </c>
      <c r="M324" s="1771" t="n">
        <v>6689.2</v>
      </c>
      <c r="N324" s="1772" t="n">
        <v>3305.6</v>
      </c>
      <c r="O324" s="1762">
        <f>N324*E324/1000</f>
        <v/>
      </c>
      <c r="P324" s="1763">
        <f>O324/32</f>
        <v/>
      </c>
      <c r="Q324" s="1764">
        <f>N324*I324/1000</f>
        <v/>
      </c>
    </row>
    <row r="325" ht="15.75" customHeight="1">
      <c r="A325" s="719" t="inlineStr">
        <is>
          <t>FO23050050</t>
        </is>
      </c>
      <c r="B325" s="720" t="n">
        <v>45076</v>
      </c>
      <c r="C325" s="721" t="inlineStr">
        <is>
          <t>มัลติแบกซ์</t>
        </is>
      </c>
      <c r="D325" s="721" t="inlineStr">
        <is>
          <t>ท่าเรือแหลมฉบัง</t>
        </is>
      </c>
      <c r="E325" s="722" t="n">
        <v>6.2</v>
      </c>
      <c r="F325" s="719" t="inlineStr">
        <is>
          <t>Km</t>
        </is>
      </c>
      <c r="G325" s="719" t="inlineStr">
        <is>
          <t>รถเทรลเลอร์</t>
        </is>
      </c>
      <c r="H325" s="719" t="inlineStr">
        <is>
          <t>AUCKLAND, NEW ZEALAND</t>
        </is>
      </c>
      <c r="I325" s="724" t="n">
        <v>9486</v>
      </c>
      <c r="J325" s="723" t="inlineStr">
        <is>
          <t>Km</t>
        </is>
      </c>
      <c r="K325" s="725" t="n">
        <v>3860</v>
      </c>
      <c r="L325" s="740">
        <f>M325-K325</f>
        <v/>
      </c>
      <c r="M325" s="738" t="n">
        <v>27293.7</v>
      </c>
      <c r="N325" s="1773" t="n">
        <v>18985.5</v>
      </c>
      <c r="O325" s="1762">
        <f>N325*E325/1000</f>
        <v/>
      </c>
      <c r="P325" s="1763">
        <f>O325/32</f>
        <v/>
      </c>
      <c r="Q325" s="1764">
        <f>N325*I325/1000</f>
        <v/>
      </c>
    </row>
    <row r="326" ht="15.75" customHeight="1">
      <c r="A326" s="728" t="inlineStr">
        <is>
          <t>FO23050051</t>
        </is>
      </c>
      <c r="B326" s="729" t="n">
        <v>45073</v>
      </c>
      <c r="C326" s="730" t="inlineStr">
        <is>
          <t>มัลติแบกซ์</t>
        </is>
      </c>
      <c r="D326" s="730" t="inlineStr">
        <is>
          <t>ท่าเรือแหลมฉบัง</t>
        </is>
      </c>
      <c r="E326" s="731" t="n">
        <v>7.1</v>
      </c>
      <c r="F326" s="728" t="inlineStr">
        <is>
          <t>Km</t>
        </is>
      </c>
      <c r="G326" s="728" t="inlineStr">
        <is>
          <t>รถเทรลเลอร์</t>
        </is>
      </c>
      <c r="H326" s="728" t="inlineStr">
        <is>
          <t>JEBEL ALI, UAE</t>
        </is>
      </c>
      <c r="I326" s="733" t="n">
        <v>4972</v>
      </c>
      <c r="J326" s="732" t="inlineStr">
        <is>
          <t>Km</t>
        </is>
      </c>
      <c r="K326" s="734" t="n">
        <v>3850</v>
      </c>
      <c r="L326" s="741">
        <f>M326-K326</f>
        <v/>
      </c>
      <c r="M326" s="739" t="n">
        <v>15275.39</v>
      </c>
      <c r="N326" s="1772" t="n">
        <v>8611.83</v>
      </c>
      <c r="O326" s="1762">
        <f>N326*E326/1000</f>
        <v/>
      </c>
      <c r="P326" s="1763">
        <f>O326/32</f>
        <v/>
      </c>
      <c r="Q326" s="1764">
        <f>N326*I326/1000</f>
        <v/>
      </c>
    </row>
    <row r="327" ht="15.75" customHeight="1">
      <c r="A327" s="719" t="inlineStr">
        <is>
          <t>FO23050052</t>
        </is>
      </c>
      <c r="B327" s="720" t="n">
        <v>45070</v>
      </c>
      <c r="C327" s="721" t="inlineStr">
        <is>
          <t>มัลติแบกซ์</t>
        </is>
      </c>
      <c r="D327" s="721" t="inlineStr">
        <is>
          <t>ท่าเรือแหลมฉบัง</t>
        </is>
      </c>
      <c r="E327" s="722" t="n">
        <v>7.1</v>
      </c>
      <c r="F327" s="719" t="inlineStr">
        <is>
          <t>Km</t>
        </is>
      </c>
      <c r="G327" s="719" t="inlineStr">
        <is>
          <t>รถเทรลเลอร์</t>
        </is>
      </c>
      <c r="H327" s="719" t="inlineStr">
        <is>
          <t>KLANG, MALAYSIA</t>
        </is>
      </c>
      <c r="I327" s="724" t="n">
        <v>1588</v>
      </c>
      <c r="J327" s="723" t="inlineStr">
        <is>
          <t>Km</t>
        </is>
      </c>
      <c r="K327" s="725" t="n">
        <v>2180</v>
      </c>
      <c r="L327" s="740">
        <f>M327-K327</f>
        <v/>
      </c>
      <c r="M327" s="1769" t="n">
        <v>6422.14</v>
      </c>
      <c r="N327" s="1773" t="n">
        <v>3092.48</v>
      </c>
      <c r="O327" s="1762">
        <f>N327*E327/1000</f>
        <v/>
      </c>
      <c r="P327" s="1763">
        <f>O327/32</f>
        <v/>
      </c>
      <c r="Q327" s="1764">
        <f>N327*I327/1000</f>
        <v/>
      </c>
    </row>
    <row r="328" ht="15.75" customHeight="1">
      <c r="A328" s="728" t="inlineStr">
        <is>
          <t>FO23050054</t>
        </is>
      </c>
      <c r="B328" s="729" t="n">
        <v>45075</v>
      </c>
      <c r="C328" s="730" t="inlineStr">
        <is>
          <t>มัลติแบกซ์</t>
        </is>
      </c>
      <c r="D328" s="730" t="inlineStr">
        <is>
          <t>ท่าเรือแหลมฉบัง</t>
        </is>
      </c>
      <c r="E328" s="731" t="n">
        <v>11.9</v>
      </c>
      <c r="F328" s="728" t="inlineStr">
        <is>
          <t>Km</t>
        </is>
      </c>
      <c r="G328" s="728" t="inlineStr">
        <is>
          <t>รถเทรลเลอร์</t>
        </is>
      </c>
      <c r="H328" s="728" t="inlineStr">
        <is>
          <t>CARROLLTON TX, USA</t>
        </is>
      </c>
      <c r="I328" s="733" t="n">
        <v>14544</v>
      </c>
      <c r="J328" s="732" t="inlineStr">
        <is>
          <t>Km</t>
        </is>
      </c>
      <c r="K328" s="734" t="n">
        <v>3700</v>
      </c>
      <c r="L328" s="741">
        <f>M328-K328</f>
        <v/>
      </c>
      <c r="M328" s="739" t="n">
        <v>17990.25</v>
      </c>
      <c r="N328" s="1772" t="n">
        <v>11468.5</v>
      </c>
      <c r="O328" s="1762">
        <f>N328*E328/1000</f>
        <v/>
      </c>
      <c r="P328" s="1763">
        <f>O328/32</f>
        <v/>
      </c>
      <c r="Q328" s="1764">
        <f>N328*I328/1000</f>
        <v/>
      </c>
    </row>
    <row r="329" ht="15.75" customHeight="1">
      <c r="A329" s="719" t="inlineStr">
        <is>
          <t>FO23050055</t>
        </is>
      </c>
      <c r="B329" s="720" t="n">
        <v>45071</v>
      </c>
      <c r="C329" s="721" t="inlineStr">
        <is>
          <t>มัลติแบกซ์</t>
        </is>
      </c>
      <c r="D329" s="721" t="inlineStr">
        <is>
          <t>ท่าเรือแหลมฉบัง</t>
        </is>
      </c>
      <c r="E329" s="722" t="n">
        <v>7.1</v>
      </c>
      <c r="F329" s="719" t="inlineStr">
        <is>
          <t>Km</t>
        </is>
      </c>
      <c r="G329" s="719" t="inlineStr">
        <is>
          <t>รถเทรลเลอร์</t>
        </is>
      </c>
      <c r="H329" s="719" t="inlineStr">
        <is>
          <t>DURBAN, SOUTH AFRICA</t>
        </is>
      </c>
      <c r="I329" s="724" t="n">
        <v>8865</v>
      </c>
      <c r="J329" s="723" t="inlineStr">
        <is>
          <t>Km</t>
        </is>
      </c>
      <c r="K329" s="725" t="n">
        <v>2100</v>
      </c>
      <c r="L329" s="740">
        <f>M329-K329</f>
        <v/>
      </c>
      <c r="M329" s="1769" t="n">
        <v>6417</v>
      </c>
      <c r="N329" s="1773" t="n">
        <v>3115.5</v>
      </c>
      <c r="O329" s="1762">
        <f>N329*E329/1000</f>
        <v/>
      </c>
      <c r="P329" s="1763">
        <f>O329/32</f>
        <v/>
      </c>
      <c r="Q329" s="1764">
        <f>N329*I329/1000</f>
        <v/>
      </c>
    </row>
    <row r="330" ht="15.75" customHeight="1">
      <c r="A330" s="728" t="inlineStr">
        <is>
          <t>FO23050056</t>
        </is>
      </c>
      <c r="B330" s="729" t="n">
        <v>45070</v>
      </c>
      <c r="C330" s="730" t="inlineStr">
        <is>
          <t>มัลติแบกซ์</t>
        </is>
      </c>
      <c r="D330" s="730" t="inlineStr">
        <is>
          <t>ท่าเรือแหลมฉบัง</t>
        </is>
      </c>
      <c r="E330" s="731" t="n">
        <v>6</v>
      </c>
      <c r="F330" s="728" t="inlineStr">
        <is>
          <t>Km</t>
        </is>
      </c>
      <c r="G330" s="728" t="inlineStr">
        <is>
          <t>รถเทรลเลอร์</t>
        </is>
      </c>
      <c r="H330" s="728" t="inlineStr">
        <is>
          <t>DURBAN, SOUTH AFRICA</t>
        </is>
      </c>
      <c r="I330" s="724" t="n">
        <v>8865</v>
      </c>
      <c r="J330" s="732" t="inlineStr">
        <is>
          <t>Km</t>
        </is>
      </c>
      <c r="K330" s="734" t="n">
        <v>3620</v>
      </c>
      <c r="L330" s="741">
        <f>M330-K330</f>
        <v/>
      </c>
      <c r="M330" s="1771" t="n">
        <v>30120</v>
      </c>
      <c r="N330" s="1772" t="n">
        <v>23240.6</v>
      </c>
      <c r="O330" s="1762">
        <f>N330*E330/1000</f>
        <v/>
      </c>
      <c r="P330" s="1763">
        <f>O330/32</f>
        <v/>
      </c>
      <c r="Q330" s="1764">
        <f>N330*I330/1000</f>
        <v/>
      </c>
    </row>
    <row r="331" ht="15.75" customHeight="1">
      <c r="A331" s="719" t="inlineStr">
        <is>
          <t>FO23050057</t>
        </is>
      </c>
      <c r="B331" s="720" t="n">
        <v>45071</v>
      </c>
      <c r="C331" s="721" t="inlineStr">
        <is>
          <t>มัลติแบกซ์</t>
        </is>
      </c>
      <c r="D331" s="721" t="inlineStr">
        <is>
          <t>ท่าเรือแหลมฉบัง</t>
        </is>
      </c>
      <c r="E331" s="722" t="n">
        <v>4.9</v>
      </c>
      <c r="F331" s="719" t="inlineStr">
        <is>
          <t>Km</t>
        </is>
      </c>
      <c r="G331" s="719" t="inlineStr">
        <is>
          <t>รถเทรลเลอร์</t>
        </is>
      </c>
      <c r="H331" s="719" t="inlineStr">
        <is>
          <t>DURBAN, SOUTH AFRICA</t>
        </is>
      </c>
      <c r="I331" s="724" t="n">
        <v>8865</v>
      </c>
      <c r="J331" s="723" t="inlineStr">
        <is>
          <t>Km</t>
        </is>
      </c>
      <c r="K331" s="725" t="n">
        <v>2330</v>
      </c>
      <c r="L331" s="740">
        <f>M331-K331</f>
        <v/>
      </c>
      <c r="M331" s="1769" t="n">
        <v>14506</v>
      </c>
      <c r="N331" s="1773" t="n">
        <v>11410.5</v>
      </c>
      <c r="O331" s="1762">
        <f>N331*E331/1000</f>
        <v/>
      </c>
      <c r="P331" s="1763">
        <f>O331/32</f>
        <v/>
      </c>
      <c r="Q331" s="1764">
        <f>N331*I331/1000</f>
        <v/>
      </c>
    </row>
    <row r="332" ht="15.75" customHeight="1">
      <c r="A332" s="728" t="inlineStr">
        <is>
          <t>FO23050058</t>
        </is>
      </c>
      <c r="B332" s="729" t="n">
        <v>45075</v>
      </c>
      <c r="C332" s="730" t="inlineStr">
        <is>
          <t>มัลติแบกซ์</t>
        </is>
      </c>
      <c r="D332" s="730" t="inlineStr">
        <is>
          <t>ท่าเรือแหลมฉบัง</t>
        </is>
      </c>
      <c r="E332" s="731" t="n">
        <v>7.1</v>
      </c>
      <c r="F332" s="728" t="inlineStr">
        <is>
          <t>Km</t>
        </is>
      </c>
      <c r="G332" s="728" t="inlineStr">
        <is>
          <t>รถเทรลเลอร์</t>
        </is>
      </c>
      <c r="H332" s="728" t="inlineStr">
        <is>
          <t>SYDNEY, AUSTRALIA</t>
        </is>
      </c>
      <c r="I332" s="733" t="n">
        <v>7448</v>
      </c>
      <c r="J332" s="732" t="inlineStr">
        <is>
          <t>Km</t>
        </is>
      </c>
      <c r="K332" s="734" t="n">
        <v>3640</v>
      </c>
      <c r="L332" s="741">
        <f>M332-K332</f>
        <v/>
      </c>
      <c r="M332" s="739" t="n">
        <v>27742</v>
      </c>
      <c r="N332" s="1772" t="n">
        <v>21253</v>
      </c>
      <c r="O332" s="1762">
        <f>N332*E332/1000</f>
        <v/>
      </c>
      <c r="P332" s="1763">
        <f>O332/32</f>
        <v/>
      </c>
      <c r="Q332" s="1764">
        <f>N332*I332/1000</f>
        <v/>
      </c>
    </row>
    <row r="333" ht="15.75" customHeight="1">
      <c r="A333" s="719" t="inlineStr">
        <is>
          <t>FO23050059</t>
        </is>
      </c>
      <c r="B333" s="720" t="n">
        <v>45167</v>
      </c>
      <c r="C333" s="721" t="inlineStr">
        <is>
          <t>มัลติแบกซ์</t>
        </is>
      </c>
      <c r="D333" s="721" t="inlineStr">
        <is>
          <t>ท่าเรือแหลมฉบัง</t>
        </is>
      </c>
      <c r="E333" s="722" t="n">
        <v>7.1</v>
      </c>
      <c r="F333" s="719" t="inlineStr">
        <is>
          <t>Km</t>
        </is>
      </c>
      <c r="G333" s="719" t="inlineStr">
        <is>
          <t>รถเทรลเลอร์</t>
        </is>
      </c>
      <c r="H333" s="719" t="inlineStr">
        <is>
          <t>SYDNEY, AUSTRALIA</t>
        </is>
      </c>
      <c r="I333" s="724" t="n">
        <v>7448</v>
      </c>
      <c r="J333" s="723" t="inlineStr">
        <is>
          <t>Km</t>
        </is>
      </c>
      <c r="K333" s="725" t="n">
        <v>3910</v>
      </c>
      <c r="L333" s="740">
        <f>M333-K333</f>
        <v/>
      </c>
      <c r="M333" s="738" t="n">
        <v>15162</v>
      </c>
      <c r="N333" s="1773" t="n">
        <v>6411</v>
      </c>
      <c r="O333" s="1762">
        <f>N333*E333/1000</f>
        <v/>
      </c>
      <c r="P333" s="1763">
        <f>O333/32</f>
        <v/>
      </c>
      <c r="Q333" s="1764">
        <f>N333*I333/1000</f>
        <v/>
      </c>
    </row>
    <row r="334" ht="15.75" customHeight="1">
      <c r="A334" s="728" t="inlineStr">
        <is>
          <t>FO23050060</t>
        </is>
      </c>
      <c r="B334" s="729" t="n">
        <v>45075</v>
      </c>
      <c r="C334" s="730" t="inlineStr">
        <is>
          <t>มัลติแบกซ์</t>
        </is>
      </c>
      <c r="D334" s="730" t="inlineStr">
        <is>
          <t>ท่าเรือแหลมฉบัง</t>
        </is>
      </c>
      <c r="E334" s="731" t="n">
        <v>7.1</v>
      </c>
      <c r="F334" s="728" t="inlineStr">
        <is>
          <t>Km</t>
        </is>
      </c>
      <c r="G334" s="728" t="inlineStr">
        <is>
          <t>รถเทรลเลอร์</t>
        </is>
      </c>
      <c r="H334" s="728" t="inlineStr">
        <is>
          <t>SYDNEY, AUSTRALIA</t>
        </is>
      </c>
      <c r="I334" s="733" t="n">
        <v>7448</v>
      </c>
      <c r="J334" s="732" t="inlineStr">
        <is>
          <t>Km</t>
        </is>
      </c>
      <c r="K334" s="734" t="n">
        <v>3700</v>
      </c>
      <c r="L334" s="741">
        <f>M334-K334</f>
        <v/>
      </c>
      <c r="M334" s="739" t="n">
        <v>21621</v>
      </c>
      <c r="N334" s="1772" t="n">
        <v>11998.9</v>
      </c>
      <c r="O334" s="1762">
        <f>N334*E334/1000</f>
        <v/>
      </c>
      <c r="P334" s="1763">
        <f>O334/32</f>
        <v/>
      </c>
      <c r="Q334" s="1764">
        <f>N334*I334/1000</f>
        <v/>
      </c>
    </row>
    <row r="335" ht="15.75" customHeight="1">
      <c r="A335" s="719" t="inlineStr">
        <is>
          <t>FO23050061</t>
        </is>
      </c>
      <c r="B335" s="720" t="n">
        <v>45071</v>
      </c>
      <c r="C335" s="721" t="inlineStr">
        <is>
          <t>มัลติแบกซ์</t>
        </is>
      </c>
      <c r="D335" s="721" t="inlineStr">
        <is>
          <t>ท่าเรือแหลมฉบัง</t>
        </is>
      </c>
      <c r="E335" s="722" t="n">
        <v>7.1</v>
      </c>
      <c r="F335" s="719" t="inlineStr">
        <is>
          <t>Km</t>
        </is>
      </c>
      <c r="G335" s="719" t="inlineStr">
        <is>
          <t>รถเทรลเลอร์</t>
        </is>
      </c>
      <c r="H335" s="719" t="inlineStr">
        <is>
          <t>SHUWAIKH, KUWAIT</t>
        </is>
      </c>
      <c r="I335" s="724" t="n">
        <v>5727</v>
      </c>
      <c r="J335" s="723" t="inlineStr">
        <is>
          <t>Km</t>
        </is>
      </c>
      <c r="K335" s="725" t="n">
        <v>2250</v>
      </c>
      <c r="L335" s="740">
        <f>M335-K335</f>
        <v/>
      </c>
      <c r="M335" s="738" t="n">
        <v>9025.969999999999</v>
      </c>
      <c r="N335" s="1773" t="n">
        <v>5700.45</v>
      </c>
      <c r="O335" s="1762">
        <f>N335*E335/1000</f>
        <v/>
      </c>
      <c r="P335" s="1763">
        <f>O335/32</f>
        <v/>
      </c>
      <c r="Q335" s="1764">
        <f>N335*I335/1000</f>
        <v/>
      </c>
    </row>
    <row r="336" ht="15.75" customHeight="1">
      <c r="A336" s="728" t="inlineStr">
        <is>
          <t>FO23050062</t>
        </is>
      </c>
      <c r="B336" s="729" t="n">
        <v>45072</v>
      </c>
      <c r="C336" s="730" t="inlineStr">
        <is>
          <t>มัลติแบกซ์</t>
        </is>
      </c>
      <c r="D336" s="730" t="inlineStr">
        <is>
          <t>ท่าเรือแหลมฉบัง</t>
        </is>
      </c>
      <c r="E336" s="731" t="n">
        <v>7.1</v>
      </c>
      <c r="F336" s="728" t="inlineStr">
        <is>
          <t>Km</t>
        </is>
      </c>
      <c r="G336" s="728" t="inlineStr">
        <is>
          <t>รถเทรลเลอร์</t>
        </is>
      </c>
      <c r="H336" s="728" t="inlineStr">
        <is>
          <t>HAMAD, QATAR</t>
        </is>
      </c>
      <c r="I336" s="733" t="n">
        <v>5317</v>
      </c>
      <c r="J336" s="732" t="inlineStr">
        <is>
          <t>Km</t>
        </is>
      </c>
      <c r="K336" s="734" t="n">
        <v>2180</v>
      </c>
      <c r="L336" s="741">
        <f>M336-K336</f>
        <v/>
      </c>
      <c r="M336" s="739" t="n">
        <v>8206.860000000001</v>
      </c>
      <c r="N336" s="1772" t="n">
        <v>4928.86</v>
      </c>
      <c r="O336" s="1762">
        <f>N336*E336/1000</f>
        <v/>
      </c>
      <c r="P336" s="1763">
        <f>O336/32</f>
        <v/>
      </c>
      <c r="Q336" s="1764">
        <f>N336*I336/1000</f>
        <v/>
      </c>
    </row>
    <row r="337" ht="15.75" customHeight="1">
      <c r="A337" s="719" t="inlineStr">
        <is>
          <t>FO23050063</t>
        </is>
      </c>
      <c r="B337" s="720" t="n">
        <v>45072</v>
      </c>
      <c r="C337" s="721" t="inlineStr">
        <is>
          <t>มัลติแบกซ์</t>
        </is>
      </c>
      <c r="D337" s="721" t="inlineStr">
        <is>
          <t>ท่าเรือแหลมฉบัง</t>
        </is>
      </c>
      <c r="E337" s="722" t="n">
        <v>7.1</v>
      </c>
      <c r="F337" s="719" t="inlineStr">
        <is>
          <t>Km</t>
        </is>
      </c>
      <c r="G337" s="719" t="inlineStr">
        <is>
          <t>รถเทรลเลอร์</t>
        </is>
      </c>
      <c r="H337" s="719" t="inlineStr">
        <is>
          <t>HAMAD, QATAR</t>
        </is>
      </c>
      <c r="I337" s="724" t="n">
        <v>5317</v>
      </c>
      <c r="J337" s="723" t="inlineStr">
        <is>
          <t>Km</t>
        </is>
      </c>
      <c r="K337" s="725" t="n">
        <v>3540</v>
      </c>
      <c r="L337" s="740">
        <f>M337-K337</f>
        <v/>
      </c>
      <c r="M337" s="738" t="n">
        <v>18141.07</v>
      </c>
      <c r="N337" s="1773" t="n">
        <v>12256.15</v>
      </c>
      <c r="O337" s="1762">
        <f>N337*E337/1000</f>
        <v/>
      </c>
      <c r="P337" s="1763">
        <f>O337/32</f>
        <v/>
      </c>
      <c r="Q337" s="1764">
        <f>N337*I337/1000</f>
        <v/>
      </c>
    </row>
    <row r="338" ht="15.75" customHeight="1">
      <c r="A338" s="728" t="inlineStr">
        <is>
          <t>FO23050064</t>
        </is>
      </c>
      <c r="B338" s="729" t="n">
        <v>45073</v>
      </c>
      <c r="C338" s="730" t="inlineStr">
        <is>
          <t>มัลติแบกซ์</t>
        </is>
      </c>
      <c r="D338" s="730" t="inlineStr">
        <is>
          <t>ท่าเรือแหลมฉบัง</t>
        </is>
      </c>
      <c r="E338" s="731" t="n">
        <v>7.1</v>
      </c>
      <c r="F338" s="728" t="inlineStr">
        <is>
          <t>Km</t>
        </is>
      </c>
      <c r="G338" s="728" t="inlineStr">
        <is>
          <t>รถเทรลเลอร์</t>
        </is>
      </c>
      <c r="H338" s="728" t="inlineStr">
        <is>
          <t>AJMAN PORT, UAE</t>
        </is>
      </c>
      <c r="I338" s="733" t="n">
        <v>4929</v>
      </c>
      <c r="J338" s="732" t="inlineStr">
        <is>
          <t>Km</t>
        </is>
      </c>
      <c r="K338" s="734" t="n">
        <v>3540</v>
      </c>
      <c r="L338" s="741">
        <f>M338-K338</f>
        <v/>
      </c>
      <c r="M338" s="739" t="n">
        <v>18978.84</v>
      </c>
      <c r="N338" s="1772" t="n">
        <v>13769.12</v>
      </c>
      <c r="O338" s="1762">
        <f>N338*E338/1000</f>
        <v/>
      </c>
      <c r="P338" s="1763">
        <f>O338/32</f>
        <v/>
      </c>
      <c r="Q338" s="1764">
        <f>N338*I338/1000</f>
        <v/>
      </c>
    </row>
    <row r="339" ht="15.75" customHeight="1">
      <c r="A339" s="719" t="inlineStr">
        <is>
          <t>FO23050065</t>
        </is>
      </c>
      <c r="B339" s="720" t="n">
        <v>45072</v>
      </c>
      <c r="C339" s="721" t="inlineStr">
        <is>
          <t>มัลติแบกซ์</t>
        </is>
      </c>
      <c r="D339" s="721" t="inlineStr">
        <is>
          <t>ท่าเรือแหลมฉบัง</t>
        </is>
      </c>
      <c r="E339" s="722" t="n">
        <v>7.1</v>
      </c>
      <c r="F339" s="719" t="inlineStr">
        <is>
          <t>Km</t>
        </is>
      </c>
      <c r="G339" s="719" t="inlineStr">
        <is>
          <t>รถเทรลเลอร์</t>
        </is>
      </c>
      <c r="H339" s="719" t="inlineStr">
        <is>
          <t>AJMAN PORT, UAE</t>
        </is>
      </c>
      <c r="I339" s="724" t="n">
        <v>4929</v>
      </c>
      <c r="J339" s="723" t="inlineStr">
        <is>
          <t>Km</t>
        </is>
      </c>
      <c r="K339" s="725" t="n">
        <v>3640</v>
      </c>
      <c r="L339" s="740">
        <f>M339-K339</f>
        <v/>
      </c>
      <c r="M339" s="738" t="n">
        <v>16266.85</v>
      </c>
      <c r="N339" s="1773" t="n">
        <v>10335.25</v>
      </c>
      <c r="O339" s="1762">
        <f>N339*E339/1000</f>
        <v/>
      </c>
      <c r="P339" s="1763">
        <f>O339/32</f>
        <v/>
      </c>
      <c r="Q339" s="1764">
        <f>N339*I339/1000</f>
        <v/>
      </c>
    </row>
    <row r="340" ht="15.75" customHeight="1">
      <c r="A340" s="728" t="inlineStr">
        <is>
          <t>FO23050066</t>
        </is>
      </c>
      <c r="B340" s="729" t="n">
        <v>45071</v>
      </c>
      <c r="C340" s="730" t="inlineStr">
        <is>
          <t>มัลติแบกซ์</t>
        </is>
      </c>
      <c r="D340" s="730" t="inlineStr">
        <is>
          <t>ท่าเรือแหลมฉบัง</t>
        </is>
      </c>
      <c r="E340" s="731" t="n">
        <v>6</v>
      </c>
      <c r="F340" s="728" t="inlineStr">
        <is>
          <t>Km</t>
        </is>
      </c>
      <c r="G340" s="728" t="inlineStr">
        <is>
          <t>รถเทรลเลอร์</t>
        </is>
      </c>
      <c r="H340" s="728" t="inlineStr">
        <is>
          <t>SAN JUAN, PUERTO RICO</t>
        </is>
      </c>
      <c r="I340" s="733" t="n">
        <v>9292</v>
      </c>
      <c r="J340" s="732" t="inlineStr">
        <is>
          <t>Km</t>
        </is>
      </c>
      <c r="K340" s="734" t="n">
        <v>3700</v>
      </c>
      <c r="L340" s="741">
        <f>M340-K340</f>
        <v/>
      </c>
      <c r="M340" s="739" t="n">
        <v>15118</v>
      </c>
      <c r="N340" s="1772" t="n">
        <v>7386</v>
      </c>
      <c r="O340" s="1762">
        <f>N340*E340/1000</f>
        <v/>
      </c>
      <c r="P340" s="1763">
        <f>O340/32</f>
        <v/>
      </c>
      <c r="Q340" s="1764">
        <f>N340*I340/1000</f>
        <v/>
      </c>
    </row>
    <row r="341" ht="15.75" customHeight="1">
      <c r="A341" s="719" t="inlineStr">
        <is>
          <t>FO23050067</t>
        </is>
      </c>
      <c r="B341" s="720" t="n">
        <v>45071</v>
      </c>
      <c r="C341" s="721" t="inlineStr">
        <is>
          <t>มัลติแบกซ์</t>
        </is>
      </c>
      <c r="D341" s="721" t="inlineStr">
        <is>
          <t>ท่าเรือแหลมฉบัง</t>
        </is>
      </c>
      <c r="E341" s="722" t="n">
        <v>6</v>
      </c>
      <c r="F341" s="719" t="inlineStr">
        <is>
          <t>Km</t>
        </is>
      </c>
      <c r="G341" s="719" t="inlineStr">
        <is>
          <t>รถเทรลเลอร์</t>
        </is>
      </c>
      <c r="H341" s="719" t="inlineStr">
        <is>
          <t>SAN JUAN, PUERTO RICO</t>
        </is>
      </c>
      <c r="I341" s="724" t="n">
        <v>9292</v>
      </c>
      <c r="J341" s="723" t="inlineStr">
        <is>
          <t>Km</t>
        </is>
      </c>
      <c r="K341" s="725" t="n">
        <v>3700</v>
      </c>
      <c r="L341" s="740">
        <f>M341-K341</f>
        <v/>
      </c>
      <c r="M341" s="738" t="n">
        <v>15118</v>
      </c>
      <c r="N341" s="1773" t="n">
        <v>7386</v>
      </c>
      <c r="O341" s="1762">
        <f>N341*E341/1000</f>
        <v/>
      </c>
      <c r="P341" s="1763">
        <f>O341/32</f>
        <v/>
      </c>
      <c r="Q341" s="1764">
        <f>N341*I341/1000</f>
        <v/>
      </c>
    </row>
    <row r="342" ht="15.75" customHeight="1">
      <c r="A342" s="728" t="inlineStr">
        <is>
          <t>FO23050068</t>
        </is>
      </c>
      <c r="B342" s="729" t="n">
        <v>45076</v>
      </c>
      <c r="C342" s="730" t="inlineStr">
        <is>
          <t>มัลติแบกซ์</t>
        </is>
      </c>
      <c r="D342" s="730" t="inlineStr">
        <is>
          <t>ท่าเรือแหลมฉบัง</t>
        </is>
      </c>
      <c r="E342" s="731" t="n">
        <v>6.2</v>
      </c>
      <c r="F342" s="728" t="inlineStr">
        <is>
          <t>Km</t>
        </is>
      </c>
      <c r="G342" s="728" t="inlineStr">
        <is>
          <t>รถเทรลเลอร์</t>
        </is>
      </c>
      <c r="H342" s="728" t="inlineStr">
        <is>
          <t>SANTA TERESA, NM USA</t>
        </is>
      </c>
      <c r="I342" s="733" t="n">
        <v>17387</v>
      </c>
      <c r="J342" s="732" t="inlineStr">
        <is>
          <t>Km</t>
        </is>
      </c>
      <c r="K342" s="734" t="n">
        <v>3900</v>
      </c>
      <c r="L342" s="741">
        <f>M342-K342</f>
        <v/>
      </c>
      <c r="M342" s="739" t="n">
        <v>21692.65</v>
      </c>
      <c r="N342" s="1772" t="n">
        <v>15577.53</v>
      </c>
      <c r="O342" s="1762">
        <f>N342*E342/1000</f>
        <v/>
      </c>
      <c r="P342" s="1763">
        <f>O342/32</f>
        <v/>
      </c>
      <c r="Q342" s="1764">
        <f>N342*I342/1000</f>
        <v/>
      </c>
    </row>
    <row r="343" ht="15.75" customHeight="1">
      <c r="A343" s="719" t="inlineStr">
        <is>
          <t>FO23050069</t>
        </is>
      </c>
      <c r="B343" s="720" t="n">
        <v>45076</v>
      </c>
      <c r="C343" s="721" t="inlineStr">
        <is>
          <t>มัลติแบกซ์</t>
        </is>
      </c>
      <c r="D343" s="721" t="inlineStr">
        <is>
          <t>ท่าเรือแหลมฉบัง</t>
        </is>
      </c>
      <c r="E343" s="722" t="n">
        <v>6.2</v>
      </c>
      <c r="F343" s="719" t="inlineStr">
        <is>
          <t>Km</t>
        </is>
      </c>
      <c r="G343" s="719" t="inlineStr">
        <is>
          <t>รถเทรลเลอร์</t>
        </is>
      </c>
      <c r="H343" s="719" t="inlineStr">
        <is>
          <t>SANTA TERESA, NM USA</t>
        </is>
      </c>
      <c r="I343" s="724" t="n">
        <v>17387</v>
      </c>
      <c r="J343" s="723" t="inlineStr">
        <is>
          <t>Km</t>
        </is>
      </c>
      <c r="K343" s="725" t="n">
        <v>3870</v>
      </c>
      <c r="L343" s="740">
        <f>M343-K343</f>
        <v/>
      </c>
      <c r="M343" s="738" t="n">
        <v>21924.47</v>
      </c>
      <c r="N343" s="1774" t="n">
        <v>15372.93</v>
      </c>
      <c r="O343" s="1762">
        <f>N343*E343/1000</f>
        <v/>
      </c>
      <c r="P343" s="1763">
        <f>O343/32</f>
        <v/>
      </c>
      <c r="Q343" s="1764">
        <f>N343*I343/1000</f>
        <v/>
      </c>
    </row>
    <row r="344" ht="15.75" customHeight="1">
      <c r="A344" s="728" t="inlineStr">
        <is>
          <t>FO23050070</t>
        </is>
      </c>
      <c r="B344" s="729" t="n">
        <v>45077</v>
      </c>
      <c r="C344" s="730" t="inlineStr">
        <is>
          <t>มัลติแบกซ์</t>
        </is>
      </c>
      <c r="D344" s="730" t="inlineStr">
        <is>
          <t>ท่าเรือแหลมฉบัง</t>
        </is>
      </c>
      <c r="E344" s="731" t="n">
        <v>6.2</v>
      </c>
      <c r="F344" s="728" t="inlineStr">
        <is>
          <t>Km</t>
        </is>
      </c>
      <c r="G344" s="728" t="inlineStr">
        <is>
          <t>รถเทรลเลอร์</t>
        </is>
      </c>
      <c r="H344" s="728" t="inlineStr">
        <is>
          <t>GUANGZHOU, CHINA</t>
        </is>
      </c>
      <c r="I344" s="733" t="n">
        <v>2597</v>
      </c>
      <c r="J344" s="732" t="inlineStr">
        <is>
          <t>Km</t>
        </is>
      </c>
      <c r="K344" s="734" t="n">
        <v>2100</v>
      </c>
      <c r="L344" s="741">
        <f>M344-K344</f>
        <v/>
      </c>
      <c r="M344" s="739" t="n">
        <v>5654.1</v>
      </c>
      <c r="N344" s="1775" t="n">
        <v>2424</v>
      </c>
      <c r="O344" s="1762">
        <f>N344*E344/1000</f>
        <v/>
      </c>
      <c r="P344" s="1763">
        <f>O344/32</f>
        <v/>
      </c>
      <c r="Q344" s="1764">
        <f>N344*I344/1000</f>
        <v/>
      </c>
    </row>
    <row r="345" ht="15.75" customHeight="1">
      <c r="A345" s="719" t="inlineStr">
        <is>
          <t>FO23050071</t>
        </is>
      </c>
      <c r="B345" s="720" t="n">
        <v>45077</v>
      </c>
      <c r="C345" s="721" t="inlineStr">
        <is>
          <t>มัลติแบกซ์</t>
        </is>
      </c>
      <c r="D345" s="721" t="inlineStr">
        <is>
          <t>ท่าเรือแหลมฉบัง</t>
        </is>
      </c>
      <c r="E345" s="722" t="n">
        <v>6.2</v>
      </c>
      <c r="F345" s="719" t="inlineStr">
        <is>
          <t>Km</t>
        </is>
      </c>
      <c r="G345" s="719" t="inlineStr">
        <is>
          <t>รถเทรลเลอร์</t>
        </is>
      </c>
      <c r="H345" s="719" t="inlineStr">
        <is>
          <t>COLUMBUS OHIO, USA</t>
        </is>
      </c>
      <c r="I345" s="724" t="n">
        <v>14000</v>
      </c>
      <c r="J345" s="723" t="inlineStr">
        <is>
          <t>Km</t>
        </is>
      </c>
      <c r="K345" s="725" t="n">
        <v>3700</v>
      </c>
      <c r="L345" s="740">
        <f>M345-K345</f>
        <v/>
      </c>
      <c r="M345" s="738" t="n">
        <v>23235.23</v>
      </c>
      <c r="N345" s="1774" t="n">
        <v>16760.77</v>
      </c>
      <c r="O345" s="1762">
        <f>N345*E345/1000</f>
        <v/>
      </c>
      <c r="P345" s="1763">
        <f>O345/32</f>
        <v/>
      </c>
      <c r="Q345" s="1764">
        <f>N345*I345/1000</f>
        <v/>
      </c>
    </row>
    <row r="346" ht="15.75" customHeight="1">
      <c r="A346" s="728" t="inlineStr">
        <is>
          <t>FO23050072</t>
        </is>
      </c>
      <c r="B346" s="729" t="n">
        <v>45075</v>
      </c>
      <c r="C346" s="730" t="inlineStr">
        <is>
          <t>มัลติแบกซ์</t>
        </is>
      </c>
      <c r="D346" s="730" t="inlineStr">
        <is>
          <t>ท่าเรือแหลมฉบัง</t>
        </is>
      </c>
      <c r="E346" s="731" t="n">
        <v>11.9</v>
      </c>
      <c r="F346" s="728" t="inlineStr">
        <is>
          <t>Km</t>
        </is>
      </c>
      <c r="G346" s="728" t="inlineStr">
        <is>
          <t>รถเทรลเลอร์</t>
        </is>
      </c>
      <c r="H346" s="728" t="inlineStr">
        <is>
          <t>CARROLLTON TX, USA</t>
        </is>
      </c>
      <c r="I346" s="733" t="n">
        <v>14544</v>
      </c>
      <c r="J346" s="732" t="inlineStr">
        <is>
          <t>Km</t>
        </is>
      </c>
      <c r="K346" s="734" t="n">
        <v>3900</v>
      </c>
      <c r="L346" s="741">
        <f>M346-K346</f>
        <v/>
      </c>
      <c r="M346" s="739" t="n">
        <v>17364.5</v>
      </c>
      <c r="N346" s="1772" t="n">
        <v>11047.5</v>
      </c>
      <c r="O346" s="1762">
        <f>N346*E346/1000</f>
        <v/>
      </c>
      <c r="P346" s="1763">
        <f>O346/32</f>
        <v/>
      </c>
      <c r="Q346" s="1764">
        <f>N346*I346/1000</f>
        <v/>
      </c>
    </row>
    <row r="347" ht="15.75" customHeight="1">
      <c r="A347" s="719" t="inlineStr">
        <is>
          <t>FO23050073</t>
        </is>
      </c>
      <c r="B347" s="720" t="n">
        <v>45077</v>
      </c>
      <c r="C347" s="721" t="inlineStr">
        <is>
          <t>มัลติแบกซ์</t>
        </is>
      </c>
      <c r="D347" s="721" t="inlineStr">
        <is>
          <t>ท่าเรือแหลมฉบัง</t>
        </is>
      </c>
      <c r="E347" s="722" t="n">
        <v>6.2</v>
      </c>
      <c r="F347" s="719" t="inlineStr">
        <is>
          <t>Km</t>
        </is>
      </c>
      <c r="G347" s="719" t="inlineStr">
        <is>
          <t>รถเทรลเลอร์</t>
        </is>
      </c>
      <c r="H347" s="719" t="inlineStr">
        <is>
          <t>APPLETON WI , USA</t>
        </is>
      </c>
      <c r="I347" s="724" t="n">
        <v>13558</v>
      </c>
      <c r="J347" s="723" t="inlineStr">
        <is>
          <t>Km</t>
        </is>
      </c>
      <c r="K347" s="725" t="n">
        <v>3890</v>
      </c>
      <c r="L347" s="740">
        <f>M347-K347</f>
        <v/>
      </c>
      <c r="M347" s="738" t="n">
        <v>17925.5</v>
      </c>
      <c r="N347" s="1774" t="n">
        <v>10580.5</v>
      </c>
      <c r="O347" s="1762">
        <f>N347*E347/1000</f>
        <v/>
      </c>
      <c r="P347" s="1763">
        <f>O347/32</f>
        <v/>
      </c>
      <c r="Q347" s="1764">
        <f>N347*I347/1000</f>
        <v/>
      </c>
    </row>
    <row r="348" ht="15.75" customHeight="1">
      <c r="A348" s="728" t="inlineStr">
        <is>
          <t>FO23050074</t>
        </is>
      </c>
      <c r="B348" s="729" t="n">
        <v>45077</v>
      </c>
      <c r="C348" s="730" t="inlineStr">
        <is>
          <t>มัลติแบกซ์</t>
        </is>
      </c>
      <c r="D348" s="730" t="inlineStr">
        <is>
          <t>ท่าเรือแหลมฉบัง</t>
        </is>
      </c>
      <c r="E348" s="731" t="n">
        <v>6.2</v>
      </c>
      <c r="F348" s="728" t="inlineStr">
        <is>
          <t>Km</t>
        </is>
      </c>
      <c r="G348" s="728" t="inlineStr">
        <is>
          <t>รถเทรลเลอร์</t>
        </is>
      </c>
      <c r="H348" s="728" t="inlineStr">
        <is>
          <t>SOUTH BOSTON VA, USA</t>
        </is>
      </c>
      <c r="I348" s="733" t="n">
        <v>13787</v>
      </c>
      <c r="J348" s="732" t="inlineStr">
        <is>
          <t>Km</t>
        </is>
      </c>
      <c r="K348" s="734" t="n">
        <v>3840</v>
      </c>
      <c r="L348" s="741">
        <f>M348-K348</f>
        <v/>
      </c>
      <c r="M348" s="739" t="n">
        <v>22911.6</v>
      </c>
      <c r="N348" s="1775" t="n">
        <v>15602.4</v>
      </c>
      <c r="O348" s="1762">
        <f>N348*E348/1000</f>
        <v/>
      </c>
      <c r="P348" s="1763">
        <f>O348/32</f>
        <v/>
      </c>
      <c r="Q348" s="1764">
        <f>N348*I348/1000</f>
        <v/>
      </c>
    </row>
    <row r="349" ht="15.75" customHeight="1">
      <c r="A349" s="719" t="inlineStr">
        <is>
          <t>FO23060001</t>
        </is>
      </c>
      <c r="B349" s="720" t="n">
        <v>45083</v>
      </c>
      <c r="C349" s="721" t="inlineStr">
        <is>
          <t>มัลติแบกซ์</t>
        </is>
      </c>
      <c r="D349" s="721" t="inlineStr">
        <is>
          <t>ท่าเรือแหลมฉบัง</t>
        </is>
      </c>
      <c r="E349" s="722" t="n">
        <v>7.1</v>
      </c>
      <c r="F349" s="719" t="inlineStr">
        <is>
          <t>Km</t>
        </is>
      </c>
      <c r="G349" s="719" t="inlineStr">
        <is>
          <t>รถเทรลเลอร์</t>
        </is>
      </c>
      <c r="H349" s="719" t="inlineStr">
        <is>
          <t>SYDNEY, AUSTRALIA</t>
        </is>
      </c>
      <c r="I349" s="724" t="n">
        <v>7448</v>
      </c>
      <c r="J349" s="723" t="inlineStr">
        <is>
          <t>Km</t>
        </is>
      </c>
      <c r="K349" s="725" t="n">
        <v>3800</v>
      </c>
      <c r="L349" s="740">
        <f>M349-K349</f>
        <v/>
      </c>
      <c r="M349" s="738" t="n">
        <v>23177</v>
      </c>
      <c r="N349" s="1773" t="n">
        <v>10732</v>
      </c>
      <c r="O349" s="1762">
        <f>N349*E349/1000</f>
        <v/>
      </c>
      <c r="P349" s="1763">
        <f>O349/32</f>
        <v/>
      </c>
      <c r="Q349" s="1764">
        <f>N349*I349/1000</f>
        <v/>
      </c>
    </row>
    <row r="350" ht="15.75" customHeight="1">
      <c r="A350" s="728" t="inlineStr">
        <is>
          <t>FO23060002</t>
        </is>
      </c>
      <c r="B350" s="729" t="n">
        <v>45083</v>
      </c>
      <c r="C350" s="730" t="inlineStr">
        <is>
          <t>มัลติแบกซ์</t>
        </is>
      </c>
      <c r="D350" s="730" t="inlineStr">
        <is>
          <t>ท่าเรือแหลมฉบัง</t>
        </is>
      </c>
      <c r="E350" s="731" t="n">
        <v>7.1</v>
      </c>
      <c r="F350" s="728" t="inlineStr">
        <is>
          <t>Km</t>
        </is>
      </c>
      <c r="G350" s="728" t="inlineStr">
        <is>
          <t>รถเทรลเลอร์</t>
        </is>
      </c>
      <c r="H350" s="728" t="inlineStr">
        <is>
          <t>MELBOURNE, AUSTRALIA</t>
        </is>
      </c>
      <c r="I350" s="733" t="n">
        <v>7283</v>
      </c>
      <c r="J350" s="732" t="inlineStr">
        <is>
          <t>Km</t>
        </is>
      </c>
      <c r="K350" s="734" t="n">
        <v>3780</v>
      </c>
      <c r="L350" s="741">
        <f>M350-K350</f>
        <v/>
      </c>
      <c r="M350" s="739" t="n">
        <v>27842</v>
      </c>
      <c r="N350" s="1772" t="n">
        <v>20143</v>
      </c>
      <c r="O350" s="1762">
        <f>N350*E350/1000</f>
        <v/>
      </c>
      <c r="P350" s="1763">
        <f>O350/32</f>
        <v/>
      </c>
      <c r="Q350" s="1764">
        <f>N350*I350/1000</f>
        <v/>
      </c>
    </row>
    <row r="351" ht="15.75" customHeight="1">
      <c r="A351" s="719" t="inlineStr">
        <is>
          <t>FO23060003</t>
        </is>
      </c>
      <c r="B351" s="720" t="n">
        <v>45084</v>
      </c>
      <c r="C351" s="721" t="inlineStr">
        <is>
          <t>มัลติแบกซ์</t>
        </is>
      </c>
      <c r="D351" s="721" t="inlineStr">
        <is>
          <t>ท่าเรือแหลมฉบัง</t>
        </is>
      </c>
      <c r="E351" s="722" t="n">
        <v>7.1</v>
      </c>
      <c r="F351" s="719" t="inlineStr">
        <is>
          <t>Km</t>
        </is>
      </c>
      <c r="G351" s="719" t="inlineStr">
        <is>
          <t>รถเทรลเลอร์</t>
        </is>
      </c>
      <c r="H351" s="719" t="inlineStr">
        <is>
          <t>MELBOURNE, AUSTRALIA</t>
        </is>
      </c>
      <c r="I351" s="724" t="n">
        <v>7283</v>
      </c>
      <c r="J351" s="723" t="inlineStr">
        <is>
          <t>Km</t>
        </is>
      </c>
      <c r="K351" s="725" t="n">
        <v>3590</v>
      </c>
      <c r="L351" s="740">
        <f>M351-K351</f>
        <v/>
      </c>
      <c r="M351" s="738" t="n">
        <v>27717</v>
      </c>
      <c r="N351" s="1773" t="n">
        <v>17495</v>
      </c>
      <c r="O351" s="1762">
        <f>N351*E351/1000</f>
        <v/>
      </c>
      <c r="P351" s="1763">
        <f>O351/32</f>
        <v/>
      </c>
      <c r="Q351" s="1764">
        <f>N351*I351/1000</f>
        <v/>
      </c>
    </row>
    <row r="352" ht="15.75" customHeight="1">
      <c r="A352" s="728" t="inlineStr">
        <is>
          <t>FO23060004</t>
        </is>
      </c>
      <c r="B352" s="729" t="n">
        <v>45083</v>
      </c>
      <c r="C352" s="730" t="inlineStr">
        <is>
          <t>มัลติแบกซ์</t>
        </is>
      </c>
      <c r="D352" s="730" t="inlineStr">
        <is>
          <t>ท่าเรือแหลมฉบัง</t>
        </is>
      </c>
      <c r="E352" s="731" t="n">
        <v>7.1</v>
      </c>
      <c r="F352" s="728" t="inlineStr">
        <is>
          <t>Km</t>
        </is>
      </c>
      <c r="G352" s="728" t="inlineStr">
        <is>
          <t>รถเทรลเลอร์</t>
        </is>
      </c>
      <c r="H352" s="728" t="inlineStr">
        <is>
          <t>MELBOURNE, AUSTRALIA</t>
        </is>
      </c>
      <c r="I352" s="733" t="n">
        <v>7283</v>
      </c>
      <c r="J352" s="732" t="inlineStr">
        <is>
          <t>Km</t>
        </is>
      </c>
      <c r="K352" s="734" t="n">
        <v>3640</v>
      </c>
      <c r="L352" s="741">
        <f>M352-K352</f>
        <v/>
      </c>
      <c r="M352" s="739" t="n">
        <v>27692</v>
      </c>
      <c r="N352" s="1772" t="n">
        <v>21079</v>
      </c>
      <c r="O352" s="1762">
        <f>N352*E352/1000</f>
        <v/>
      </c>
      <c r="P352" s="1763">
        <f>O352/32</f>
        <v/>
      </c>
      <c r="Q352" s="1764">
        <f>N352*I352/1000</f>
        <v/>
      </c>
    </row>
    <row r="353" ht="15.75" customHeight="1">
      <c r="A353" s="719" t="inlineStr">
        <is>
          <t>FO23060005</t>
        </is>
      </c>
      <c r="B353" s="720" t="n">
        <v>45079</v>
      </c>
      <c r="C353" s="721" t="inlineStr">
        <is>
          <t>มัลติแบกซ์</t>
        </is>
      </c>
      <c r="D353" s="721" t="inlineStr">
        <is>
          <t>ท่าเรือแหลมฉบัง</t>
        </is>
      </c>
      <c r="E353" s="722" t="n">
        <v>6.5</v>
      </c>
      <c r="F353" s="721" t="inlineStr">
        <is>
          <t>Km</t>
        </is>
      </c>
      <c r="G353" s="721" t="inlineStr">
        <is>
          <t>รถเทรลเลอร์</t>
        </is>
      </c>
      <c r="H353" s="719" t="inlineStr">
        <is>
          <t>SOUTH BOSTON VA, USA</t>
        </is>
      </c>
      <c r="I353" s="724" t="n">
        <v>13787</v>
      </c>
      <c r="J353" s="750" t="inlineStr">
        <is>
          <t>Km</t>
        </is>
      </c>
      <c r="K353" s="725" t="n">
        <v>4100</v>
      </c>
      <c r="L353" s="740">
        <f>M353-K353</f>
        <v/>
      </c>
      <c r="M353" s="738" t="n">
        <v>20898.5</v>
      </c>
      <c r="N353" s="1773" t="n">
        <v>13230</v>
      </c>
      <c r="O353" s="1762">
        <f>N353*E353/1000</f>
        <v/>
      </c>
      <c r="P353" s="1763">
        <f>O353/32</f>
        <v/>
      </c>
      <c r="Q353" s="1764">
        <f>N353*I353/1000</f>
        <v/>
      </c>
    </row>
    <row r="354" ht="15.75" customHeight="1">
      <c r="A354" s="710" t="inlineStr">
        <is>
          <t>FO23060006</t>
        </is>
      </c>
      <c r="B354" s="729" t="n">
        <v>45089</v>
      </c>
      <c r="C354" s="710" t="inlineStr">
        <is>
          <t>มัลติแบกซ์</t>
        </is>
      </c>
      <c r="D354" s="710" t="inlineStr">
        <is>
          <t>ท่าเรือแหลมฉบัง</t>
        </is>
      </c>
      <c r="E354" s="712" t="n">
        <v>7.1</v>
      </c>
      <c r="F354" s="710" t="inlineStr">
        <is>
          <t>Km</t>
        </is>
      </c>
      <c r="G354" s="710" t="inlineStr">
        <is>
          <t>รถเทรลเลอร์</t>
        </is>
      </c>
      <c r="H354" s="728" t="inlineStr">
        <is>
          <t>SINGAPORE</t>
        </is>
      </c>
      <c r="I354" s="733" t="n">
        <v>1931</v>
      </c>
      <c r="J354" s="715" t="inlineStr">
        <is>
          <t>Km</t>
        </is>
      </c>
      <c r="K354" s="716" t="n">
        <v>3132.45</v>
      </c>
      <c r="L354" s="742" t="n">
        <v>2333.8</v>
      </c>
      <c r="M354" s="743" t="n">
        <v>4466.25</v>
      </c>
      <c r="N354" s="1772" t="n">
        <v>3132.45</v>
      </c>
      <c r="O354" s="1762">
        <f>N354*E354/1000</f>
        <v/>
      </c>
      <c r="P354" s="1763">
        <f>O354/32</f>
        <v/>
      </c>
      <c r="Q354" s="1764">
        <f>N354*I354/1000</f>
        <v/>
      </c>
    </row>
    <row r="355" ht="15.75" customHeight="1">
      <c r="A355" s="719" t="inlineStr">
        <is>
          <t>FO23060007</t>
        </is>
      </c>
      <c r="B355" s="720" t="n">
        <v>45086</v>
      </c>
      <c r="C355" s="721" t="inlineStr">
        <is>
          <t>มัลติแบกซ์</t>
        </is>
      </c>
      <c r="D355" s="721" t="inlineStr">
        <is>
          <t>ท่าเรือแหลมฉบัง</t>
        </is>
      </c>
      <c r="E355" s="722" t="n">
        <v>7.1</v>
      </c>
      <c r="F355" s="719" t="inlineStr">
        <is>
          <t>Km</t>
        </is>
      </c>
      <c r="G355" s="719" t="inlineStr">
        <is>
          <t>รถเทรลเลอร์</t>
        </is>
      </c>
      <c r="H355" s="719" t="inlineStr">
        <is>
          <t>AJMAN PORT, UAE</t>
        </is>
      </c>
      <c r="I355" s="724" t="n">
        <v>4929</v>
      </c>
      <c r="J355" s="723" t="inlineStr">
        <is>
          <t>Km</t>
        </is>
      </c>
      <c r="K355" s="725" t="n">
        <v>2220</v>
      </c>
      <c r="L355" s="740">
        <f>M355-K355</f>
        <v/>
      </c>
      <c r="M355" s="738" t="n">
        <v>8673.5</v>
      </c>
      <c r="N355" s="1773" t="n">
        <v>5315.02</v>
      </c>
      <c r="O355" s="1762">
        <f>N355*E355/1000</f>
        <v/>
      </c>
      <c r="P355" s="1763">
        <f>O355/32</f>
        <v/>
      </c>
      <c r="Q355" s="1764">
        <f>N355*I355/1000</f>
        <v/>
      </c>
    </row>
    <row r="356" ht="15.75" customHeight="1">
      <c r="A356" s="728" t="inlineStr">
        <is>
          <t>FO23060008</t>
        </is>
      </c>
      <c r="B356" s="729" t="n">
        <v>45083</v>
      </c>
      <c r="C356" s="730" t="inlineStr">
        <is>
          <t>มัลติแบกซ์</t>
        </is>
      </c>
      <c r="D356" s="730" t="inlineStr">
        <is>
          <t>ท่าเรือแหลมฉบัง</t>
        </is>
      </c>
      <c r="E356" s="731" t="n">
        <v>7.1</v>
      </c>
      <c r="F356" s="728" t="inlineStr">
        <is>
          <t>Km</t>
        </is>
      </c>
      <c r="G356" s="728" t="inlineStr">
        <is>
          <t>รถเทรลเลอร์</t>
        </is>
      </c>
      <c r="H356" s="728" t="inlineStr">
        <is>
          <t>NINGBO, CHINA</t>
        </is>
      </c>
      <c r="I356" s="733" t="n">
        <v>3824</v>
      </c>
      <c r="J356" s="732" t="inlineStr">
        <is>
          <t>Km</t>
        </is>
      </c>
      <c r="K356" s="734" t="n">
        <v>3700</v>
      </c>
      <c r="L356" s="741">
        <f>M356-K356</f>
        <v/>
      </c>
      <c r="M356" s="739" t="n">
        <v>14753.91</v>
      </c>
      <c r="N356" s="1772" t="n">
        <v>8259.84</v>
      </c>
      <c r="O356" s="1762">
        <f>N356*E356/1000</f>
        <v/>
      </c>
      <c r="P356" s="1763">
        <f>O356/32</f>
        <v/>
      </c>
      <c r="Q356" s="1764">
        <f>N356*I356/1000</f>
        <v/>
      </c>
    </row>
    <row r="357" ht="15.75" customHeight="1">
      <c r="A357" s="719" t="inlineStr">
        <is>
          <t>FO23060009</t>
        </is>
      </c>
      <c r="B357" s="720" t="n">
        <v>45079</v>
      </c>
      <c r="C357" s="721" t="inlineStr">
        <is>
          <t>มัลติแบกซ์</t>
        </is>
      </c>
      <c r="D357" s="721" t="inlineStr">
        <is>
          <t>ท่าเรือแหลมฉบัง</t>
        </is>
      </c>
      <c r="E357" s="722" t="n">
        <v>7.1</v>
      </c>
      <c r="F357" s="719" t="inlineStr">
        <is>
          <t>Km</t>
        </is>
      </c>
      <c r="G357" s="719" t="inlineStr">
        <is>
          <t>รถเทรลเลอร์</t>
        </is>
      </c>
      <c r="H357" s="719" t="inlineStr">
        <is>
          <t>UK PORT</t>
        </is>
      </c>
      <c r="I357" s="724" t="n">
        <v>9687</v>
      </c>
      <c r="J357" s="723" t="inlineStr">
        <is>
          <t>Km</t>
        </is>
      </c>
      <c r="K357" s="725" t="n">
        <v>3570</v>
      </c>
      <c r="L357" s="740">
        <f>M357-K357</f>
        <v/>
      </c>
      <c r="M357" s="738" t="n">
        <v>23158.1</v>
      </c>
      <c r="N357" s="1773" t="n">
        <v>18254.7</v>
      </c>
      <c r="O357" s="1762">
        <f>N357*E357/1000</f>
        <v/>
      </c>
      <c r="P357" s="1763">
        <f>O357/32</f>
        <v/>
      </c>
      <c r="Q357" s="1764">
        <f>N357*I357/1000</f>
        <v/>
      </c>
    </row>
    <row r="358" ht="15.75" customHeight="1">
      <c r="A358" s="728" t="inlineStr">
        <is>
          <t>FO23060010</t>
        </is>
      </c>
      <c r="B358" s="729" t="n">
        <v>45083</v>
      </c>
      <c r="C358" s="730" t="inlineStr">
        <is>
          <t>มัลติแบกซ์</t>
        </is>
      </c>
      <c r="D358" s="730" t="inlineStr">
        <is>
          <t>ท่าเรือแหลมฉบัง</t>
        </is>
      </c>
      <c r="E358" s="731" t="n">
        <v>11.9</v>
      </c>
      <c r="F358" s="728" t="inlineStr">
        <is>
          <t>Km</t>
        </is>
      </c>
      <c r="G358" s="728" t="inlineStr">
        <is>
          <t>รถเทรลเลอร์</t>
        </is>
      </c>
      <c r="H358" s="728" t="inlineStr">
        <is>
          <t>APPLETON WI , USA</t>
        </is>
      </c>
      <c r="I358" s="733" t="n">
        <v>13558</v>
      </c>
      <c r="J358" s="732" t="inlineStr">
        <is>
          <t>Km</t>
        </is>
      </c>
      <c r="K358" s="734" t="n">
        <v>3800</v>
      </c>
      <c r="L358" s="741">
        <f>M358-K358</f>
        <v/>
      </c>
      <c r="M358" s="739" t="n">
        <v>13402</v>
      </c>
      <c r="N358" s="1772" t="n">
        <v>5376</v>
      </c>
      <c r="O358" s="1762">
        <f>N358*E358/1000</f>
        <v/>
      </c>
      <c r="P358" s="1763">
        <f>O358/32</f>
        <v/>
      </c>
      <c r="Q358" s="1764">
        <f>N358*I358/1000</f>
        <v/>
      </c>
    </row>
    <row r="359" ht="15.75" customHeight="1">
      <c r="A359" s="719" t="inlineStr">
        <is>
          <t>FO23060011</t>
        </is>
      </c>
      <c r="B359" s="720" t="n">
        <v>45083</v>
      </c>
      <c r="C359" s="721" t="inlineStr">
        <is>
          <t>มัลติแบกซ์</t>
        </is>
      </c>
      <c r="D359" s="721" t="inlineStr">
        <is>
          <t>ท่าเรือแหลมฉบัง</t>
        </is>
      </c>
      <c r="E359" s="722" t="n">
        <v>6.2</v>
      </c>
      <c r="F359" s="719" t="inlineStr">
        <is>
          <t>Km</t>
        </is>
      </c>
      <c r="G359" s="719" t="inlineStr">
        <is>
          <t>รถเทรลเลอร์</t>
        </is>
      </c>
      <c r="H359" s="719" t="inlineStr">
        <is>
          <t>CARROLLTON TX, USA</t>
        </is>
      </c>
      <c r="I359" s="724" t="n">
        <v>14544</v>
      </c>
      <c r="J359" s="723" t="inlineStr">
        <is>
          <t>Km</t>
        </is>
      </c>
      <c r="K359" s="725" t="n">
        <v>3900</v>
      </c>
      <c r="L359" s="740">
        <f>M359-K359</f>
        <v/>
      </c>
      <c r="M359" s="738" t="n">
        <v>16460</v>
      </c>
      <c r="N359" s="1773" t="n">
        <v>9747.4</v>
      </c>
      <c r="O359" s="1762">
        <f>N359*E359/1000</f>
        <v/>
      </c>
      <c r="P359" s="1763">
        <f>O359/32</f>
        <v/>
      </c>
      <c r="Q359" s="1764">
        <f>N359*I359/1000</f>
        <v/>
      </c>
    </row>
    <row r="360" ht="15.75" customHeight="1">
      <c r="A360" s="728" t="inlineStr">
        <is>
          <t>FO23060012</t>
        </is>
      </c>
      <c r="B360" s="729" t="n">
        <v>45083</v>
      </c>
      <c r="C360" s="730" t="inlineStr">
        <is>
          <t>มัลติแบกซ์</t>
        </is>
      </c>
      <c r="D360" s="730" t="inlineStr">
        <is>
          <t>ท่าเรือแหลมฉบัง</t>
        </is>
      </c>
      <c r="E360" s="731" t="n">
        <v>6.2</v>
      </c>
      <c r="F360" s="728" t="inlineStr">
        <is>
          <t>Km</t>
        </is>
      </c>
      <c r="G360" s="728" t="inlineStr">
        <is>
          <t>รถเทรลเลอร์</t>
        </is>
      </c>
      <c r="H360" s="728" t="inlineStr">
        <is>
          <t>PERRIS CA, USA</t>
        </is>
      </c>
      <c r="I360" s="733" t="n">
        <v>13413</v>
      </c>
      <c r="J360" s="732" t="inlineStr">
        <is>
          <t>Km</t>
        </is>
      </c>
      <c r="K360" s="734" t="n">
        <v>3700</v>
      </c>
      <c r="L360" s="741">
        <f>M360-K360</f>
        <v/>
      </c>
      <c r="M360" s="739" t="n">
        <v>20309</v>
      </c>
      <c r="N360" s="1772" t="n">
        <v>13542</v>
      </c>
      <c r="O360" s="1762">
        <f>N360*E360/1000</f>
        <v/>
      </c>
      <c r="P360" s="1763">
        <f>O360/32</f>
        <v/>
      </c>
      <c r="Q360" s="1764">
        <f>N360*I360/1000</f>
        <v/>
      </c>
    </row>
    <row r="361" ht="15.75" customHeight="1">
      <c r="A361" s="719" t="inlineStr">
        <is>
          <t>FO23060013</t>
        </is>
      </c>
      <c r="B361" s="720" t="n">
        <v>45083</v>
      </c>
      <c r="C361" s="721" t="inlineStr">
        <is>
          <t>มัลติแบกซ์</t>
        </is>
      </c>
      <c r="D361" s="721" t="inlineStr">
        <is>
          <t>ท่าเรือแหลมฉบัง</t>
        </is>
      </c>
      <c r="E361" s="722" t="n">
        <v>6.5</v>
      </c>
      <c r="F361" s="719" t="inlineStr">
        <is>
          <t>Km</t>
        </is>
      </c>
      <c r="G361" s="719" t="inlineStr">
        <is>
          <t>รถเทรลเลอร์</t>
        </is>
      </c>
      <c r="H361" s="719" t="inlineStr">
        <is>
          <t>JACKSONVILLE IL, USA</t>
        </is>
      </c>
      <c r="I361" s="724" t="n">
        <v>15168</v>
      </c>
      <c r="J361" s="723" t="inlineStr">
        <is>
          <t>Km</t>
        </is>
      </c>
      <c r="K361" s="725" t="n">
        <v>3770</v>
      </c>
      <c r="L361" s="740">
        <f>M361-K361</f>
        <v/>
      </c>
      <c r="M361" s="738" t="n">
        <v>24300.08</v>
      </c>
      <c r="N361" s="1773" t="n">
        <v>17404.8</v>
      </c>
      <c r="O361" s="1762">
        <f>N361*E361/1000</f>
        <v/>
      </c>
      <c r="P361" s="1763">
        <f>O361/32</f>
        <v/>
      </c>
      <c r="Q361" s="1764">
        <f>N361*I361/1000</f>
        <v/>
      </c>
    </row>
    <row r="362" ht="15.75" customHeight="1">
      <c r="A362" s="728" t="inlineStr">
        <is>
          <t>FO23060014</t>
        </is>
      </c>
      <c r="B362" s="729" t="n">
        <v>45084</v>
      </c>
      <c r="C362" s="730" t="inlineStr">
        <is>
          <t>มัลติแบกซ์</t>
        </is>
      </c>
      <c r="D362" s="730" t="inlineStr">
        <is>
          <t>ท่าเรือแหลมฉบัง</t>
        </is>
      </c>
      <c r="E362" s="731" t="n">
        <v>6</v>
      </c>
      <c r="F362" s="728" t="inlineStr">
        <is>
          <t>Km</t>
        </is>
      </c>
      <c r="G362" s="728" t="inlineStr">
        <is>
          <t>รถเทรลเลอร์</t>
        </is>
      </c>
      <c r="H362" s="728" t="inlineStr">
        <is>
          <t>SOUTH BOSTON VA, USA</t>
        </is>
      </c>
      <c r="I362" s="733" t="n">
        <v>13787</v>
      </c>
      <c r="J362" s="732" t="inlineStr">
        <is>
          <t>Km</t>
        </is>
      </c>
      <c r="K362" s="734" t="n">
        <v>3750</v>
      </c>
      <c r="L362" s="741">
        <f>M362-K362</f>
        <v/>
      </c>
      <c r="M362" s="739" t="n">
        <v>21639</v>
      </c>
      <c r="N362" s="1772" t="n">
        <v>14665.2</v>
      </c>
      <c r="O362" s="1762">
        <f>N362*E362/1000</f>
        <v/>
      </c>
      <c r="P362" s="1763">
        <f>O362/32</f>
        <v/>
      </c>
      <c r="Q362" s="1764">
        <f>N362*I362/1000</f>
        <v/>
      </c>
    </row>
    <row r="363" ht="15.75" customHeight="1">
      <c r="A363" s="719" t="inlineStr">
        <is>
          <t>FO23060015</t>
        </is>
      </c>
      <c r="B363" s="720" t="n">
        <v>45082</v>
      </c>
      <c r="C363" s="721" t="inlineStr">
        <is>
          <t>มัลติแบกซ์</t>
        </is>
      </c>
      <c r="D363" s="721" t="inlineStr">
        <is>
          <t>ท่าเรือแหลมฉบัง</t>
        </is>
      </c>
      <c r="E363" s="722" t="n">
        <v>6</v>
      </c>
      <c r="F363" s="719" t="inlineStr">
        <is>
          <t>Km</t>
        </is>
      </c>
      <c r="G363" s="719" t="inlineStr">
        <is>
          <t>รถเทรลเลอร์</t>
        </is>
      </c>
      <c r="H363" s="719" t="inlineStr">
        <is>
          <t>SINGAPORE</t>
        </is>
      </c>
      <c r="I363" s="724" t="n">
        <v>1931</v>
      </c>
      <c r="J363" s="723" t="inlineStr">
        <is>
          <t>Km</t>
        </is>
      </c>
      <c r="K363" s="725" t="n">
        <v>5422.5</v>
      </c>
      <c r="L363" s="740">
        <f>M363-K363</f>
        <v/>
      </c>
      <c r="M363" s="738" t="n">
        <v>6397.5</v>
      </c>
      <c r="N363" s="1773" t="n">
        <v>5422.5</v>
      </c>
      <c r="O363" s="1762">
        <f>N363*E363/1000</f>
        <v/>
      </c>
      <c r="P363" s="1763">
        <f>O363/32</f>
        <v/>
      </c>
      <c r="Q363" s="1764">
        <f>N363*I363/1000</f>
        <v/>
      </c>
    </row>
    <row r="364" ht="15.75" customHeight="1">
      <c r="A364" s="728" t="inlineStr">
        <is>
          <t>FO23060016</t>
        </is>
      </c>
      <c r="B364" s="729" t="n">
        <v>45085</v>
      </c>
      <c r="C364" s="730" t="inlineStr">
        <is>
          <t>มัลติแบกซ์</t>
        </is>
      </c>
      <c r="D364" s="730" t="inlineStr">
        <is>
          <t>ท่าเรือแหลมฉบัง</t>
        </is>
      </c>
      <c r="E364" s="731" t="n">
        <v>5.3</v>
      </c>
      <c r="F364" s="728" t="inlineStr">
        <is>
          <t>Km</t>
        </is>
      </c>
      <c r="G364" s="728" t="inlineStr">
        <is>
          <t>รถเทรลเลอร์</t>
        </is>
      </c>
      <c r="H364" s="728" t="inlineStr">
        <is>
          <t>HONG KONG</t>
        </is>
      </c>
      <c r="I364" s="733" t="n">
        <v>1734</v>
      </c>
      <c r="J364" s="732" t="inlineStr">
        <is>
          <t>Km</t>
        </is>
      </c>
      <c r="K364" s="734" t="n">
        <v>3590</v>
      </c>
      <c r="L364" s="741">
        <f>M364-K364</f>
        <v/>
      </c>
      <c r="M364" s="739" t="n">
        <v>15251.58</v>
      </c>
      <c r="N364" s="1772" t="n">
        <v>8848.719999999999</v>
      </c>
      <c r="O364" s="1762">
        <f>N364*E364/1000</f>
        <v/>
      </c>
      <c r="P364" s="1763">
        <f>O364/32</f>
        <v/>
      </c>
      <c r="Q364" s="1764">
        <f>N364*I364/1000</f>
        <v/>
      </c>
    </row>
    <row r="365" ht="15.75" customHeight="1">
      <c r="A365" s="719" t="inlineStr">
        <is>
          <t>FO23060017</t>
        </is>
      </c>
      <c r="B365" s="720" t="n">
        <v>45085</v>
      </c>
      <c r="C365" s="721" t="inlineStr">
        <is>
          <t>มัลติแบกซ์</t>
        </is>
      </c>
      <c r="D365" s="721" t="inlineStr">
        <is>
          <t>ท่าเรือแหลมฉบัง</t>
        </is>
      </c>
      <c r="E365" s="722" t="n">
        <v>5.3</v>
      </c>
      <c r="F365" s="719" t="inlineStr">
        <is>
          <t>Km</t>
        </is>
      </c>
      <c r="G365" s="719" t="inlineStr">
        <is>
          <t>รถเทรลเลอร์</t>
        </is>
      </c>
      <c r="H365" s="719" t="inlineStr">
        <is>
          <t>HONG KONG</t>
        </is>
      </c>
      <c r="I365" s="724" t="n">
        <v>1734</v>
      </c>
      <c r="J365" s="723" t="inlineStr">
        <is>
          <t>Km</t>
        </is>
      </c>
      <c r="K365" s="725" t="n">
        <v>3650</v>
      </c>
      <c r="L365" s="740">
        <f>M365-K365</f>
        <v/>
      </c>
      <c r="M365" s="738" t="n">
        <v>14958.2</v>
      </c>
      <c r="N365" s="1773" t="n">
        <v>11306.2</v>
      </c>
      <c r="O365" s="1762">
        <f>N365*E365/1000</f>
        <v/>
      </c>
      <c r="P365" s="1763">
        <f>O365/32</f>
        <v/>
      </c>
      <c r="Q365" s="1764">
        <f>N365*I365/1000</f>
        <v/>
      </c>
    </row>
    <row r="366" ht="15.75" customHeight="1">
      <c r="A366" s="728" t="inlineStr">
        <is>
          <t>FO23060018</t>
        </is>
      </c>
      <c r="B366" s="729" t="n">
        <v>45091</v>
      </c>
      <c r="C366" s="730" t="inlineStr">
        <is>
          <t>มัลติแบกซ์</t>
        </is>
      </c>
      <c r="D366" s="730" t="inlineStr">
        <is>
          <t>ท่าเรือแหลมฉบัง</t>
        </is>
      </c>
      <c r="E366" s="731" t="n">
        <v>7.1</v>
      </c>
      <c r="F366" s="728" t="inlineStr">
        <is>
          <t>Km</t>
        </is>
      </c>
      <c r="G366" s="728" t="inlineStr">
        <is>
          <t>รถเทรลเลอร์</t>
        </is>
      </c>
      <c r="H366" s="728" t="inlineStr">
        <is>
          <t>SYDNEY, AUSTRALIA</t>
        </is>
      </c>
      <c r="I366" s="733" t="n">
        <v>7448</v>
      </c>
      <c r="J366" s="732" t="inlineStr">
        <is>
          <t>Km</t>
        </is>
      </c>
      <c r="K366" s="734" t="n">
        <v>3570</v>
      </c>
      <c r="L366" s="741">
        <f>M366-K366</f>
        <v/>
      </c>
      <c r="M366" s="739" t="n">
        <v>27728</v>
      </c>
      <c r="N366" s="1772" t="n">
        <v>23716.8</v>
      </c>
      <c r="O366" s="1762">
        <f>N366*E366/1000</f>
        <v/>
      </c>
      <c r="P366" s="1763">
        <f>O366/32</f>
        <v/>
      </c>
      <c r="Q366" s="1764">
        <f>N366*I366/1000</f>
        <v/>
      </c>
    </row>
    <row r="367" ht="15.75" customHeight="1">
      <c r="A367" s="719" t="inlineStr">
        <is>
          <t>FO23060019</t>
        </is>
      </c>
      <c r="B367" s="720" t="n">
        <v>45089</v>
      </c>
      <c r="C367" s="721" t="inlineStr">
        <is>
          <t>มัลติแบกซ์</t>
        </is>
      </c>
      <c r="D367" s="721" t="inlineStr">
        <is>
          <t>ท่าเรือแหลมฉบัง</t>
        </is>
      </c>
      <c r="E367" s="722" t="n">
        <v>7.1</v>
      </c>
      <c r="F367" s="719" t="inlineStr">
        <is>
          <t>Km</t>
        </is>
      </c>
      <c r="G367" s="719" t="inlineStr">
        <is>
          <t>รถเทรลเลอร์</t>
        </is>
      </c>
      <c r="H367" s="719" t="inlineStr">
        <is>
          <t>SYDNEY, AUSTRALIA</t>
        </is>
      </c>
      <c r="I367" s="724" t="n">
        <v>7448</v>
      </c>
      <c r="J367" s="723" t="inlineStr">
        <is>
          <t>Km</t>
        </is>
      </c>
      <c r="K367" s="725" t="n">
        <v>3800</v>
      </c>
      <c r="L367" s="740">
        <f>M367-K367</f>
        <v/>
      </c>
      <c r="M367" s="738" t="n">
        <v>27667.5</v>
      </c>
      <c r="N367" s="1773" t="n">
        <v>19660.88</v>
      </c>
      <c r="O367" s="1762">
        <f>N367*E367/1000</f>
        <v/>
      </c>
      <c r="P367" s="1763">
        <f>O367/32</f>
        <v/>
      </c>
      <c r="Q367" s="1764">
        <f>N367*I367/1000</f>
        <v/>
      </c>
    </row>
    <row r="368" ht="15.75" customHeight="1">
      <c r="A368" s="728" t="inlineStr">
        <is>
          <t>FO23060020</t>
        </is>
      </c>
      <c r="B368" s="729" t="n">
        <v>45097</v>
      </c>
      <c r="C368" s="730" t="inlineStr">
        <is>
          <t>มัลติแบกซ์</t>
        </is>
      </c>
      <c r="D368" s="730" t="inlineStr">
        <is>
          <t>ท่าเรือแหลมฉบัง</t>
        </is>
      </c>
      <c r="E368" s="731" t="n">
        <v>7.1</v>
      </c>
      <c r="F368" s="728" t="inlineStr">
        <is>
          <t>Km</t>
        </is>
      </c>
      <c r="G368" s="728" t="inlineStr">
        <is>
          <t>รถเทรลเลอร์</t>
        </is>
      </c>
      <c r="H368" s="728" t="inlineStr">
        <is>
          <t>AUCKLAND, NEW ZEALAND</t>
        </is>
      </c>
      <c r="I368" s="733" t="n">
        <v>9486</v>
      </c>
      <c r="J368" s="732" t="inlineStr">
        <is>
          <t>Km</t>
        </is>
      </c>
      <c r="K368" s="734" t="n">
        <v>2185</v>
      </c>
      <c r="L368" s="741">
        <f>M368-K368</f>
        <v/>
      </c>
      <c r="M368" s="739" t="n">
        <v>17612</v>
      </c>
      <c r="N368" s="1772" t="n">
        <v>13958</v>
      </c>
      <c r="O368" s="1762">
        <f>N368*E368/1000</f>
        <v/>
      </c>
      <c r="P368" s="1763">
        <f>O368/32</f>
        <v/>
      </c>
      <c r="Q368" s="1764">
        <f>N368*I368/1000</f>
        <v/>
      </c>
    </row>
    <row r="369" ht="15.75" customHeight="1">
      <c r="A369" s="719" t="inlineStr">
        <is>
          <t>FO23060021</t>
        </is>
      </c>
      <c r="B369" s="720" t="n">
        <v>45097</v>
      </c>
      <c r="C369" s="721" t="inlineStr">
        <is>
          <t>มัลติแบกซ์</t>
        </is>
      </c>
      <c r="D369" s="721" t="inlineStr">
        <is>
          <t>ท่าเรือแหลมฉบัง</t>
        </is>
      </c>
      <c r="E369" s="722" t="n">
        <v>7.1</v>
      </c>
      <c r="F369" s="719" t="inlineStr">
        <is>
          <t>Km</t>
        </is>
      </c>
      <c r="G369" s="719" t="inlineStr">
        <is>
          <t>รถเทรลเลอร์</t>
        </is>
      </c>
      <c r="H369" s="719" t="inlineStr">
        <is>
          <t>AUCKLAND, NEW ZEALAND</t>
        </is>
      </c>
      <c r="I369" s="724" t="n">
        <v>9486</v>
      </c>
      <c r="J369" s="723" t="inlineStr">
        <is>
          <t>Km</t>
        </is>
      </c>
      <c r="K369" s="725" t="n">
        <v>2280</v>
      </c>
      <c r="L369" s="740">
        <f>M369-K369</f>
        <v/>
      </c>
      <c r="M369" s="738" t="n">
        <v>11624.5</v>
      </c>
      <c r="N369" s="1773" t="n">
        <v>7272.12</v>
      </c>
      <c r="O369" s="1762">
        <f>N369*E369/1000</f>
        <v/>
      </c>
      <c r="P369" s="1763">
        <f>O369/32</f>
        <v/>
      </c>
      <c r="Q369" s="1764">
        <f>N369*I369/1000</f>
        <v/>
      </c>
    </row>
    <row r="370" ht="15.75" customHeight="1">
      <c r="A370" s="728" t="inlineStr">
        <is>
          <t>FO23060022</t>
        </is>
      </c>
      <c r="B370" s="729" t="n">
        <v>45097</v>
      </c>
      <c r="C370" s="730" t="inlineStr">
        <is>
          <t>มัลติแบกซ์</t>
        </is>
      </c>
      <c r="D370" s="730" t="inlineStr">
        <is>
          <t>ท่าเรือแหลมฉบัง</t>
        </is>
      </c>
      <c r="E370" s="731" t="n">
        <v>7.1</v>
      </c>
      <c r="F370" s="728" t="inlineStr">
        <is>
          <t>Km</t>
        </is>
      </c>
      <c r="G370" s="728" t="inlineStr">
        <is>
          <t>รถเทรลเลอร์</t>
        </is>
      </c>
      <c r="H370" s="728" t="inlineStr">
        <is>
          <t>AUCKLAND, NEW ZEALAND</t>
        </is>
      </c>
      <c r="I370" s="733" t="n">
        <v>9486</v>
      </c>
      <c r="J370" s="732" t="inlineStr">
        <is>
          <t>Km</t>
        </is>
      </c>
      <c r="K370" s="734" t="n">
        <v>3700</v>
      </c>
      <c r="L370" s="741">
        <f>M370-K370</f>
        <v/>
      </c>
      <c r="M370" s="739" t="n">
        <v>22722.7</v>
      </c>
      <c r="N370" s="1772" t="n">
        <v>15828.2</v>
      </c>
      <c r="O370" s="1762">
        <f>N370*E370/1000</f>
        <v/>
      </c>
      <c r="P370" s="1763">
        <f>O370/32</f>
        <v/>
      </c>
      <c r="Q370" s="1764">
        <f>N370*I370/1000</f>
        <v/>
      </c>
    </row>
    <row r="371" ht="15.75" customHeight="1">
      <c r="A371" s="719" t="inlineStr">
        <is>
          <t>FO23060023</t>
        </is>
      </c>
      <c r="B371" s="720" t="n">
        <v>45097</v>
      </c>
      <c r="C371" s="721" t="inlineStr">
        <is>
          <t>มัลติแบกซ์</t>
        </is>
      </c>
      <c r="D371" s="721" t="inlineStr">
        <is>
          <t>ท่าเรือแหลมฉบัง</t>
        </is>
      </c>
      <c r="E371" s="722" t="n">
        <v>7.1</v>
      </c>
      <c r="F371" s="719" t="inlineStr">
        <is>
          <t>Km</t>
        </is>
      </c>
      <c r="G371" s="719" t="inlineStr">
        <is>
          <t>รถเทรลเลอร์</t>
        </is>
      </c>
      <c r="H371" s="719" t="inlineStr">
        <is>
          <t>AUCKLAND, NEW ZEALAND</t>
        </is>
      </c>
      <c r="I371" s="724" t="n">
        <v>9486</v>
      </c>
      <c r="J371" s="723" t="inlineStr">
        <is>
          <t>Km</t>
        </is>
      </c>
      <c r="K371" s="725" t="n">
        <v>3670</v>
      </c>
      <c r="L371" s="740">
        <f>M371-K371</f>
        <v/>
      </c>
      <c r="M371" s="738" t="n">
        <v>20370.1</v>
      </c>
      <c r="N371" s="1773" t="n">
        <v>11115.6</v>
      </c>
      <c r="O371" s="1762">
        <f>N371*E371/1000</f>
        <v/>
      </c>
      <c r="P371" s="1763">
        <f>O371/32</f>
        <v/>
      </c>
      <c r="Q371" s="1764">
        <f>N371*I371/1000</f>
        <v/>
      </c>
    </row>
    <row r="372" ht="15.75" customHeight="1">
      <c r="A372" s="728" t="inlineStr">
        <is>
          <t>FO23060024</t>
        </is>
      </c>
      <c r="B372" s="729" t="n">
        <v>45099</v>
      </c>
      <c r="C372" s="730" t="inlineStr">
        <is>
          <t>มัลติแบกซ์</t>
        </is>
      </c>
      <c r="D372" s="730" t="inlineStr">
        <is>
          <t>ท่าเรือแหลมฉบัง</t>
        </is>
      </c>
      <c r="E372" s="731" t="n">
        <v>11.9</v>
      </c>
      <c r="F372" s="728" t="inlineStr">
        <is>
          <t>Km</t>
        </is>
      </c>
      <c r="G372" s="728" t="inlineStr">
        <is>
          <t>รถเทรลเลอร์</t>
        </is>
      </c>
      <c r="H372" s="728" t="inlineStr">
        <is>
          <t>HONG KONG</t>
        </is>
      </c>
      <c r="I372" s="733" t="n">
        <v>1734</v>
      </c>
      <c r="J372" s="732" t="inlineStr">
        <is>
          <t>Km</t>
        </is>
      </c>
      <c r="K372" s="734" t="n">
        <v>3650</v>
      </c>
      <c r="L372" s="741">
        <f>M372-K372</f>
        <v/>
      </c>
      <c r="M372" s="1771" t="n">
        <v>14247.9</v>
      </c>
      <c r="N372" s="1772" t="n">
        <v>7853.1</v>
      </c>
      <c r="O372" s="1762">
        <f>N372*E372/1000</f>
        <v/>
      </c>
      <c r="P372" s="1763">
        <f>O372/32</f>
        <v/>
      </c>
      <c r="Q372" s="1764">
        <f>N372*I372/1000</f>
        <v/>
      </c>
    </row>
    <row r="373" ht="15.75" customHeight="1">
      <c r="A373" s="719" t="inlineStr">
        <is>
          <t>FO23060025</t>
        </is>
      </c>
      <c r="B373" s="720" t="n">
        <v>45085</v>
      </c>
      <c r="C373" s="721" t="inlineStr">
        <is>
          <t>มัลติแบกซ์</t>
        </is>
      </c>
      <c r="D373" s="721" t="inlineStr">
        <is>
          <t>ท่าเรือแหลมฉบัง</t>
        </is>
      </c>
      <c r="E373" s="722" t="n">
        <v>7.1</v>
      </c>
      <c r="F373" s="719" t="inlineStr">
        <is>
          <t>Km</t>
        </is>
      </c>
      <c r="G373" s="719" t="inlineStr">
        <is>
          <t>รถเทรลเลอร์</t>
        </is>
      </c>
      <c r="H373" s="719" t="inlineStr">
        <is>
          <t>MANILA, PHILIPPINES</t>
        </is>
      </c>
      <c r="I373" s="724" t="n">
        <v>2167</v>
      </c>
      <c r="J373" s="723" t="inlineStr">
        <is>
          <t>Km</t>
        </is>
      </c>
      <c r="K373" s="725" t="n">
        <v>2180</v>
      </c>
      <c r="L373" s="740">
        <f>M373-K373</f>
        <v/>
      </c>
      <c r="M373" s="738" t="n">
        <v>6927.6</v>
      </c>
      <c r="N373" s="1773" t="n">
        <v>3567.6</v>
      </c>
      <c r="O373" s="1762">
        <f>N373*E373/1000</f>
        <v/>
      </c>
      <c r="P373" s="1763">
        <f>O373/32</f>
        <v/>
      </c>
      <c r="Q373" s="1764">
        <f>N373*I373/1000</f>
        <v/>
      </c>
    </row>
    <row r="374" ht="15.75" customHeight="1">
      <c r="A374" s="728" t="inlineStr">
        <is>
          <t>FO23060026</t>
        </is>
      </c>
      <c r="B374" s="729" t="n">
        <v>45089</v>
      </c>
      <c r="C374" s="730" t="inlineStr">
        <is>
          <t>มัลติแบกซ์</t>
        </is>
      </c>
      <c r="D374" s="730" t="inlineStr">
        <is>
          <t>ท่าเรือแหลมฉบัง</t>
        </is>
      </c>
      <c r="E374" s="731" t="n">
        <v>6</v>
      </c>
      <c r="F374" s="728" t="inlineStr">
        <is>
          <t>Km</t>
        </is>
      </c>
      <c r="G374" s="728" t="inlineStr">
        <is>
          <t>รถเทรลเลอร์</t>
        </is>
      </c>
      <c r="H374" s="728" t="inlineStr">
        <is>
          <t>AQABA PORT, JORDAN</t>
        </is>
      </c>
      <c r="I374" s="733" t="n">
        <v>6975</v>
      </c>
      <c r="J374" s="732" t="inlineStr">
        <is>
          <t>Km</t>
        </is>
      </c>
      <c r="K374" s="734" t="n">
        <v>2200</v>
      </c>
      <c r="L374" s="741">
        <f>M374-K374</f>
        <v/>
      </c>
      <c r="M374" s="739" t="n">
        <v>5663.31</v>
      </c>
      <c r="N374" s="1772" t="n">
        <v>2347.59</v>
      </c>
      <c r="O374" s="1762">
        <f>N374*E374/1000</f>
        <v/>
      </c>
      <c r="P374" s="1763">
        <f>O374/32</f>
        <v/>
      </c>
      <c r="Q374" s="1764">
        <f>N374*I374/1000</f>
        <v/>
      </c>
    </row>
    <row r="375" ht="15.75" customHeight="1">
      <c r="A375" s="719" t="inlineStr">
        <is>
          <t>FO23060027</t>
        </is>
      </c>
      <c r="B375" s="720" t="n">
        <v>45085</v>
      </c>
      <c r="C375" s="721" t="inlineStr">
        <is>
          <t>มัลติแบกซ์</t>
        </is>
      </c>
      <c r="D375" s="721" t="inlineStr">
        <is>
          <t>ท่าเรือแหลมฉบัง</t>
        </is>
      </c>
      <c r="E375" s="722" t="n">
        <v>5.3</v>
      </c>
      <c r="F375" s="719" t="inlineStr">
        <is>
          <t>Km</t>
        </is>
      </c>
      <c r="G375" s="719" t="inlineStr">
        <is>
          <t>รถเทรลเลอร์</t>
        </is>
      </c>
      <c r="H375" s="719" t="inlineStr">
        <is>
          <t>GUANGZHOU, CHINA</t>
        </is>
      </c>
      <c r="I375" s="724" t="n">
        <v>2597</v>
      </c>
      <c r="J375" s="723" t="inlineStr">
        <is>
          <t>Km</t>
        </is>
      </c>
      <c r="K375" s="725" t="n">
        <v>2140</v>
      </c>
      <c r="L375" s="740">
        <f>M375-K375</f>
        <v/>
      </c>
      <c r="M375" s="738" t="n">
        <v>7232</v>
      </c>
      <c r="N375" s="1773" t="n">
        <v>3895.5</v>
      </c>
      <c r="O375" s="1762">
        <f>N375*E375/1000</f>
        <v/>
      </c>
      <c r="P375" s="1763">
        <f>O375/32</f>
        <v/>
      </c>
      <c r="Q375" s="1764">
        <f>N375*I375/1000</f>
        <v/>
      </c>
    </row>
    <row r="376" ht="15.75" customHeight="1">
      <c r="A376" s="728" t="inlineStr">
        <is>
          <t>FO23060028</t>
        </is>
      </c>
      <c r="B376" s="729" t="n">
        <v>45089</v>
      </c>
      <c r="C376" s="730" t="inlineStr">
        <is>
          <t>มัลติแบกซ์</t>
        </is>
      </c>
      <c r="D376" s="730" t="inlineStr">
        <is>
          <t>ท่าเรือแหลมฉบัง</t>
        </is>
      </c>
      <c r="E376" s="731" t="n">
        <v>7.1</v>
      </c>
      <c r="F376" s="728" t="inlineStr">
        <is>
          <t>Km</t>
        </is>
      </c>
      <c r="G376" s="728" t="inlineStr">
        <is>
          <t>รถเทรลเลอร์</t>
        </is>
      </c>
      <c r="H376" s="728" t="inlineStr">
        <is>
          <t>JACKSONVILLE IL, USA</t>
        </is>
      </c>
      <c r="I376" s="733" t="n">
        <v>15168</v>
      </c>
      <c r="J376" s="732" t="inlineStr">
        <is>
          <t>Km</t>
        </is>
      </c>
      <c r="K376" s="734" t="n">
        <v>4010</v>
      </c>
      <c r="L376" s="741">
        <f>M376-K376</f>
        <v/>
      </c>
      <c r="M376" s="739" t="n">
        <v>24540.08</v>
      </c>
      <c r="N376" s="1772" t="n">
        <v>17404.8</v>
      </c>
      <c r="O376" s="1762">
        <f>N376*E376/1000</f>
        <v/>
      </c>
      <c r="P376" s="1763">
        <f>O376/32</f>
        <v/>
      </c>
      <c r="Q376" s="1764">
        <f>N376*I376/1000</f>
        <v/>
      </c>
    </row>
    <row r="377" ht="15.75" customHeight="1">
      <c r="A377" s="719" t="inlineStr">
        <is>
          <t>FO23060029</t>
        </is>
      </c>
      <c r="B377" s="720" t="n">
        <v>45092</v>
      </c>
      <c r="C377" s="721" t="inlineStr">
        <is>
          <t>มัลติแบกซ์</t>
        </is>
      </c>
      <c r="D377" s="721" t="inlineStr">
        <is>
          <t>ท่าเรือแหลมฉบัง</t>
        </is>
      </c>
      <c r="E377" s="722" t="n">
        <v>6</v>
      </c>
      <c r="F377" s="719" t="inlineStr">
        <is>
          <t>Km</t>
        </is>
      </c>
      <c r="G377" s="719" t="inlineStr">
        <is>
          <t>รถเทรลเลอร์</t>
        </is>
      </c>
      <c r="H377" s="719" t="inlineStr">
        <is>
          <t>JEDDAH , SAUDI ARABIA</t>
        </is>
      </c>
      <c r="I377" s="724" t="n">
        <v>6579</v>
      </c>
      <c r="J377" s="723" t="inlineStr">
        <is>
          <t>Km</t>
        </is>
      </c>
      <c r="K377" s="725" t="n">
        <v>3820</v>
      </c>
      <c r="L377" s="740">
        <f>M377-K377</f>
        <v/>
      </c>
      <c r="M377" s="738" t="n">
        <v>14175</v>
      </c>
      <c r="N377" s="1773" t="n">
        <v>8189.28</v>
      </c>
      <c r="O377" s="1762">
        <f>N377*E377/1000</f>
        <v/>
      </c>
      <c r="P377" s="1763">
        <f>O377/32</f>
        <v/>
      </c>
      <c r="Q377" s="1764">
        <f>N377*I377/1000</f>
        <v/>
      </c>
    </row>
    <row r="378" ht="15.75" customHeight="1">
      <c r="A378" s="728" t="inlineStr">
        <is>
          <t>FO23060030</t>
        </is>
      </c>
      <c r="B378" s="729" t="n">
        <v>45092</v>
      </c>
      <c r="C378" s="730" t="inlineStr">
        <is>
          <t>มัลติแบกซ์</t>
        </is>
      </c>
      <c r="D378" s="730" t="inlineStr">
        <is>
          <t>ท่าเรือแหลมฉบัง</t>
        </is>
      </c>
      <c r="E378" s="731" t="n">
        <v>6.5</v>
      </c>
      <c r="F378" s="728" t="inlineStr">
        <is>
          <t>Km</t>
        </is>
      </c>
      <c r="G378" s="728" t="inlineStr">
        <is>
          <t>รถเทรลเลอร์</t>
        </is>
      </c>
      <c r="H378" s="728" t="inlineStr">
        <is>
          <t>HORSENS, DENMARK</t>
        </is>
      </c>
      <c r="I378" s="733" t="n">
        <v>8839</v>
      </c>
      <c r="J378" s="732" t="inlineStr">
        <is>
          <t>Km</t>
        </is>
      </c>
      <c r="K378" s="734" t="n">
        <v>3660</v>
      </c>
      <c r="L378" s="741">
        <f>M378-K378</f>
        <v/>
      </c>
      <c r="M378" s="739" t="n">
        <v>14222</v>
      </c>
      <c r="N378" s="1772" t="n">
        <v>7200</v>
      </c>
      <c r="O378" s="1762">
        <f>N378*E378/1000</f>
        <v/>
      </c>
      <c r="P378" s="1763">
        <f>O378/32</f>
        <v/>
      </c>
      <c r="Q378" s="1764">
        <f>N378*I378/1000</f>
        <v/>
      </c>
    </row>
    <row r="379" ht="15.75" customHeight="1">
      <c r="A379" s="719" t="inlineStr">
        <is>
          <t>FO23060031</t>
        </is>
      </c>
      <c r="B379" s="720" t="n">
        <v>45089</v>
      </c>
      <c r="C379" s="721" t="inlineStr">
        <is>
          <t>มัลติแบกซ์</t>
        </is>
      </c>
      <c r="D379" s="721" t="inlineStr">
        <is>
          <t>ท่าเรือแหลมฉบัง</t>
        </is>
      </c>
      <c r="E379" s="722" t="n">
        <v>7.1</v>
      </c>
      <c r="F379" s="719" t="inlineStr">
        <is>
          <t>Km</t>
        </is>
      </c>
      <c r="G379" s="719" t="inlineStr">
        <is>
          <t>รถเทรลเลอร์</t>
        </is>
      </c>
      <c r="H379" s="719" t="inlineStr">
        <is>
          <t>JACKSONVILLE IL, USA</t>
        </is>
      </c>
      <c r="I379" s="724" t="n">
        <v>15168</v>
      </c>
      <c r="J379" s="723" t="inlineStr">
        <is>
          <t>Km</t>
        </is>
      </c>
      <c r="K379" s="725" t="n">
        <v>3970</v>
      </c>
      <c r="L379" s="740">
        <f>M379-K379</f>
        <v/>
      </c>
      <c r="M379" s="725" t="n">
        <v>24500.08</v>
      </c>
      <c r="N379" s="1773" t="n">
        <v>17404.8</v>
      </c>
      <c r="O379" s="1762">
        <f>N379*E379/1000</f>
        <v/>
      </c>
      <c r="P379" s="1763">
        <f>O379/32</f>
        <v/>
      </c>
      <c r="Q379" s="1764">
        <f>N379*I379/1000</f>
        <v/>
      </c>
    </row>
    <row r="380" ht="15.75" customHeight="1">
      <c r="A380" s="728" t="inlineStr">
        <is>
          <t>FO23060032</t>
        </is>
      </c>
      <c r="B380" s="729" t="n">
        <v>45089</v>
      </c>
      <c r="C380" s="730" t="inlineStr">
        <is>
          <t>มัลติแบกซ์</t>
        </is>
      </c>
      <c r="D380" s="730" t="inlineStr">
        <is>
          <t>ท่าเรือแหลมฉบัง</t>
        </is>
      </c>
      <c r="E380" s="731" t="n">
        <v>7.1</v>
      </c>
      <c r="F380" s="728" t="inlineStr">
        <is>
          <t>Km</t>
        </is>
      </c>
      <c r="G380" s="728" t="inlineStr">
        <is>
          <t>รถเทรลเลอร์</t>
        </is>
      </c>
      <c r="H380" s="728" t="inlineStr">
        <is>
          <t>JACKSONVILLE IL, USA</t>
        </is>
      </c>
      <c r="I380" s="733" t="n">
        <v>15168</v>
      </c>
      <c r="J380" s="732" t="inlineStr">
        <is>
          <t>Km</t>
        </is>
      </c>
      <c r="K380" s="734" t="n">
        <v>3770</v>
      </c>
      <c r="L380" s="741">
        <f>M380-K380</f>
        <v/>
      </c>
      <c r="M380" s="739" t="n">
        <v>24300.08</v>
      </c>
      <c r="N380" s="1772" t="n">
        <v>17404.8</v>
      </c>
      <c r="O380" s="1762">
        <f>N380*E380/1000</f>
        <v/>
      </c>
      <c r="P380" s="1763">
        <f>O380/32</f>
        <v/>
      </c>
      <c r="Q380" s="1764">
        <f>N380*I380/1000</f>
        <v/>
      </c>
    </row>
    <row r="381" ht="15.75" customHeight="1">
      <c r="A381" s="719" t="inlineStr">
        <is>
          <t>FO23060033</t>
        </is>
      </c>
      <c r="B381" s="720" t="n">
        <v>45089</v>
      </c>
      <c r="C381" s="721" t="inlineStr">
        <is>
          <t>มัลติแบกซ์</t>
        </is>
      </c>
      <c r="D381" s="721" t="inlineStr">
        <is>
          <t>ท่าเรือแหลมฉบัง</t>
        </is>
      </c>
      <c r="E381" s="722" t="n">
        <v>7.1</v>
      </c>
      <c r="F381" s="719" t="inlineStr">
        <is>
          <t>Km</t>
        </is>
      </c>
      <c r="G381" s="719" t="inlineStr">
        <is>
          <t>รถเทรลเลอร์</t>
        </is>
      </c>
      <c r="H381" s="719" t="inlineStr">
        <is>
          <t>JACKSONVILLE IL, USA</t>
        </is>
      </c>
      <c r="I381" s="724" t="n">
        <v>15168</v>
      </c>
      <c r="J381" s="723" t="inlineStr">
        <is>
          <t>Km</t>
        </is>
      </c>
      <c r="K381" s="725" t="n">
        <v>3880</v>
      </c>
      <c r="L381" s="740">
        <f>M381-K381</f>
        <v/>
      </c>
      <c r="M381" s="725" t="n">
        <v>24410.08</v>
      </c>
      <c r="N381" s="1773" t="n">
        <v>17404.8</v>
      </c>
      <c r="O381" s="1762">
        <f>N381*E381/1000</f>
        <v/>
      </c>
      <c r="P381" s="1763">
        <f>O381/32</f>
        <v/>
      </c>
      <c r="Q381" s="1764">
        <f>N381*I381/1000</f>
        <v/>
      </c>
    </row>
    <row r="382" ht="15.75" customHeight="1">
      <c r="A382" s="728" t="inlineStr">
        <is>
          <t>FO23060034</t>
        </is>
      </c>
      <c r="B382" s="729" t="n">
        <v>45096</v>
      </c>
      <c r="C382" s="730" t="inlineStr">
        <is>
          <t>มัลติแบกซ์</t>
        </is>
      </c>
      <c r="D382" s="730" t="inlineStr">
        <is>
          <t>ท่าเรือแหลมฉบัง</t>
        </is>
      </c>
      <c r="E382" s="731" t="n">
        <v>4.1</v>
      </c>
      <c r="F382" s="728" t="inlineStr">
        <is>
          <t>Km</t>
        </is>
      </c>
      <c r="G382" s="728" t="inlineStr">
        <is>
          <t>รถเทรลเลอร์</t>
        </is>
      </c>
      <c r="H382" s="728" t="inlineStr">
        <is>
          <t>UK PORT</t>
        </is>
      </c>
      <c r="I382" s="733" t="n">
        <v>9687</v>
      </c>
      <c r="J382" s="732" t="inlineStr">
        <is>
          <t>Km</t>
        </is>
      </c>
      <c r="K382" s="734" t="n">
        <v>2180</v>
      </c>
      <c r="L382" s="741">
        <f>M382-K382</f>
        <v/>
      </c>
      <c r="M382" s="739" t="n">
        <v>7957</v>
      </c>
      <c r="N382" s="1772" t="n">
        <v>4550</v>
      </c>
      <c r="O382" s="1762">
        <f>N382*E382/1000</f>
        <v/>
      </c>
      <c r="P382" s="1763">
        <f>O382/32</f>
        <v/>
      </c>
      <c r="Q382" s="1764">
        <f>N382*I382/1000</f>
        <v/>
      </c>
    </row>
    <row r="383" ht="15.75" customHeight="1">
      <c r="A383" s="719" t="inlineStr">
        <is>
          <t>FO23060035</t>
        </is>
      </c>
      <c r="B383" s="720" t="n">
        <v>45089</v>
      </c>
      <c r="C383" s="721" t="inlineStr">
        <is>
          <t>มัลติแบกซ์</t>
        </is>
      </c>
      <c r="D383" s="721" t="inlineStr">
        <is>
          <t>ท่าเรือแหลมฉบัง</t>
        </is>
      </c>
      <c r="E383" s="722" t="n">
        <v>7.1</v>
      </c>
      <c r="F383" s="719" t="inlineStr">
        <is>
          <t>Km</t>
        </is>
      </c>
      <c r="G383" s="719" t="inlineStr">
        <is>
          <t>รถเทรลเลอร์</t>
        </is>
      </c>
      <c r="H383" s="719" t="inlineStr">
        <is>
          <t>JACKSONVILLE IL, USA</t>
        </is>
      </c>
      <c r="I383" s="724" t="n">
        <v>15168</v>
      </c>
      <c r="J383" s="723" t="inlineStr">
        <is>
          <t>Km</t>
        </is>
      </c>
      <c r="K383" s="725" t="n">
        <v>3700</v>
      </c>
      <c r="L383" s="740">
        <f>M383-K383</f>
        <v/>
      </c>
      <c r="M383" s="738" t="n">
        <v>24230.08</v>
      </c>
      <c r="N383" s="1773" t="n">
        <v>17404.8</v>
      </c>
      <c r="O383" s="1762">
        <f>N383*E383/1000</f>
        <v/>
      </c>
      <c r="P383" s="1763">
        <f>O383/32</f>
        <v/>
      </c>
      <c r="Q383" s="1764">
        <f>N383*I383/1000</f>
        <v/>
      </c>
    </row>
    <row r="384" ht="15.75" customHeight="1">
      <c r="A384" s="728" t="inlineStr">
        <is>
          <t>FO23060036</t>
        </is>
      </c>
      <c r="B384" s="729" t="n">
        <v>45090</v>
      </c>
      <c r="C384" s="730" t="inlineStr">
        <is>
          <t>มัลติแบกซ์</t>
        </is>
      </c>
      <c r="D384" s="730" t="inlineStr">
        <is>
          <t>ท่าเรือแหลมฉบัง</t>
        </is>
      </c>
      <c r="E384" s="731" t="n">
        <v>3.6</v>
      </c>
      <c r="F384" s="728" t="inlineStr">
        <is>
          <t>Km</t>
        </is>
      </c>
      <c r="G384" s="728" t="inlineStr">
        <is>
          <t>รถเทรลเลอร์</t>
        </is>
      </c>
      <c r="H384" s="728" t="inlineStr">
        <is>
          <t>BUSAN, KOREA</t>
        </is>
      </c>
      <c r="I384" s="733" t="n">
        <v>3740</v>
      </c>
      <c r="J384" s="732" t="inlineStr">
        <is>
          <t>Km</t>
        </is>
      </c>
      <c r="K384" s="734" t="n">
        <v>3730</v>
      </c>
      <c r="L384" s="741">
        <f>M384-K384</f>
        <v/>
      </c>
      <c r="M384" s="739" t="n">
        <v>8946.08</v>
      </c>
      <c r="N384" s="1772" t="n">
        <v>3404.12</v>
      </c>
      <c r="O384" s="1762">
        <f>N384*E384/1000</f>
        <v/>
      </c>
      <c r="P384" s="1763">
        <f>O384/32</f>
        <v/>
      </c>
      <c r="Q384" s="1764">
        <f>N384*I384/1000</f>
        <v/>
      </c>
    </row>
    <row r="385" ht="15.75" customHeight="1">
      <c r="A385" s="719" t="inlineStr">
        <is>
          <t>FO23060037</t>
        </is>
      </c>
      <c r="B385" s="720" t="n">
        <v>45090</v>
      </c>
      <c r="C385" s="721" t="inlineStr">
        <is>
          <t>มัลติแบกซ์</t>
        </is>
      </c>
      <c r="D385" s="721" t="inlineStr">
        <is>
          <t>ท่าเรือแหลมฉบัง</t>
        </is>
      </c>
      <c r="E385" s="722" t="n">
        <v>6.2</v>
      </c>
      <c r="F385" s="719" t="inlineStr">
        <is>
          <t>Km</t>
        </is>
      </c>
      <c r="G385" s="719" t="inlineStr">
        <is>
          <t>รถเทรลเลอร์</t>
        </is>
      </c>
      <c r="H385" s="719" t="inlineStr">
        <is>
          <t>SOUTH BOSTON VA, USA</t>
        </is>
      </c>
      <c r="I385" s="724" t="n">
        <v>13787</v>
      </c>
      <c r="J385" s="723" t="inlineStr">
        <is>
          <t>Km</t>
        </is>
      </c>
      <c r="K385" s="725" t="n">
        <v>3890</v>
      </c>
      <c r="L385" s="740">
        <f>M385-K385</f>
        <v/>
      </c>
      <c r="M385" s="738" t="n">
        <v>18729</v>
      </c>
      <c r="N385" s="1773" t="n">
        <v>12511.2</v>
      </c>
      <c r="O385" s="1762">
        <f>N385*E385/1000</f>
        <v/>
      </c>
      <c r="P385" s="1763">
        <f>O385/32</f>
        <v/>
      </c>
      <c r="Q385" s="1764">
        <f>N385*I385/1000</f>
        <v/>
      </c>
    </row>
    <row r="386" ht="15.75" customHeight="1">
      <c r="A386" s="728" t="inlineStr">
        <is>
          <t>FO23060038</t>
        </is>
      </c>
      <c r="B386" s="729" t="n">
        <v>45092</v>
      </c>
      <c r="C386" s="730" t="inlineStr">
        <is>
          <t>มัลติแบกซ์</t>
        </is>
      </c>
      <c r="D386" s="730" t="inlineStr">
        <is>
          <t>ท่าเรือแหลมฉบัง</t>
        </is>
      </c>
      <c r="E386" s="731" t="n">
        <v>6.2</v>
      </c>
      <c r="F386" s="728" t="inlineStr">
        <is>
          <t>Km</t>
        </is>
      </c>
      <c r="G386" s="728" t="inlineStr">
        <is>
          <t>รถเทรลเลอร์</t>
        </is>
      </c>
      <c r="H386" s="728" t="inlineStr">
        <is>
          <t>COLUMBUS OHIO, USA</t>
        </is>
      </c>
      <c r="I386" s="733" t="n">
        <v>14000</v>
      </c>
      <c r="J386" s="732" t="inlineStr">
        <is>
          <t>Km</t>
        </is>
      </c>
      <c r="K386" s="734" t="n">
        <v>3800</v>
      </c>
      <c r="L386" s="741">
        <f>M386-K386</f>
        <v/>
      </c>
      <c r="M386" s="739" t="n">
        <v>22394.59</v>
      </c>
      <c r="N386" s="1772" t="n">
        <v>15925.65</v>
      </c>
      <c r="O386" s="1762">
        <f>N386*E386/1000</f>
        <v/>
      </c>
      <c r="P386" s="1763">
        <f>O386/32</f>
        <v/>
      </c>
      <c r="Q386" s="1764">
        <f>N386*I386/1000</f>
        <v/>
      </c>
    </row>
    <row r="387" ht="15.75" customHeight="1">
      <c r="A387" s="719" t="inlineStr">
        <is>
          <t>FO23060039</t>
        </is>
      </c>
      <c r="B387" s="720" t="n">
        <v>45093</v>
      </c>
      <c r="C387" s="721" t="inlineStr">
        <is>
          <t>มัลติแบกซ์</t>
        </is>
      </c>
      <c r="D387" s="721" t="inlineStr">
        <is>
          <t>ท่าเรือแหลมฉบัง</t>
        </is>
      </c>
      <c r="E387" s="722" t="n">
        <v>6.2</v>
      </c>
      <c r="F387" s="719" t="inlineStr">
        <is>
          <t>Km</t>
        </is>
      </c>
      <c r="G387" s="719" t="inlineStr">
        <is>
          <t>รถเทรลเลอร์</t>
        </is>
      </c>
      <c r="H387" s="719" t="inlineStr">
        <is>
          <t>SOUTH BOSTON VA, USA</t>
        </is>
      </c>
      <c r="I387" s="724" t="n">
        <v>13787</v>
      </c>
      <c r="J387" s="723" t="inlineStr">
        <is>
          <t>Km</t>
        </is>
      </c>
      <c r="K387" s="725" t="n">
        <v>3830</v>
      </c>
      <c r="L387" s="740">
        <f>M387-K387</f>
        <v/>
      </c>
      <c r="M387" s="738" t="n">
        <v>22901.6</v>
      </c>
      <c r="N387" s="1773" t="n">
        <v>15302.4</v>
      </c>
      <c r="O387" s="1762">
        <f>N387*E387/1000</f>
        <v/>
      </c>
      <c r="P387" s="1763">
        <f>O387/32</f>
        <v/>
      </c>
      <c r="Q387" s="1764">
        <f>N387*I387/1000</f>
        <v/>
      </c>
    </row>
    <row r="388" ht="15.75" customHeight="1">
      <c r="A388" s="728" t="inlineStr">
        <is>
          <t>FO23060040</t>
        </is>
      </c>
      <c r="B388" s="729" t="n">
        <v>45091</v>
      </c>
      <c r="C388" s="730" t="inlineStr">
        <is>
          <t>มัลติแบกซ์</t>
        </is>
      </c>
      <c r="D388" s="730" t="inlineStr">
        <is>
          <t>ท่าเรือแหลมฉบัง</t>
        </is>
      </c>
      <c r="E388" s="731" t="n">
        <v>6</v>
      </c>
      <c r="F388" s="728" t="inlineStr">
        <is>
          <t>Km</t>
        </is>
      </c>
      <c r="G388" s="728" t="inlineStr">
        <is>
          <t>รถเทรลเลอร์</t>
        </is>
      </c>
      <c r="H388" s="728" t="inlineStr">
        <is>
          <t>SOUTH BOSTON VA, USA</t>
        </is>
      </c>
      <c r="I388" s="733" t="n">
        <v>13787</v>
      </c>
      <c r="J388" s="732" t="inlineStr">
        <is>
          <t>Km</t>
        </is>
      </c>
      <c r="K388" s="734" t="n">
        <v>3890</v>
      </c>
      <c r="L388" s="741">
        <f>M388-K388</f>
        <v/>
      </c>
      <c r="M388" s="739" t="n">
        <v>18729</v>
      </c>
      <c r="N388" s="1772" t="n">
        <v>12511.2</v>
      </c>
      <c r="O388" s="1762">
        <f>N388*E388/1000</f>
        <v/>
      </c>
      <c r="P388" s="1763">
        <f>O388/32</f>
        <v/>
      </c>
      <c r="Q388" s="1764">
        <f>N388*I388/1000</f>
        <v/>
      </c>
    </row>
    <row r="389" ht="15.75" customHeight="1">
      <c r="A389" s="719" t="inlineStr">
        <is>
          <t>FO23060041</t>
        </is>
      </c>
      <c r="B389" s="720" t="n">
        <v>45092</v>
      </c>
      <c r="C389" s="721" t="inlineStr">
        <is>
          <t>มัลติแบกซ์</t>
        </is>
      </c>
      <c r="D389" s="721" t="inlineStr">
        <is>
          <t>ท่าเรือแหลมฉบัง</t>
        </is>
      </c>
      <c r="E389" s="722" t="n">
        <v>4.1</v>
      </c>
      <c r="F389" s="719" t="inlineStr">
        <is>
          <t>Km</t>
        </is>
      </c>
      <c r="G389" s="719" t="inlineStr">
        <is>
          <t>รถเทรลเลอร์</t>
        </is>
      </c>
      <c r="H389" s="719" t="inlineStr">
        <is>
          <t>TOMAKOMAI, JAPAN</t>
        </is>
      </c>
      <c r="I389" s="724" t="n">
        <v>5092</v>
      </c>
      <c r="J389" s="723" t="inlineStr">
        <is>
          <t>Km</t>
        </is>
      </c>
      <c r="K389" s="725" t="n">
        <v>2240</v>
      </c>
      <c r="L389" s="740">
        <f>M389-K389</f>
        <v/>
      </c>
      <c r="M389" s="725" t="n">
        <v>7112.75</v>
      </c>
      <c r="N389" s="1773" t="n">
        <v>3558.5</v>
      </c>
      <c r="O389" s="1762">
        <f>N389*E389/1000</f>
        <v/>
      </c>
      <c r="P389" s="1763">
        <f>O389/32</f>
        <v/>
      </c>
      <c r="Q389" s="1764">
        <f>N389*I389/1000</f>
        <v/>
      </c>
    </row>
    <row r="390" ht="15.75" customHeight="1">
      <c r="A390" s="728" t="inlineStr">
        <is>
          <t>FO23060042</t>
        </is>
      </c>
      <c r="B390" s="729" t="n">
        <v>45099</v>
      </c>
      <c r="C390" s="730" t="inlineStr">
        <is>
          <t>มัลติแบกซ์</t>
        </is>
      </c>
      <c r="D390" s="730" t="inlineStr">
        <is>
          <t>ท่าเรือแหลมฉบัง</t>
        </is>
      </c>
      <c r="E390" s="731" t="n">
        <v>6</v>
      </c>
      <c r="F390" s="728" t="inlineStr">
        <is>
          <t>Km</t>
        </is>
      </c>
      <c r="G390" s="728" t="inlineStr">
        <is>
          <t>รถเทรลเลอร์</t>
        </is>
      </c>
      <c r="H390" s="728" t="inlineStr">
        <is>
          <t>SOUTH BOSTON VA, USA</t>
        </is>
      </c>
      <c r="I390" s="733" t="n">
        <v>13787</v>
      </c>
      <c r="J390" s="732" t="inlineStr">
        <is>
          <t>Km</t>
        </is>
      </c>
      <c r="K390" s="734" t="n">
        <v>3670</v>
      </c>
      <c r="L390" s="741">
        <f>M390-K390</f>
        <v/>
      </c>
      <c r="M390" s="1771" t="n">
        <v>13272</v>
      </c>
      <c r="N390" s="1775" t="n">
        <v>5376</v>
      </c>
      <c r="O390" s="1762">
        <f>N390*E390/1000</f>
        <v/>
      </c>
      <c r="P390" s="1763">
        <f>O390/32</f>
        <v/>
      </c>
      <c r="Q390" s="1764">
        <f>N390*I390/1000</f>
        <v/>
      </c>
    </row>
    <row r="391" ht="15.75" customHeight="1">
      <c r="A391" s="719" t="inlineStr">
        <is>
          <t>FO23060043</t>
        </is>
      </c>
      <c r="B391" s="720" t="n">
        <v>45099</v>
      </c>
      <c r="C391" s="721" t="inlineStr">
        <is>
          <t>มัลติแบกซ์</t>
        </is>
      </c>
      <c r="D391" s="721" t="inlineStr">
        <is>
          <t>ท่าเรือแหลมฉบัง</t>
        </is>
      </c>
      <c r="E391" s="722" t="n">
        <v>6.5</v>
      </c>
      <c r="F391" s="719" t="inlineStr">
        <is>
          <t>Km</t>
        </is>
      </c>
      <c r="G391" s="719" t="inlineStr">
        <is>
          <t>รถเทรลเลอร์</t>
        </is>
      </c>
      <c r="H391" s="719" t="inlineStr">
        <is>
          <t>SOUTH BOSTON VA, USA</t>
        </is>
      </c>
      <c r="I391" s="724" t="n">
        <v>13787</v>
      </c>
      <c r="J391" s="723" t="inlineStr">
        <is>
          <t>Km</t>
        </is>
      </c>
      <c r="K391" s="725" t="n">
        <v>3700</v>
      </c>
      <c r="L391" s="740">
        <f>M391-K391</f>
        <v/>
      </c>
      <c r="M391" s="1769" t="n">
        <v>18539</v>
      </c>
      <c r="N391" s="1774" t="n">
        <v>14837</v>
      </c>
      <c r="O391" s="1762">
        <f>N391*E391/1000</f>
        <v/>
      </c>
      <c r="P391" s="1763">
        <f>O391/32</f>
        <v/>
      </c>
      <c r="Q391" s="1764">
        <f>N391*I391/1000</f>
        <v/>
      </c>
    </row>
    <row r="392" ht="15.75" customHeight="1">
      <c r="A392" s="728" t="inlineStr">
        <is>
          <t>FO23060044</t>
        </is>
      </c>
      <c r="B392" s="729" t="n">
        <v>45100</v>
      </c>
      <c r="C392" s="730" t="inlineStr">
        <is>
          <t>มัลติแบกซ์</t>
        </is>
      </c>
      <c r="D392" s="730" t="inlineStr">
        <is>
          <t>ท่าเรือแหลมฉบัง</t>
        </is>
      </c>
      <c r="E392" s="731" t="n">
        <v>5.3</v>
      </c>
      <c r="F392" s="728" t="inlineStr">
        <is>
          <t>Km</t>
        </is>
      </c>
      <c r="G392" s="728" t="inlineStr">
        <is>
          <t>รถเทรลเลอร์</t>
        </is>
      </c>
      <c r="H392" s="728" t="inlineStr">
        <is>
          <t>BUSAN, KOREA</t>
        </is>
      </c>
      <c r="I392" s="733" t="n">
        <v>3740</v>
      </c>
      <c r="J392" s="732" t="inlineStr">
        <is>
          <t>Km</t>
        </is>
      </c>
      <c r="K392" s="734" t="n">
        <v>3700</v>
      </c>
      <c r="L392" s="741">
        <f>M392-K392</f>
        <v/>
      </c>
      <c r="M392" s="1771" t="n">
        <v>8935.280000000001</v>
      </c>
      <c r="N392" s="1775" t="n">
        <v>3455.32</v>
      </c>
      <c r="O392" s="1762">
        <f>N392*E392/1000</f>
        <v/>
      </c>
      <c r="P392" s="1763">
        <f>O392/32</f>
        <v/>
      </c>
      <c r="Q392" s="1764">
        <f>N392*I392/1000</f>
        <v/>
      </c>
    </row>
    <row r="393" ht="15.75" customHeight="1">
      <c r="A393" s="719" t="inlineStr">
        <is>
          <t>FO23060045</t>
        </is>
      </c>
      <c r="B393" s="720" t="n">
        <v>45092</v>
      </c>
      <c r="C393" s="721" t="inlineStr">
        <is>
          <t>มัลติแบกซ์</t>
        </is>
      </c>
      <c r="D393" s="721" t="inlineStr">
        <is>
          <t>ท่าเรือแหลมฉบัง</t>
        </is>
      </c>
      <c r="E393" s="722" t="n">
        <v>7.1</v>
      </c>
      <c r="F393" s="719" t="inlineStr">
        <is>
          <t>Km</t>
        </is>
      </c>
      <c r="G393" s="719" t="inlineStr">
        <is>
          <t>รถเทรลเลอร์</t>
        </is>
      </c>
      <c r="H393" s="719" t="inlineStr">
        <is>
          <t>UNIVERSITY PARK IL, USA</t>
        </is>
      </c>
      <c r="I393" s="724" t="n">
        <v>13877</v>
      </c>
      <c r="J393" s="723" t="inlineStr">
        <is>
          <t>Km</t>
        </is>
      </c>
      <c r="K393" s="725" t="n">
        <v>3700</v>
      </c>
      <c r="L393" s="740">
        <f>M393-K393</f>
        <v/>
      </c>
      <c r="M393" s="738" t="n">
        <v>23299.5</v>
      </c>
      <c r="N393" s="1773" t="n">
        <v>15795</v>
      </c>
      <c r="O393" s="1762">
        <f>N393*E393/1000</f>
        <v/>
      </c>
      <c r="P393" s="1763">
        <f>O393/32</f>
        <v/>
      </c>
      <c r="Q393" s="1764">
        <f>N393*I393/1000</f>
        <v/>
      </c>
    </row>
    <row r="394" ht="15.75" customHeight="1">
      <c r="A394" s="728" t="inlineStr">
        <is>
          <t>FO23060046</t>
        </is>
      </c>
      <c r="B394" s="729" t="n">
        <v>45099</v>
      </c>
      <c r="C394" s="730" t="inlineStr">
        <is>
          <t>มัลติแบกซ์</t>
        </is>
      </c>
      <c r="D394" s="730" t="inlineStr">
        <is>
          <t>ท่าเรือแหลมฉบัง</t>
        </is>
      </c>
      <c r="E394" s="731" t="n">
        <v>6.2</v>
      </c>
      <c r="F394" s="728" t="inlineStr">
        <is>
          <t>Km</t>
        </is>
      </c>
      <c r="G394" s="728" t="inlineStr">
        <is>
          <t>รถเทรลเลอร์</t>
        </is>
      </c>
      <c r="H394" s="728" t="inlineStr">
        <is>
          <t>SANTA TERESA, NM USA</t>
        </is>
      </c>
      <c r="I394" s="733" t="n">
        <v>17387</v>
      </c>
      <c r="J394" s="732" t="inlineStr">
        <is>
          <t>Km</t>
        </is>
      </c>
      <c r="K394" s="734" t="n">
        <v>3870</v>
      </c>
      <c r="L394" s="741">
        <f>M394-K394</f>
        <v/>
      </c>
      <c r="M394" s="1771" t="n">
        <v>22541.29</v>
      </c>
      <c r="N394" s="1775" t="n">
        <v>16170.76</v>
      </c>
      <c r="O394" s="1762">
        <f>N394*E394/1000</f>
        <v/>
      </c>
      <c r="P394" s="1763">
        <f>O394/32</f>
        <v/>
      </c>
      <c r="Q394" s="1764">
        <f>N394*I394/1000</f>
        <v/>
      </c>
    </row>
    <row r="395" ht="15.75" customHeight="1">
      <c r="A395" s="719" t="inlineStr">
        <is>
          <t>FO23060047</t>
        </is>
      </c>
      <c r="B395" s="720" t="n">
        <v>45099</v>
      </c>
      <c r="C395" s="721" t="inlineStr">
        <is>
          <t>มัลติแบกซ์</t>
        </is>
      </c>
      <c r="D395" s="721" t="inlineStr">
        <is>
          <t>ท่าเรือแหลมฉบัง</t>
        </is>
      </c>
      <c r="E395" s="722" t="n">
        <v>6.2</v>
      </c>
      <c r="F395" s="719" t="inlineStr">
        <is>
          <t>Km</t>
        </is>
      </c>
      <c r="G395" s="719" t="inlineStr">
        <is>
          <t>รถเทรลเลอร์</t>
        </is>
      </c>
      <c r="H395" s="719" t="inlineStr">
        <is>
          <t>SANTA TERESA, NM USA</t>
        </is>
      </c>
      <c r="I395" s="724" t="n">
        <v>17387</v>
      </c>
      <c r="J395" s="723" t="inlineStr">
        <is>
          <t>Km</t>
        </is>
      </c>
      <c r="K395" s="725" t="n">
        <v>3840</v>
      </c>
      <c r="L395" s="740">
        <f>M395-K395</f>
        <v/>
      </c>
      <c r="M395" s="1769" t="n">
        <v>21909.21</v>
      </c>
      <c r="N395" s="1774" t="n">
        <v>15594.73</v>
      </c>
      <c r="O395" s="1762">
        <f>N395*E395/1000</f>
        <v/>
      </c>
      <c r="P395" s="1763">
        <f>O395/32</f>
        <v/>
      </c>
      <c r="Q395" s="1764">
        <f>N395*I395/1000</f>
        <v/>
      </c>
    </row>
    <row r="396" ht="15.75" customHeight="1">
      <c r="A396" s="728" t="inlineStr">
        <is>
          <t>FO23060048</t>
        </is>
      </c>
      <c r="B396" s="729" t="n">
        <v>45103</v>
      </c>
      <c r="C396" s="730" t="inlineStr">
        <is>
          <t>มัลติแบกซ์</t>
        </is>
      </c>
      <c r="D396" s="730" t="inlineStr">
        <is>
          <t>ท่าเรือแหลมฉบัง</t>
        </is>
      </c>
      <c r="E396" s="731" t="n">
        <v>6</v>
      </c>
      <c r="F396" s="728" t="inlineStr">
        <is>
          <t>Km</t>
        </is>
      </c>
      <c r="G396" s="728" t="inlineStr">
        <is>
          <t>รถเทรลเลอร์</t>
        </is>
      </c>
      <c r="H396" s="728" t="inlineStr">
        <is>
          <t>JEBEL ALI, UAE</t>
        </is>
      </c>
      <c r="I396" s="733" t="n">
        <v>4972</v>
      </c>
      <c r="J396" s="732" t="inlineStr">
        <is>
          <t>Km</t>
        </is>
      </c>
      <c r="K396" s="731" t="n">
        <v>2210</v>
      </c>
      <c r="L396" s="741">
        <f>M396-K396</f>
        <v/>
      </c>
      <c r="M396" s="1771" t="n">
        <v>7223.32</v>
      </c>
      <c r="N396" s="1775" t="n">
        <v>3854.39</v>
      </c>
      <c r="O396" s="1762">
        <f>N396*E396/1000</f>
        <v/>
      </c>
      <c r="P396" s="1763">
        <f>O396/32</f>
        <v/>
      </c>
      <c r="Q396" s="1764">
        <f>N396*I396/1000</f>
        <v/>
      </c>
    </row>
    <row r="397" ht="15.75" customHeight="1">
      <c r="A397" s="698" t="inlineStr">
        <is>
          <t>FO23060049</t>
        </is>
      </c>
      <c r="B397" s="720" t="n">
        <v>45103</v>
      </c>
      <c r="C397" s="698" t="inlineStr">
        <is>
          <t>มัลติแบกซ์</t>
        </is>
      </c>
      <c r="D397" s="698" t="inlineStr">
        <is>
          <t>ท่าเรือแหลมฉบัง</t>
        </is>
      </c>
      <c r="E397" s="700" t="n">
        <v>5.3</v>
      </c>
      <c r="F397" s="698" t="inlineStr">
        <is>
          <t>Km</t>
        </is>
      </c>
      <c r="G397" s="698" t="inlineStr">
        <is>
          <t>รถเทรลเลอร์</t>
        </is>
      </c>
      <c r="H397" s="719" t="inlineStr">
        <is>
          <t>SHUWAIKH, KUWAIT</t>
        </is>
      </c>
      <c r="I397" s="724" t="n">
        <v>5727</v>
      </c>
      <c r="J397" s="703" t="inlineStr">
        <is>
          <t>Km</t>
        </is>
      </c>
      <c r="K397" s="704" t="n">
        <v>3850</v>
      </c>
      <c r="L397" s="744" t="n">
        <v>2535.25</v>
      </c>
      <c r="M397" s="751" t="n">
        <v>6385.25</v>
      </c>
      <c r="N397" s="1773" t="n">
        <v>5187.33</v>
      </c>
      <c r="O397" s="1762">
        <f>N397*E397/1000</f>
        <v/>
      </c>
      <c r="P397" s="1763">
        <f>O397/32</f>
        <v/>
      </c>
      <c r="Q397" s="1764">
        <f>N397*I397/1000</f>
        <v/>
      </c>
    </row>
    <row r="398" ht="15.75" customHeight="1">
      <c r="A398" s="728" t="inlineStr">
        <is>
          <t>FO23060050</t>
        </is>
      </c>
      <c r="B398" s="729" t="n">
        <v>45098</v>
      </c>
      <c r="C398" s="730" t="inlineStr">
        <is>
          <t>มัลติแบกซ์</t>
        </is>
      </c>
      <c r="D398" s="730" t="inlineStr">
        <is>
          <t>ท่าเรือแหลมฉบัง</t>
        </is>
      </c>
      <c r="E398" s="731" t="n">
        <v>5.2</v>
      </c>
      <c r="F398" s="728" t="inlineStr">
        <is>
          <t>Km</t>
        </is>
      </c>
      <c r="G398" s="728" t="inlineStr">
        <is>
          <t>รถเทรลเลอร์</t>
        </is>
      </c>
      <c r="H398" s="728" t="inlineStr">
        <is>
          <t>SINGAPORE</t>
        </is>
      </c>
      <c r="I398" s="733" t="n">
        <v>1931</v>
      </c>
      <c r="J398" s="732" t="inlineStr">
        <is>
          <t>Km</t>
        </is>
      </c>
      <c r="K398" s="734" t="n">
        <v>5321.7</v>
      </c>
      <c r="L398" s="741">
        <f>M398-K398</f>
        <v/>
      </c>
      <c r="M398" s="739" t="n">
        <v>6309.7</v>
      </c>
      <c r="N398" s="1772" t="n">
        <v>5321.7</v>
      </c>
      <c r="O398" s="1762">
        <f>N398*E398/1000</f>
        <v/>
      </c>
      <c r="P398" s="1763">
        <f>O398/32</f>
        <v/>
      </c>
      <c r="Q398" s="1764">
        <f>N398*I398/1000</f>
        <v/>
      </c>
    </row>
    <row r="399" ht="15.75" customHeight="1">
      <c r="A399" s="719" t="inlineStr">
        <is>
          <t>FO23060051</t>
        </is>
      </c>
      <c r="B399" s="720" t="n">
        <v>45096</v>
      </c>
      <c r="C399" s="721" t="inlineStr">
        <is>
          <t>มัลติแบกซ์</t>
        </is>
      </c>
      <c r="D399" s="721" t="inlineStr">
        <is>
          <t>ท่าเรือแหลมฉบัง</t>
        </is>
      </c>
      <c r="E399" s="722" t="n">
        <v>6.5</v>
      </c>
      <c r="F399" s="719" t="inlineStr">
        <is>
          <t>Km</t>
        </is>
      </c>
      <c r="G399" s="719" t="inlineStr">
        <is>
          <t>รถเทรลเลอร์</t>
        </is>
      </c>
      <c r="H399" s="719" t="inlineStr">
        <is>
          <t>DURBAN, SOUTH AFRICA</t>
        </is>
      </c>
      <c r="I399" s="724" t="n">
        <v>8865</v>
      </c>
      <c r="J399" s="723" t="inlineStr">
        <is>
          <t>Km</t>
        </is>
      </c>
      <c r="K399" s="725" t="n">
        <v>3700</v>
      </c>
      <c r="L399" s="740">
        <f>M399-K399</f>
        <v/>
      </c>
      <c r="M399" s="738" t="n">
        <v>24560.5</v>
      </c>
      <c r="N399" s="1773" t="n">
        <v>18066</v>
      </c>
      <c r="O399" s="1762">
        <f>N399*E399/1000</f>
        <v/>
      </c>
      <c r="P399" s="1763">
        <f>O399/32</f>
        <v/>
      </c>
      <c r="Q399" s="1764">
        <f>N399*I399/1000</f>
        <v/>
      </c>
    </row>
    <row r="400" ht="15.75" customHeight="1">
      <c r="A400" s="728" t="inlineStr">
        <is>
          <t>FO23060052</t>
        </is>
      </c>
      <c r="B400" s="729" t="n">
        <v>45098</v>
      </c>
      <c r="C400" s="730" t="inlineStr">
        <is>
          <t>มัลติแบกซ์</t>
        </is>
      </c>
      <c r="D400" s="730" t="inlineStr">
        <is>
          <t>ท่าเรือแหลมฉบัง</t>
        </is>
      </c>
      <c r="E400" s="731" t="n">
        <v>6.5</v>
      </c>
      <c r="F400" s="728" t="inlineStr">
        <is>
          <t>Km</t>
        </is>
      </c>
      <c r="G400" s="728" t="inlineStr">
        <is>
          <t>รถเทรลเลอร์</t>
        </is>
      </c>
      <c r="H400" s="728" t="inlineStr">
        <is>
          <t>CARROLLTON TX, USA</t>
        </is>
      </c>
      <c r="I400" s="733" t="n">
        <v>14544</v>
      </c>
      <c r="J400" s="732" t="inlineStr">
        <is>
          <t>Km</t>
        </is>
      </c>
      <c r="K400" s="734" t="n">
        <v>3820</v>
      </c>
      <c r="L400" s="741">
        <f>M400-K400</f>
        <v/>
      </c>
      <c r="M400" s="1771" t="n">
        <v>18659</v>
      </c>
      <c r="N400" s="1772" t="n">
        <v>12511.2</v>
      </c>
      <c r="O400" s="1762">
        <f>N400*E400/1000</f>
        <v/>
      </c>
      <c r="P400" s="1763">
        <f>O400/32</f>
        <v/>
      </c>
      <c r="Q400" s="1764">
        <f>N400*I400/1000</f>
        <v/>
      </c>
    </row>
    <row r="401" ht="15.75" customHeight="1">
      <c r="A401" s="719" t="inlineStr">
        <is>
          <t>FO23060053</t>
        </is>
      </c>
      <c r="B401" s="720" t="n">
        <v>45099</v>
      </c>
      <c r="C401" s="721" t="inlineStr">
        <is>
          <t>มัลติแบกซ์</t>
        </is>
      </c>
      <c r="D401" s="721" t="inlineStr">
        <is>
          <t>ท่าเรือแหลมฉบัง</t>
        </is>
      </c>
      <c r="E401" s="722" t="n">
        <v>6.2</v>
      </c>
      <c r="F401" s="719" t="inlineStr">
        <is>
          <t>Km</t>
        </is>
      </c>
      <c r="G401" s="719" t="inlineStr">
        <is>
          <t>รถเทรลเลอร์</t>
        </is>
      </c>
      <c r="H401" s="719" t="inlineStr">
        <is>
          <t>PERRIS CA, USA</t>
        </is>
      </c>
      <c r="I401" s="724" t="n">
        <v>13413</v>
      </c>
      <c r="J401" s="723" t="inlineStr">
        <is>
          <t>Km</t>
        </is>
      </c>
      <c r="K401" s="725" t="n">
        <v>3900</v>
      </c>
      <c r="L401" s="740">
        <f>M401-K401</f>
        <v/>
      </c>
      <c r="M401" s="1769" t="n">
        <v>21789.1</v>
      </c>
      <c r="N401" s="1774" t="n">
        <v>14665.2</v>
      </c>
      <c r="O401" s="1762">
        <f>N401*E401/1000</f>
        <v/>
      </c>
      <c r="P401" s="1763">
        <f>O401/32</f>
        <v/>
      </c>
      <c r="Q401" s="1764">
        <f>N401*I401/1000</f>
        <v/>
      </c>
    </row>
    <row r="402" ht="15.75" customHeight="1">
      <c r="A402" s="728" t="inlineStr">
        <is>
          <t>FO23060055</t>
        </is>
      </c>
      <c r="B402" s="729" t="n">
        <v>45098</v>
      </c>
      <c r="C402" s="730" t="inlineStr">
        <is>
          <t>มัลติแบกซ์</t>
        </is>
      </c>
      <c r="D402" s="730" t="inlineStr">
        <is>
          <t>ท่าเรือแหลมฉบัง</t>
        </is>
      </c>
      <c r="E402" s="731" t="n">
        <v>6.5</v>
      </c>
      <c r="F402" s="728" t="inlineStr">
        <is>
          <t>Km</t>
        </is>
      </c>
      <c r="G402" s="728" t="inlineStr">
        <is>
          <t>รถเทรลเลอร์</t>
        </is>
      </c>
      <c r="H402" s="728" t="inlineStr">
        <is>
          <t>LOUISVILLE KY, USA</t>
        </is>
      </c>
      <c r="I402" s="733" t="n">
        <v>14253</v>
      </c>
      <c r="J402" s="732" t="inlineStr">
        <is>
          <t>Km</t>
        </is>
      </c>
      <c r="K402" s="734" t="n">
        <v>3900</v>
      </c>
      <c r="L402" s="741">
        <f>M402-K402</f>
        <v/>
      </c>
      <c r="M402" s="739" t="n">
        <v>14641.02</v>
      </c>
      <c r="N402" s="1772" t="n">
        <v>7892.82</v>
      </c>
      <c r="O402" s="1762">
        <f>N402*E402/1000</f>
        <v/>
      </c>
      <c r="P402" s="1763">
        <f>O402/32</f>
        <v/>
      </c>
      <c r="Q402" s="1764">
        <f>N402*I402/1000</f>
        <v/>
      </c>
    </row>
    <row r="403" ht="15.75" customHeight="1">
      <c r="A403" s="719" t="inlineStr">
        <is>
          <t>FO23060056</t>
        </is>
      </c>
      <c r="B403" s="720" t="n">
        <v>45100</v>
      </c>
      <c r="C403" s="721" t="inlineStr">
        <is>
          <t>มัลติแบกซ์</t>
        </is>
      </c>
      <c r="D403" s="721" t="inlineStr">
        <is>
          <t>ท่าเรือแหลมฉบัง</t>
        </is>
      </c>
      <c r="E403" s="722" t="n">
        <v>6.5</v>
      </c>
      <c r="F403" s="719" t="inlineStr">
        <is>
          <t>Km</t>
        </is>
      </c>
      <c r="G403" s="719" t="inlineStr">
        <is>
          <t>รถเทรลเลอร์</t>
        </is>
      </c>
      <c r="H403" s="719" t="inlineStr">
        <is>
          <t>LOUISVILLE KY, USA</t>
        </is>
      </c>
      <c r="I403" s="724" t="n">
        <v>14253</v>
      </c>
      <c r="J403" s="723" t="inlineStr">
        <is>
          <t>Km</t>
        </is>
      </c>
      <c r="K403" s="722" t="n">
        <v>3900</v>
      </c>
      <c r="L403" s="740">
        <f>M403-K403</f>
        <v/>
      </c>
      <c r="M403" s="1769" t="n">
        <v>15171.06</v>
      </c>
      <c r="N403" s="1774" t="n">
        <v>8420.040000000001</v>
      </c>
      <c r="O403" s="1762">
        <f>N403*E403/1000</f>
        <v/>
      </c>
      <c r="P403" s="1763">
        <f>O403/32</f>
        <v/>
      </c>
      <c r="Q403" s="1764">
        <f>N403*I403/1000</f>
        <v/>
      </c>
    </row>
    <row r="404" ht="15.75" customHeight="1">
      <c r="A404" s="728" t="inlineStr">
        <is>
          <t>FO23060057</t>
        </is>
      </c>
      <c r="B404" s="729" t="n">
        <v>45103</v>
      </c>
      <c r="C404" s="730" t="inlineStr">
        <is>
          <t>มัลติแบกซ์</t>
        </is>
      </c>
      <c r="D404" s="730" t="inlineStr">
        <is>
          <t>ท่าเรือแหลมฉบัง</t>
        </is>
      </c>
      <c r="E404" s="731" t="n">
        <v>5.2</v>
      </c>
      <c r="F404" s="728" t="inlineStr">
        <is>
          <t>Km</t>
        </is>
      </c>
      <c r="G404" s="728" t="inlineStr">
        <is>
          <t>รถเทรลเลอร์</t>
        </is>
      </c>
      <c r="H404" s="728" t="inlineStr">
        <is>
          <t>MANILA, PHILIPPINES</t>
        </is>
      </c>
      <c r="I404" s="733" t="n">
        <v>2167</v>
      </c>
      <c r="J404" s="732" t="inlineStr">
        <is>
          <t>Km</t>
        </is>
      </c>
      <c r="K404" s="731" t="n">
        <v>2230</v>
      </c>
      <c r="L404" s="741">
        <f>M404-K404</f>
        <v/>
      </c>
      <c r="M404" s="1771" t="n">
        <v>6385.6</v>
      </c>
      <c r="N404" s="1775" t="n">
        <v>2808.9</v>
      </c>
      <c r="O404" s="1762">
        <f>N404*E404/1000</f>
        <v/>
      </c>
      <c r="P404" s="1763">
        <f>O404/32</f>
        <v/>
      </c>
      <c r="Q404" s="1764">
        <f>N404*I404/1000</f>
        <v/>
      </c>
    </row>
    <row r="405" ht="15.75" customHeight="1">
      <c r="A405" s="719" t="inlineStr">
        <is>
          <t>FO23060058</t>
        </is>
      </c>
      <c r="B405" s="720" t="n">
        <v>45100</v>
      </c>
      <c r="C405" s="721" t="inlineStr">
        <is>
          <t>มัลติแบกซ์</t>
        </is>
      </c>
      <c r="D405" s="721" t="inlineStr">
        <is>
          <t>ท่าเรือแหลมฉบัง</t>
        </is>
      </c>
      <c r="E405" s="722" t="n">
        <v>7.1</v>
      </c>
      <c r="F405" s="719" t="inlineStr">
        <is>
          <t>Km</t>
        </is>
      </c>
      <c r="G405" s="719" t="inlineStr">
        <is>
          <t>รถเทรลเลอร์</t>
        </is>
      </c>
      <c r="H405" s="719" t="inlineStr">
        <is>
          <t>SINGAPORE</t>
        </is>
      </c>
      <c r="I405" s="724" t="n">
        <v>1931</v>
      </c>
      <c r="J405" s="723" t="inlineStr">
        <is>
          <t>Km</t>
        </is>
      </c>
      <c r="K405" s="725" t="n">
        <v>5271.2</v>
      </c>
      <c r="L405" s="740">
        <f>M405-K405</f>
        <v/>
      </c>
      <c r="M405" s="1769" t="n">
        <v>6225.2</v>
      </c>
      <c r="N405" s="1774" t="n">
        <v>5271.2</v>
      </c>
      <c r="O405" s="1762">
        <f>N405*E405/1000</f>
        <v/>
      </c>
      <c r="P405" s="1763">
        <f>O405/32</f>
        <v/>
      </c>
      <c r="Q405" s="1764">
        <f>N405*I405/1000</f>
        <v/>
      </c>
    </row>
    <row r="406" ht="15.75" customHeight="1">
      <c r="A406" s="728" t="inlineStr">
        <is>
          <t>FO23060059</t>
        </is>
      </c>
      <c r="B406" s="729" t="n">
        <v>45103</v>
      </c>
      <c r="C406" s="730" t="inlineStr">
        <is>
          <t>มัลติแบกซ์</t>
        </is>
      </c>
      <c r="D406" s="730" t="inlineStr">
        <is>
          <t>ท่าเรือแหลมฉบัง</t>
        </is>
      </c>
      <c r="E406" s="731" t="n">
        <v>5.3</v>
      </c>
      <c r="F406" s="728" t="inlineStr">
        <is>
          <t>Km</t>
        </is>
      </c>
      <c r="G406" s="728" t="inlineStr">
        <is>
          <t>รถเทรลเลอร์</t>
        </is>
      </c>
      <c r="H406" s="728" t="inlineStr">
        <is>
          <t>HONG KONG</t>
        </is>
      </c>
      <c r="I406" s="733" t="n">
        <v>1734</v>
      </c>
      <c r="J406" s="732" t="inlineStr">
        <is>
          <t>Km</t>
        </is>
      </c>
      <c r="K406" s="731" t="n">
        <v>3650</v>
      </c>
      <c r="L406" s="741">
        <f>M406-K406</f>
        <v/>
      </c>
      <c r="M406" s="1771" t="n">
        <v>16877</v>
      </c>
      <c r="N406" s="1775" t="n">
        <v>10554.2</v>
      </c>
      <c r="O406" s="1762">
        <f>N406*E406/1000</f>
        <v/>
      </c>
      <c r="P406" s="1763">
        <f>O406/32</f>
        <v/>
      </c>
      <c r="Q406" s="1764">
        <f>N406*I406/1000</f>
        <v/>
      </c>
    </row>
    <row r="407" ht="15.75" customHeight="1">
      <c r="A407" s="719" t="inlineStr">
        <is>
          <t>FO23060060</t>
        </is>
      </c>
      <c r="B407" s="720" t="n">
        <v>45474</v>
      </c>
      <c r="C407" s="721" t="inlineStr">
        <is>
          <t>มัลติแบกซ์</t>
        </is>
      </c>
      <c r="D407" s="721" t="inlineStr">
        <is>
          <t>ท่าเรือแหลมฉบัง</t>
        </is>
      </c>
      <c r="E407" s="722" t="n">
        <v>7.1</v>
      </c>
      <c r="F407" s="719" t="inlineStr">
        <is>
          <t>Km</t>
        </is>
      </c>
      <c r="G407" s="719" t="inlineStr">
        <is>
          <t>รถเทรลเลอร์</t>
        </is>
      </c>
      <c r="H407" s="719" t="inlineStr">
        <is>
          <t>SHUWAIKH, KUWAIT</t>
        </is>
      </c>
      <c r="I407" s="724" t="n">
        <v>5727</v>
      </c>
      <c r="J407" s="723" t="inlineStr">
        <is>
          <t>Km</t>
        </is>
      </c>
      <c r="K407" s="725" t="n">
        <v>2215</v>
      </c>
      <c r="L407" s="740" t="n">
        <v>6764.73</v>
      </c>
      <c r="M407" s="738" t="n">
        <v>8979.73</v>
      </c>
      <c r="N407" s="1774" t="n">
        <v>5729.89</v>
      </c>
      <c r="O407" s="1762">
        <f>N407*E407/1000</f>
        <v/>
      </c>
      <c r="P407" s="1763">
        <f>O407/32</f>
        <v/>
      </c>
      <c r="Q407" s="1764">
        <f>N407*I407/1000</f>
        <v/>
      </c>
    </row>
    <row r="408" ht="15.75" customHeight="1">
      <c r="A408" s="728" t="inlineStr">
        <is>
          <t>FO23060061</t>
        </is>
      </c>
      <c r="B408" s="729" t="n">
        <v>45474</v>
      </c>
      <c r="C408" s="730" t="inlineStr">
        <is>
          <t>มัลติแบกซ์</t>
        </is>
      </c>
      <c r="D408" s="730" t="inlineStr">
        <is>
          <t>ท่าเรือแหลมฉบัง</t>
        </is>
      </c>
      <c r="E408" s="731" t="n">
        <v>7.1</v>
      </c>
      <c r="F408" s="728" t="inlineStr">
        <is>
          <t>Km</t>
        </is>
      </c>
      <c r="G408" s="728" t="inlineStr">
        <is>
          <t>รถเทรลเลอร์</t>
        </is>
      </c>
      <c r="H408" s="728" t="inlineStr">
        <is>
          <t>HAMAD, QATAR</t>
        </is>
      </c>
      <c r="I408" s="733" t="n">
        <v>5317</v>
      </c>
      <c r="J408" s="732" t="inlineStr">
        <is>
          <t>Km</t>
        </is>
      </c>
      <c r="K408" s="734" t="n">
        <v>2220</v>
      </c>
      <c r="L408" s="741" t="n">
        <v>6689.299999999999</v>
      </c>
      <c r="M408" s="739" t="n">
        <v>8909.299999999999</v>
      </c>
      <c r="N408" s="1775" t="n">
        <v>5473.02</v>
      </c>
      <c r="O408" s="1762">
        <f>N408*E408/1000</f>
        <v/>
      </c>
      <c r="P408" s="1763">
        <f>O408/32</f>
        <v/>
      </c>
      <c r="Q408" s="1764">
        <f>N408*I408/1000</f>
        <v/>
      </c>
    </row>
    <row r="409" ht="15.75" customHeight="1">
      <c r="A409" s="719" t="inlineStr">
        <is>
          <t>FO23060062</t>
        </is>
      </c>
      <c r="B409" s="720" t="n">
        <v>45474</v>
      </c>
      <c r="C409" s="721" t="inlineStr">
        <is>
          <t>มัลติแบกซ์</t>
        </is>
      </c>
      <c r="D409" s="721" t="inlineStr">
        <is>
          <t>ท่าเรือแหลมฉบัง</t>
        </is>
      </c>
      <c r="E409" s="722" t="n">
        <v>7.1</v>
      </c>
      <c r="F409" s="719" t="inlineStr">
        <is>
          <t>Km</t>
        </is>
      </c>
      <c r="G409" s="719" t="inlineStr">
        <is>
          <t>รถเทรลเลอร์</t>
        </is>
      </c>
      <c r="H409" s="719" t="inlineStr">
        <is>
          <t>JEBEL ALI, UAE</t>
        </is>
      </c>
      <c r="I409" s="724" t="n">
        <v>4972</v>
      </c>
      <c r="J409" s="723" t="inlineStr">
        <is>
          <t>Km</t>
        </is>
      </c>
      <c r="K409" s="725" t="n">
        <v>2100</v>
      </c>
      <c r="L409" s="740" t="n">
        <v>6061.3</v>
      </c>
      <c r="M409" s="738" t="n">
        <v>8161.3</v>
      </c>
      <c r="N409" s="1774" t="n">
        <v>4901.7</v>
      </c>
      <c r="O409" s="1762">
        <f>N409*E409/1000</f>
        <v/>
      </c>
      <c r="P409" s="1763">
        <f>O409/32</f>
        <v/>
      </c>
      <c r="Q409" s="1764">
        <f>N409*I409/1000</f>
        <v/>
      </c>
    </row>
    <row r="410" ht="15.75" customHeight="1">
      <c r="A410" s="728" t="inlineStr">
        <is>
          <t>FO23060063</t>
        </is>
      </c>
      <c r="B410" s="729" t="n">
        <v>45104</v>
      </c>
      <c r="C410" s="730" t="inlineStr">
        <is>
          <t>มัลติแบกซ์</t>
        </is>
      </c>
      <c r="D410" s="730" t="inlineStr">
        <is>
          <t>ท่าเรือแหลมฉบัง</t>
        </is>
      </c>
      <c r="E410" s="731" t="n">
        <v>6.2</v>
      </c>
      <c r="F410" s="728" t="inlineStr">
        <is>
          <t>Km</t>
        </is>
      </c>
      <c r="G410" s="728" t="inlineStr">
        <is>
          <t>รถเทรลเลอร์</t>
        </is>
      </c>
      <c r="H410" s="728" t="inlineStr">
        <is>
          <t>SYDNEY, AUSTRALIA</t>
        </is>
      </c>
      <c r="I410" s="733" t="n">
        <v>7448</v>
      </c>
      <c r="J410" s="732" t="inlineStr">
        <is>
          <t>Km</t>
        </is>
      </c>
      <c r="K410" s="731" t="n">
        <v>3870</v>
      </c>
      <c r="L410" s="741">
        <f>M410-K410</f>
        <v/>
      </c>
      <c r="M410" s="1771" t="n">
        <v>24572</v>
      </c>
      <c r="N410" s="1775" t="n">
        <v>16560</v>
      </c>
      <c r="O410" s="1762">
        <f>N410*E410/1000</f>
        <v/>
      </c>
      <c r="P410" s="1763">
        <f>O410/32</f>
        <v/>
      </c>
      <c r="Q410" s="1764">
        <f>N410*I410/1000</f>
        <v/>
      </c>
    </row>
    <row r="411" ht="15.75" customHeight="1">
      <c r="A411" s="719" t="inlineStr">
        <is>
          <t>FO23060064</t>
        </is>
      </c>
      <c r="B411" s="720" t="n">
        <v>45104</v>
      </c>
      <c r="C411" s="721" t="inlineStr">
        <is>
          <t>มัลติแบกซ์</t>
        </is>
      </c>
      <c r="D411" s="721" t="inlineStr">
        <is>
          <t>ท่าเรือแหลมฉบัง</t>
        </is>
      </c>
      <c r="E411" s="722" t="n">
        <v>6.2</v>
      </c>
      <c r="F411" s="719" t="inlineStr">
        <is>
          <t>Km</t>
        </is>
      </c>
      <c r="G411" s="719" t="inlineStr">
        <is>
          <t>รถเทรลเลอร์</t>
        </is>
      </c>
      <c r="H411" s="719" t="inlineStr">
        <is>
          <t>SYDNEY, AUSTRALIA</t>
        </is>
      </c>
      <c r="I411" s="724" t="n">
        <v>7448</v>
      </c>
      <c r="J411" s="723" t="inlineStr">
        <is>
          <t>Km</t>
        </is>
      </c>
      <c r="K411" s="722" t="n">
        <v>3910</v>
      </c>
      <c r="L411" s="740">
        <f>M411-K411</f>
        <v/>
      </c>
      <c r="M411" s="1769" t="n">
        <v>21862</v>
      </c>
      <c r="N411" s="1774" t="n">
        <v>8572</v>
      </c>
      <c r="O411" s="1762">
        <f>N411*E411/1000</f>
        <v/>
      </c>
      <c r="P411" s="1763">
        <f>O411/32</f>
        <v/>
      </c>
      <c r="Q411" s="1764">
        <f>N411*I411/1000</f>
        <v/>
      </c>
    </row>
    <row r="412" ht="15.75" customHeight="1">
      <c r="A412" s="728" t="inlineStr">
        <is>
          <t>FO23060065</t>
        </is>
      </c>
      <c r="B412" s="729" t="n">
        <v>45104</v>
      </c>
      <c r="C412" s="730" t="inlineStr">
        <is>
          <t>มัลติแบกซ์</t>
        </is>
      </c>
      <c r="D412" s="730" t="inlineStr">
        <is>
          <t>ท่าเรือแหลมฉบัง</t>
        </is>
      </c>
      <c r="E412" s="731" t="n">
        <v>6.2</v>
      </c>
      <c r="F412" s="728" t="inlineStr">
        <is>
          <t>Km</t>
        </is>
      </c>
      <c r="G412" s="728" t="inlineStr">
        <is>
          <t>รถเทรลเลอร์</t>
        </is>
      </c>
      <c r="H412" s="728" t="inlineStr">
        <is>
          <t>SYDNEY, AUSTRALIA</t>
        </is>
      </c>
      <c r="I412" s="733" t="n">
        <v>7448</v>
      </c>
      <c r="J412" s="732" t="inlineStr">
        <is>
          <t>Km</t>
        </is>
      </c>
      <c r="K412" s="731" t="n">
        <v>3700</v>
      </c>
      <c r="L412" s="741">
        <f>M412-K412</f>
        <v/>
      </c>
      <c r="M412" s="1771" t="n">
        <v>13757</v>
      </c>
      <c r="N412" s="1775" t="n">
        <v>5400</v>
      </c>
      <c r="O412" s="1762">
        <f>N412*E412/1000</f>
        <v/>
      </c>
      <c r="P412" s="1763">
        <f>O412/32</f>
        <v/>
      </c>
      <c r="Q412" s="1764">
        <f>N412*I412/1000</f>
        <v/>
      </c>
    </row>
    <row r="413" ht="15.75" customHeight="1">
      <c r="A413" s="719" t="inlineStr">
        <is>
          <t>FO23060066</t>
        </is>
      </c>
      <c r="B413" s="720" t="n">
        <v>45104</v>
      </c>
      <c r="C413" s="721" t="inlineStr">
        <is>
          <t>มัลติแบกซ์</t>
        </is>
      </c>
      <c r="D413" s="721" t="inlineStr">
        <is>
          <t>ท่าเรือแหลมฉบัง</t>
        </is>
      </c>
      <c r="E413" s="722" t="n">
        <v>6.2</v>
      </c>
      <c r="F413" s="719" t="inlineStr">
        <is>
          <t>Km</t>
        </is>
      </c>
      <c r="G413" s="719" t="inlineStr">
        <is>
          <t>รถเทรลเลอร์</t>
        </is>
      </c>
      <c r="H413" s="719" t="inlineStr">
        <is>
          <t>MELBOURNE, AUSTRALIA</t>
        </is>
      </c>
      <c r="I413" s="724" t="n">
        <v>7283</v>
      </c>
      <c r="J413" s="723" t="inlineStr">
        <is>
          <t>Km</t>
        </is>
      </c>
      <c r="K413" s="722" t="n">
        <v>3720</v>
      </c>
      <c r="L413" s="740">
        <f>M413-K413</f>
        <v/>
      </c>
      <c r="M413" s="722" t="n">
        <v>27637</v>
      </c>
      <c r="N413" s="1774" t="n">
        <v>21103</v>
      </c>
      <c r="O413" s="1762">
        <f>N413*E413/1000</f>
        <v/>
      </c>
      <c r="P413" s="1763">
        <f>O413/32</f>
        <v/>
      </c>
      <c r="Q413" s="1764">
        <f>N413*I413/1000</f>
        <v/>
      </c>
    </row>
    <row r="414" ht="15.75" customHeight="1">
      <c r="A414" s="728" t="inlineStr">
        <is>
          <t>FO23060067</t>
        </is>
      </c>
      <c r="B414" s="729" t="n">
        <v>45104</v>
      </c>
      <c r="C414" s="730" t="inlineStr">
        <is>
          <t>มัลติแบกซ์</t>
        </is>
      </c>
      <c r="D414" s="730" t="inlineStr">
        <is>
          <t>ท่าเรือแหลมฉบัง</t>
        </is>
      </c>
      <c r="E414" s="731" t="n">
        <v>6.2</v>
      </c>
      <c r="F414" s="728" t="inlineStr">
        <is>
          <t>Km</t>
        </is>
      </c>
      <c r="G414" s="728" t="inlineStr">
        <is>
          <t>รถเทรลเลอร์</t>
        </is>
      </c>
      <c r="H414" s="728" t="inlineStr">
        <is>
          <t>MELBOURNE, AUSTRALIA</t>
        </is>
      </c>
      <c r="I414" s="733" t="n">
        <v>7283</v>
      </c>
      <c r="J414" s="732" t="inlineStr">
        <is>
          <t>Km</t>
        </is>
      </c>
      <c r="K414" s="731" t="n">
        <v>3680</v>
      </c>
      <c r="L414" s="741">
        <f>M414-K414</f>
        <v/>
      </c>
      <c r="M414" s="731" t="n">
        <v>27632</v>
      </c>
      <c r="N414" s="1775" t="n">
        <v>18541</v>
      </c>
      <c r="O414" s="1762">
        <f>N414*E414/1000</f>
        <v/>
      </c>
      <c r="P414" s="1763">
        <f>O414/32</f>
        <v/>
      </c>
      <c r="Q414" s="1764">
        <f>N414*I414/1000</f>
        <v/>
      </c>
    </row>
    <row r="415" ht="15.75" customHeight="1">
      <c r="A415" s="719" t="inlineStr">
        <is>
          <t>FO23060068</t>
        </is>
      </c>
      <c r="B415" s="720" t="n">
        <v>45104</v>
      </c>
      <c r="C415" s="721" t="inlineStr">
        <is>
          <t>มัลติแบกซ์</t>
        </is>
      </c>
      <c r="D415" s="721" t="inlineStr">
        <is>
          <t>ท่าเรือแหลมฉบัง</t>
        </is>
      </c>
      <c r="E415" s="722" t="n">
        <v>6.2</v>
      </c>
      <c r="F415" s="719" t="inlineStr">
        <is>
          <t>Km</t>
        </is>
      </c>
      <c r="G415" s="719" t="inlineStr">
        <is>
          <t>รถเทรลเลอร์</t>
        </is>
      </c>
      <c r="H415" s="719" t="inlineStr">
        <is>
          <t>MELBOURNE, AUSTRALIA</t>
        </is>
      </c>
      <c r="I415" s="724" t="n">
        <v>7283</v>
      </c>
      <c r="J415" s="723" t="inlineStr">
        <is>
          <t>Km</t>
        </is>
      </c>
      <c r="K415" s="722" t="n">
        <v>3680</v>
      </c>
      <c r="L415" s="740">
        <f>M415-K415</f>
        <v/>
      </c>
      <c r="M415" s="1769" t="n">
        <v>24457</v>
      </c>
      <c r="N415" s="1774" t="n">
        <v>16411</v>
      </c>
      <c r="O415" s="1762">
        <f>N415*E415/1000</f>
        <v/>
      </c>
      <c r="P415" s="1763">
        <f>O415/32</f>
        <v/>
      </c>
      <c r="Q415" s="1764">
        <f>N415*I415/1000</f>
        <v/>
      </c>
    </row>
    <row r="416" ht="15.75" customHeight="1">
      <c r="A416" s="728" t="inlineStr">
        <is>
          <t>FO23060069</t>
        </is>
      </c>
      <c r="B416" s="729" t="n">
        <v>45103</v>
      </c>
      <c r="C416" s="730" t="inlineStr">
        <is>
          <t>มัลติแบกซ์</t>
        </is>
      </c>
      <c r="D416" s="730" t="inlineStr">
        <is>
          <t>ท่าเรือแหลมฉบัง</t>
        </is>
      </c>
      <c r="E416" s="731" t="n">
        <v>7.1</v>
      </c>
      <c r="F416" s="728" t="inlineStr">
        <is>
          <t>Km</t>
        </is>
      </c>
      <c r="G416" s="728" t="inlineStr">
        <is>
          <t>รถเทรลเลอร์</t>
        </is>
      </c>
      <c r="H416" s="728" t="inlineStr">
        <is>
          <t>CARROLLTON TX, USA</t>
        </is>
      </c>
      <c r="I416" s="733" t="n">
        <v>14544</v>
      </c>
      <c r="J416" s="732" t="inlineStr">
        <is>
          <t>Km</t>
        </is>
      </c>
      <c r="K416" s="731" t="n">
        <v>3830</v>
      </c>
      <c r="L416" s="741">
        <f>M416-K416</f>
        <v/>
      </c>
      <c r="M416" s="1771" t="n">
        <v>18669</v>
      </c>
      <c r="N416" s="1775" t="n">
        <v>12511.2</v>
      </c>
      <c r="O416" s="1762">
        <f>N416*E416/1000</f>
        <v/>
      </c>
      <c r="P416" s="1763">
        <f>O416/32</f>
        <v/>
      </c>
      <c r="Q416" s="1764">
        <f>N416*I416/1000</f>
        <v/>
      </c>
    </row>
    <row r="417" ht="15.75" customHeight="1">
      <c r="A417" s="719" t="inlineStr">
        <is>
          <t>FO23060070</t>
        </is>
      </c>
      <c r="B417" s="720" t="n">
        <v>45103</v>
      </c>
      <c r="C417" s="721" t="inlineStr">
        <is>
          <t>มัลติแบกซ์</t>
        </is>
      </c>
      <c r="D417" s="721" t="inlineStr">
        <is>
          <t>ท่าเรือแหลมฉบัง</t>
        </is>
      </c>
      <c r="E417" s="722" t="n">
        <v>7.1</v>
      </c>
      <c r="F417" s="719" t="inlineStr">
        <is>
          <t>Km</t>
        </is>
      </c>
      <c r="G417" s="719" t="inlineStr">
        <is>
          <t>รถเทรลเลอร์</t>
        </is>
      </c>
      <c r="H417" s="719" t="inlineStr">
        <is>
          <t>CARROLLTON TX, USA</t>
        </is>
      </c>
      <c r="I417" s="724" t="n">
        <v>14544</v>
      </c>
      <c r="J417" s="723" t="inlineStr">
        <is>
          <t>Km</t>
        </is>
      </c>
      <c r="K417" s="722" t="n">
        <v>3700</v>
      </c>
      <c r="L417" s="740">
        <f>M417-K417</f>
        <v/>
      </c>
      <c r="M417" s="1769" t="n">
        <v>18539</v>
      </c>
      <c r="N417" s="1774" t="n">
        <v>12511.2</v>
      </c>
      <c r="O417" s="1762">
        <f>N417*E417/1000</f>
        <v/>
      </c>
      <c r="P417" s="1763">
        <f>O417/32</f>
        <v/>
      </c>
      <c r="Q417" s="1764">
        <f>N417*I417/1000</f>
        <v/>
      </c>
    </row>
    <row r="418" ht="15.75" customHeight="1">
      <c r="A418" s="728" t="inlineStr">
        <is>
          <t>FO23060071</t>
        </is>
      </c>
      <c r="B418" s="729" t="n">
        <v>45106</v>
      </c>
      <c r="C418" s="730" t="inlineStr">
        <is>
          <t>มัลติแบกซ์</t>
        </is>
      </c>
      <c r="D418" s="730" t="inlineStr">
        <is>
          <t>ท่าเรือแหลมฉบัง</t>
        </is>
      </c>
      <c r="E418" s="731" t="n">
        <v>6</v>
      </c>
      <c r="F418" s="728" t="inlineStr">
        <is>
          <t>Km</t>
        </is>
      </c>
      <c r="G418" s="728" t="inlineStr">
        <is>
          <t>รถเทรลเลอร์</t>
        </is>
      </c>
      <c r="H418" s="728" t="inlineStr">
        <is>
          <t>NAGOYA, JAPAN</t>
        </is>
      </c>
      <c r="I418" s="733" t="n">
        <v>4358</v>
      </c>
      <c r="J418" s="732" t="inlineStr">
        <is>
          <t>Km</t>
        </is>
      </c>
      <c r="K418" s="731" t="n">
        <v>3750</v>
      </c>
      <c r="L418" s="741">
        <f>M418-K418</f>
        <v/>
      </c>
      <c r="M418" s="731" t="n">
        <v>15783.86</v>
      </c>
      <c r="N418" s="1775" t="n">
        <v>9977.440000000001</v>
      </c>
      <c r="O418" s="1762">
        <f>N418*E418/1000</f>
        <v/>
      </c>
      <c r="P418" s="1763">
        <f>O418/32</f>
        <v/>
      </c>
      <c r="Q418" s="1764">
        <f>N418*I418/1000</f>
        <v/>
      </c>
    </row>
    <row r="419" ht="15.75" customHeight="1">
      <c r="A419" s="719" t="inlineStr">
        <is>
          <t>FO23060072</t>
        </is>
      </c>
      <c r="B419" s="720" t="n">
        <v>45105</v>
      </c>
      <c r="C419" s="721" t="inlineStr">
        <is>
          <t>มัลติแบกซ์</t>
        </is>
      </c>
      <c r="D419" s="721" t="inlineStr">
        <is>
          <t>ท่าเรือแหลมฉบัง</t>
        </is>
      </c>
      <c r="E419" s="722" t="n">
        <v>5.2</v>
      </c>
      <c r="F419" s="719" t="inlineStr">
        <is>
          <t>Km</t>
        </is>
      </c>
      <c r="G419" s="719" t="inlineStr">
        <is>
          <t>รถเทรลเลอร์</t>
        </is>
      </c>
      <c r="H419" s="719" t="inlineStr">
        <is>
          <t>COLUMBUS OHIO, USA</t>
        </is>
      </c>
      <c r="I419" s="724" t="n">
        <v>14000</v>
      </c>
      <c r="J419" s="723" t="inlineStr">
        <is>
          <t>Km</t>
        </is>
      </c>
      <c r="K419" s="722" t="n">
        <v>3800</v>
      </c>
      <c r="L419" s="740">
        <f>M419-K419</f>
        <v/>
      </c>
      <c r="M419" s="722" t="n">
        <v>22219.19</v>
      </c>
      <c r="N419" s="1774" t="n">
        <v>16103.95</v>
      </c>
      <c r="O419" s="1762">
        <f>N419*E419/1000</f>
        <v/>
      </c>
      <c r="P419" s="1763">
        <f>O419/32</f>
        <v/>
      </c>
      <c r="Q419" s="1764">
        <f>N419*I419/1000</f>
        <v/>
      </c>
    </row>
    <row r="420" ht="15.75" customHeight="1">
      <c r="A420" s="728" t="inlineStr">
        <is>
          <t>FO23060073</t>
        </is>
      </c>
      <c r="B420" s="729" t="n">
        <v>45105</v>
      </c>
      <c r="C420" s="730" t="inlineStr">
        <is>
          <t>มัลติแบกซ์</t>
        </is>
      </c>
      <c r="D420" s="730" t="inlineStr">
        <is>
          <t>ท่าเรือแหลมฉบัง</t>
        </is>
      </c>
      <c r="E420" s="731" t="n">
        <v>5.2</v>
      </c>
      <c r="F420" s="728" t="inlineStr">
        <is>
          <t>Km</t>
        </is>
      </c>
      <c r="G420" s="728" t="inlineStr">
        <is>
          <t>รถเทรลเลอร์</t>
        </is>
      </c>
      <c r="H420" s="728" t="inlineStr">
        <is>
          <t>COLUMBUS OHIO, USA</t>
        </is>
      </c>
      <c r="I420" s="733" t="n">
        <v>14000</v>
      </c>
      <c r="J420" s="732" t="inlineStr">
        <is>
          <t>Km</t>
        </is>
      </c>
      <c r="K420" s="731" t="n">
        <v>3700</v>
      </c>
      <c r="L420" s="741">
        <f>M420-K420</f>
        <v/>
      </c>
      <c r="M420" s="731" t="n">
        <v>19522.92</v>
      </c>
      <c r="N420" s="1775" t="n">
        <v>13740.3</v>
      </c>
      <c r="O420" s="1762">
        <f>N420*E420/1000</f>
        <v/>
      </c>
      <c r="P420" s="1763">
        <f>O420/32</f>
        <v/>
      </c>
      <c r="Q420" s="1764">
        <f>N420*I420/1000</f>
        <v/>
      </c>
    </row>
    <row r="421" ht="15.75" customHeight="1">
      <c r="A421" s="719" t="inlineStr">
        <is>
          <t>FO23060074</t>
        </is>
      </c>
      <c r="B421" s="720" t="n">
        <v>45474</v>
      </c>
      <c r="C421" s="721" t="inlineStr">
        <is>
          <t>มัลติแบกซ์</t>
        </is>
      </c>
      <c r="D421" s="721" t="inlineStr">
        <is>
          <t>ท่าเรือแหลมฉบัง</t>
        </is>
      </c>
      <c r="E421" s="722" t="n">
        <v>7.1</v>
      </c>
      <c r="F421" s="719" t="inlineStr">
        <is>
          <t>Km</t>
        </is>
      </c>
      <c r="G421" s="719" t="inlineStr">
        <is>
          <t>รถเทรลเลอร์</t>
        </is>
      </c>
      <c r="H421" s="719" t="inlineStr">
        <is>
          <t>AJMAN PORT, UAE</t>
        </is>
      </c>
      <c r="I421" s="724" t="n">
        <v>4929</v>
      </c>
      <c r="J421" s="723" t="inlineStr">
        <is>
          <t>Km</t>
        </is>
      </c>
      <c r="K421" s="725" t="n">
        <v>3640</v>
      </c>
      <c r="L421" s="740" t="n">
        <v>16270.42</v>
      </c>
      <c r="M421" s="738" t="n">
        <v>19910.42</v>
      </c>
      <c r="N421" s="1774" t="n">
        <v>14643.43</v>
      </c>
      <c r="O421" s="1762">
        <f>N421*E421/1000</f>
        <v/>
      </c>
      <c r="P421" s="1763">
        <f>O421/32</f>
        <v/>
      </c>
      <c r="Q421" s="1764">
        <f>N421*I421/1000</f>
        <v/>
      </c>
    </row>
    <row r="422" ht="15.75" customHeight="1">
      <c r="A422" s="728" t="inlineStr">
        <is>
          <t>FO23060075</t>
        </is>
      </c>
      <c r="B422" s="729" t="n">
        <v>45474</v>
      </c>
      <c r="C422" s="730" t="inlineStr">
        <is>
          <t>มัลติแบกซ์</t>
        </is>
      </c>
      <c r="D422" s="730" t="inlineStr">
        <is>
          <t>ท่าเรือแหลมฉบัง</t>
        </is>
      </c>
      <c r="E422" s="731" t="n">
        <v>7.1</v>
      </c>
      <c r="F422" s="728" t="inlineStr">
        <is>
          <t>Km</t>
        </is>
      </c>
      <c r="G422" s="728" t="inlineStr">
        <is>
          <t>รถเทรลเลอร์</t>
        </is>
      </c>
      <c r="H422" s="728" t="inlineStr">
        <is>
          <t>AJMAN PORT, UAE</t>
        </is>
      </c>
      <c r="I422" s="733" t="n">
        <v>4929</v>
      </c>
      <c r="J422" s="732" t="inlineStr">
        <is>
          <t>Km</t>
        </is>
      </c>
      <c r="K422" s="734" t="n">
        <v>3740</v>
      </c>
      <c r="L422" s="741" t="n">
        <v>13151.36</v>
      </c>
      <c r="M422" s="739" t="n">
        <v>16891.36</v>
      </c>
      <c r="N422" s="1775" t="n">
        <v>10758.84</v>
      </c>
      <c r="O422" s="1762">
        <f>N422*E422/1000</f>
        <v/>
      </c>
      <c r="P422" s="1763">
        <f>O422/32</f>
        <v/>
      </c>
      <c r="Q422" s="1764">
        <f>N422*I422/1000</f>
        <v/>
      </c>
    </row>
    <row r="423" ht="15.75" customHeight="1">
      <c r="A423" s="719" t="inlineStr">
        <is>
          <t>FO23060076</t>
        </is>
      </c>
      <c r="B423" s="720" t="n">
        <v>45104</v>
      </c>
      <c r="C423" s="721" t="inlineStr">
        <is>
          <t>มัลติแบกซ์</t>
        </is>
      </c>
      <c r="D423" s="721" t="inlineStr">
        <is>
          <t>ท่าเรือแหลมฉบัง</t>
        </is>
      </c>
      <c r="E423" s="722" t="n">
        <v>7.1</v>
      </c>
      <c r="F423" s="719" t="inlineStr">
        <is>
          <t>Km</t>
        </is>
      </c>
      <c r="G423" s="719" t="inlineStr">
        <is>
          <t>รถเทรลเลอร์</t>
        </is>
      </c>
      <c r="H423" s="719" t="inlineStr">
        <is>
          <t>MANILA, PHILIPPINES</t>
        </is>
      </c>
      <c r="I423" s="724" t="n">
        <v>2167</v>
      </c>
      <c r="J423" s="723" t="inlineStr">
        <is>
          <t>Km</t>
        </is>
      </c>
      <c r="K423" s="722" t="n">
        <v>2180</v>
      </c>
      <c r="L423" s="740">
        <f>M423-K423</f>
        <v/>
      </c>
      <c r="M423" s="1769" t="n">
        <v>6663.9</v>
      </c>
      <c r="N423" s="1774" t="n">
        <v>3363.45</v>
      </c>
      <c r="O423" s="1762">
        <f>N423*E423/1000</f>
        <v/>
      </c>
      <c r="P423" s="1763">
        <f>O423/32</f>
        <v/>
      </c>
      <c r="Q423" s="1764">
        <f>N423*I423/1000</f>
        <v/>
      </c>
    </row>
    <row r="424" ht="15.75" customHeight="1">
      <c r="A424" s="728" t="inlineStr">
        <is>
          <t>FO23060077</t>
        </is>
      </c>
      <c r="B424" s="729" t="n">
        <v>45104</v>
      </c>
      <c r="C424" s="730" t="inlineStr">
        <is>
          <t>มัลติแบกซ์</t>
        </is>
      </c>
      <c r="D424" s="730" t="inlineStr">
        <is>
          <t>ท่าเรือแหลมฉบัง</t>
        </is>
      </c>
      <c r="E424" s="731" t="n">
        <v>7.1</v>
      </c>
      <c r="F424" s="728" t="inlineStr">
        <is>
          <t>Km</t>
        </is>
      </c>
      <c r="G424" s="728" t="inlineStr">
        <is>
          <t>รถเทรลเลอร์</t>
        </is>
      </c>
      <c r="H424" s="728" t="inlineStr">
        <is>
          <t>MANILA, PHILIPPINES</t>
        </is>
      </c>
      <c r="I424" s="733" t="n">
        <v>2167</v>
      </c>
      <c r="J424" s="732" t="inlineStr">
        <is>
          <t>Km</t>
        </is>
      </c>
      <c r="K424" s="731" t="n">
        <v>2210</v>
      </c>
      <c r="L424" s="741">
        <f>M424-K424</f>
        <v/>
      </c>
      <c r="M424" s="1771" t="n">
        <v>6693.9</v>
      </c>
      <c r="N424" s="1775" t="n">
        <v>3363.45</v>
      </c>
      <c r="O424" s="1762">
        <f>N424*E424/1000</f>
        <v/>
      </c>
      <c r="P424" s="1763">
        <f>O424/32</f>
        <v/>
      </c>
      <c r="Q424" s="1764">
        <f>N424*I424/1000</f>
        <v/>
      </c>
    </row>
    <row r="425" ht="15.75" customHeight="1">
      <c r="A425" s="719" t="inlineStr">
        <is>
          <t>FO23060078</t>
        </is>
      </c>
      <c r="B425" s="720" t="n">
        <v>45106</v>
      </c>
      <c r="C425" s="721" t="inlineStr">
        <is>
          <t>มัลติแบกซ์</t>
        </is>
      </c>
      <c r="D425" s="721" t="inlineStr">
        <is>
          <t>ท่าเรือแหลมฉบัง</t>
        </is>
      </c>
      <c r="E425" s="722" t="n">
        <v>7.1</v>
      </c>
      <c r="F425" s="719" t="inlineStr">
        <is>
          <t>Km</t>
        </is>
      </c>
      <c r="G425" s="719" t="inlineStr">
        <is>
          <t>รถเทรลเลอร์</t>
        </is>
      </c>
      <c r="H425" s="719" t="inlineStr">
        <is>
          <t>CARROLLTON TX, USA</t>
        </is>
      </c>
      <c r="I425" s="724" t="n">
        <v>14544</v>
      </c>
      <c r="J425" s="723" t="inlineStr">
        <is>
          <t>Km</t>
        </is>
      </c>
      <c r="K425" s="722" t="n">
        <v>3700</v>
      </c>
      <c r="L425" s="740">
        <f>M425-K425</f>
        <v/>
      </c>
      <c r="M425" s="722" t="n">
        <v>21589.1</v>
      </c>
      <c r="N425" s="1774" t="n">
        <v>14665.2</v>
      </c>
      <c r="O425" s="1762">
        <f>N425*E425/1000</f>
        <v/>
      </c>
      <c r="P425" s="1763">
        <f>O425/32</f>
        <v/>
      </c>
      <c r="Q425" s="1764">
        <f>N425*I425/1000</f>
        <v/>
      </c>
    </row>
    <row r="426" ht="15.75" customHeight="1">
      <c r="A426" s="719" t="inlineStr">
        <is>
          <t>FO23070001</t>
        </is>
      </c>
      <c r="B426" s="720" t="n">
        <v>45112</v>
      </c>
      <c r="C426" s="721" t="inlineStr">
        <is>
          <t>มัลติแบกซ์</t>
        </is>
      </c>
      <c r="D426" s="721" t="inlineStr">
        <is>
          <t>ท่าเรือแหลมฉบัง</t>
        </is>
      </c>
      <c r="E426" s="722" t="n">
        <v>4.5</v>
      </c>
      <c r="F426" s="719" t="inlineStr">
        <is>
          <t>Km</t>
        </is>
      </c>
      <c r="G426" s="719" t="inlineStr">
        <is>
          <t>รถเทรลเลอร์</t>
        </is>
      </c>
      <c r="H426" s="719" t="inlineStr">
        <is>
          <t>SYDNEY, AUSTRALIA</t>
        </is>
      </c>
      <c r="I426" s="724" t="n">
        <v>7448</v>
      </c>
      <c r="J426" s="723" t="inlineStr">
        <is>
          <t>Km</t>
        </is>
      </c>
      <c r="K426" s="725" t="n">
        <v>3840</v>
      </c>
      <c r="L426" s="740">
        <f>M426-K426</f>
        <v/>
      </c>
      <c r="M426" s="738" t="n">
        <v>26522</v>
      </c>
      <c r="N426" s="1773" t="n">
        <v>18612</v>
      </c>
      <c r="O426" s="1762">
        <f>N426*E426/1000</f>
        <v/>
      </c>
      <c r="P426" s="1763">
        <f>O426/32</f>
        <v/>
      </c>
      <c r="Q426" s="1764">
        <f>N426*I426/1000</f>
        <v/>
      </c>
    </row>
    <row r="427" ht="15.75" customHeight="1">
      <c r="A427" s="728" t="inlineStr">
        <is>
          <t>FO23070002</t>
        </is>
      </c>
      <c r="B427" s="729" t="n">
        <v>45112</v>
      </c>
      <c r="C427" s="730" t="inlineStr">
        <is>
          <t>มัลติแบกซ์</t>
        </is>
      </c>
      <c r="D427" s="730" t="inlineStr">
        <is>
          <t>ท่าเรือแหลมฉบัง</t>
        </is>
      </c>
      <c r="E427" s="731" t="n">
        <v>4.5</v>
      </c>
      <c r="F427" s="728" t="inlineStr">
        <is>
          <t>Km</t>
        </is>
      </c>
      <c r="G427" s="728" t="inlineStr">
        <is>
          <t>รถเทรลเลอร์</t>
        </is>
      </c>
      <c r="H427" s="728" t="inlineStr">
        <is>
          <t>SYDNEY, AUSTRALIA</t>
        </is>
      </c>
      <c r="I427" s="733" t="n">
        <v>7448</v>
      </c>
      <c r="J427" s="732" t="inlineStr">
        <is>
          <t>Km</t>
        </is>
      </c>
      <c r="K427" s="734" t="n">
        <v>3640</v>
      </c>
      <c r="L427" s="741">
        <f>M427-K427</f>
        <v/>
      </c>
      <c r="M427" s="739" t="n">
        <v>27442</v>
      </c>
      <c r="N427" s="1772" t="n">
        <v>20734</v>
      </c>
      <c r="O427" s="1762">
        <f>N427*E427/1000</f>
        <v/>
      </c>
      <c r="P427" s="1763">
        <f>O427/32</f>
        <v/>
      </c>
      <c r="Q427" s="1764">
        <f>N427*I427/1000</f>
        <v/>
      </c>
    </row>
    <row r="428" ht="15.75" customHeight="1">
      <c r="A428" s="719" t="inlineStr">
        <is>
          <t>FO23070003</t>
        </is>
      </c>
      <c r="B428" s="720" t="n">
        <v>45108</v>
      </c>
      <c r="C428" s="721" t="inlineStr">
        <is>
          <t>มัลติแบกซ์</t>
        </is>
      </c>
      <c r="D428" s="721" t="inlineStr">
        <is>
          <t>ท่าเรือแหลมฉบัง</t>
        </is>
      </c>
      <c r="E428" s="722" t="n">
        <v>2.8</v>
      </c>
      <c r="F428" s="719" t="inlineStr">
        <is>
          <t>Km</t>
        </is>
      </c>
      <c r="G428" s="719" t="inlineStr">
        <is>
          <t>รถเทรลเลอร์</t>
        </is>
      </c>
      <c r="H428" s="719" t="inlineStr">
        <is>
          <t>CARROLLTON TX, USA</t>
        </is>
      </c>
      <c r="I428" s="724" t="n">
        <v>14544</v>
      </c>
      <c r="J428" s="723" t="inlineStr">
        <is>
          <t>Km</t>
        </is>
      </c>
      <c r="K428" s="725" t="n">
        <v>3820</v>
      </c>
      <c r="L428" s="740">
        <f>M428-K428</f>
        <v/>
      </c>
      <c r="M428" s="738" t="n">
        <v>18659</v>
      </c>
      <c r="N428" s="1773" t="n">
        <v>12511.2</v>
      </c>
      <c r="O428" s="1762">
        <f>N428*E428/1000</f>
        <v/>
      </c>
      <c r="P428" s="1763">
        <f>O428/32</f>
        <v/>
      </c>
      <c r="Q428" s="1764">
        <f>N428*I428/1000</f>
        <v/>
      </c>
    </row>
    <row r="429" ht="15.75" customHeight="1">
      <c r="A429" s="728" t="inlineStr">
        <is>
          <t>FO23070004</t>
        </is>
      </c>
      <c r="B429" s="729" t="n">
        <v>45108</v>
      </c>
      <c r="C429" s="730" t="inlineStr">
        <is>
          <t>มัลติแบกซ์</t>
        </is>
      </c>
      <c r="D429" s="730" t="inlineStr">
        <is>
          <t>ท่าเรือแหลมฉบัง</t>
        </is>
      </c>
      <c r="E429" s="731" t="n">
        <v>2.8</v>
      </c>
      <c r="F429" s="728" t="inlineStr">
        <is>
          <t>Km</t>
        </is>
      </c>
      <c r="G429" s="728" t="inlineStr">
        <is>
          <t>รถเทรลเลอร์</t>
        </is>
      </c>
      <c r="H429" s="728" t="inlineStr">
        <is>
          <t>CARROLLTON TX, USA</t>
        </is>
      </c>
      <c r="I429" s="733" t="n">
        <v>14544</v>
      </c>
      <c r="J429" s="732" t="inlineStr">
        <is>
          <t>Km</t>
        </is>
      </c>
      <c r="K429" s="734" t="n">
        <v>3750</v>
      </c>
      <c r="L429" s="741">
        <f>M429-K429</f>
        <v/>
      </c>
      <c r="M429" s="739" t="n">
        <v>191617</v>
      </c>
      <c r="N429" s="1772" t="n">
        <v>12090</v>
      </c>
      <c r="O429" s="1762">
        <f>N429*E429/1000</f>
        <v/>
      </c>
      <c r="P429" s="1763">
        <f>O429/32</f>
        <v/>
      </c>
      <c r="Q429" s="1764">
        <f>N429*I429/1000</f>
        <v/>
      </c>
    </row>
    <row r="430" ht="15.75" customHeight="1">
      <c r="A430" s="719" t="inlineStr">
        <is>
          <t>FO23070005</t>
        </is>
      </c>
      <c r="B430" s="720" t="n">
        <v>45112</v>
      </c>
      <c r="C430" s="721" t="inlineStr">
        <is>
          <t>มัลติแบกซ์</t>
        </is>
      </c>
      <c r="D430" s="721" t="inlineStr">
        <is>
          <t>ท่าเรือแหลมฉบัง</t>
        </is>
      </c>
      <c r="E430" s="722" t="n">
        <v>3.6</v>
      </c>
      <c r="F430" s="719" t="inlineStr">
        <is>
          <t>Km</t>
        </is>
      </c>
      <c r="G430" s="719" t="inlineStr">
        <is>
          <t>รถเทรลเลอร์</t>
        </is>
      </c>
      <c r="H430" s="719" t="inlineStr">
        <is>
          <t>TOKYO, JAPAN</t>
        </is>
      </c>
      <c r="I430" s="724" t="n">
        <v>4608</v>
      </c>
      <c r="J430" s="723" t="inlineStr">
        <is>
          <t>Km</t>
        </is>
      </c>
      <c r="K430" s="725" t="n">
        <v>2180</v>
      </c>
      <c r="L430" s="740">
        <f>M430-K430</f>
        <v/>
      </c>
      <c r="M430" s="1769" t="n">
        <v>7680.1</v>
      </c>
      <c r="N430" s="1773" t="n">
        <v>4312.44</v>
      </c>
      <c r="O430" s="1762">
        <f>N430*E430/1000</f>
        <v/>
      </c>
      <c r="P430" s="1763">
        <f>O430/32</f>
        <v/>
      </c>
      <c r="Q430" s="1764">
        <f>N430*I430/1000</f>
        <v/>
      </c>
    </row>
    <row r="431" ht="15.75" customHeight="1">
      <c r="A431" s="728" t="inlineStr">
        <is>
          <t>FO23070006</t>
        </is>
      </c>
      <c r="B431" s="729" t="n">
        <v>45108</v>
      </c>
      <c r="C431" s="730" t="inlineStr">
        <is>
          <t>มัลติแบกซ์</t>
        </is>
      </c>
      <c r="D431" s="730" t="inlineStr">
        <is>
          <t>ท่าเรือแหลมฉบัง</t>
        </is>
      </c>
      <c r="E431" s="731" t="n">
        <v>2.8</v>
      </c>
      <c r="F431" s="728" t="inlineStr">
        <is>
          <t>Km</t>
        </is>
      </c>
      <c r="G431" s="728" t="inlineStr">
        <is>
          <t>รถเทรลเลอร์</t>
        </is>
      </c>
      <c r="H431" s="728" t="inlineStr">
        <is>
          <t>APPLETON WI , USA</t>
        </is>
      </c>
      <c r="I431" s="733" t="n">
        <v>13558</v>
      </c>
      <c r="J431" s="732" t="inlineStr">
        <is>
          <t>Km</t>
        </is>
      </c>
      <c r="K431" s="734" t="n">
        <v>3670</v>
      </c>
      <c r="L431" s="741">
        <f>M431-K431</f>
        <v/>
      </c>
      <c r="M431" s="739" t="n">
        <v>13256.5</v>
      </c>
      <c r="N431" s="1772" t="n">
        <v>6403.5</v>
      </c>
      <c r="O431" s="1762">
        <f>N431*E431/1000</f>
        <v/>
      </c>
      <c r="P431" s="1763">
        <f>O431/32</f>
        <v/>
      </c>
      <c r="Q431" s="1764">
        <f>N431*I431/1000</f>
        <v/>
      </c>
    </row>
    <row r="432" ht="15.75" customHeight="1">
      <c r="A432" s="719" t="inlineStr">
        <is>
          <t>FO23070007</t>
        </is>
      </c>
      <c r="B432" s="720" t="n">
        <v>45110</v>
      </c>
      <c r="C432" s="721" t="inlineStr">
        <is>
          <t>มัลติแบกซ์</t>
        </is>
      </c>
      <c r="D432" s="721" t="inlineStr">
        <is>
          <t>ท่าเรือแหลมฉบัง</t>
        </is>
      </c>
      <c r="E432" s="722" t="n">
        <v>6.2</v>
      </c>
      <c r="F432" s="719" t="inlineStr">
        <is>
          <t>Km</t>
        </is>
      </c>
      <c r="G432" s="719" t="inlineStr">
        <is>
          <t>รถเทรลเลอร์</t>
        </is>
      </c>
      <c r="H432" s="719" t="inlineStr">
        <is>
          <t>CARROLLTON TX, USA</t>
        </is>
      </c>
      <c r="I432" s="724" t="n">
        <v>14544</v>
      </c>
      <c r="J432" s="723" t="inlineStr">
        <is>
          <t>Km</t>
        </is>
      </c>
      <c r="K432" s="725" t="n">
        <v>3750</v>
      </c>
      <c r="L432" s="740">
        <f>M432-K432</f>
        <v/>
      </c>
      <c r="M432" s="738" t="n">
        <v>22821.6</v>
      </c>
      <c r="N432" s="1773" t="n">
        <v>15602.4</v>
      </c>
      <c r="O432" s="1762">
        <f>N432*E432/1000</f>
        <v/>
      </c>
      <c r="P432" s="1763">
        <f>O432/32</f>
        <v/>
      </c>
      <c r="Q432" s="1764">
        <f>N432*I432/1000</f>
        <v/>
      </c>
    </row>
    <row r="433" ht="15.75" customHeight="1">
      <c r="A433" s="728" t="inlineStr">
        <is>
          <t>FO23070008</t>
        </is>
      </c>
      <c r="B433" s="729" t="n">
        <v>45112</v>
      </c>
      <c r="C433" s="730" t="inlineStr">
        <is>
          <t>มัลติแบกซ์</t>
        </is>
      </c>
      <c r="D433" s="730" t="inlineStr">
        <is>
          <t>ท่าเรือแหลมฉบัง</t>
        </is>
      </c>
      <c r="E433" s="731" t="n">
        <v>6.2</v>
      </c>
      <c r="F433" s="728" t="inlineStr">
        <is>
          <t>Km</t>
        </is>
      </c>
      <c r="G433" s="728" t="inlineStr">
        <is>
          <t>รถเทรลเลอร์</t>
        </is>
      </c>
      <c r="H433" s="728" t="inlineStr">
        <is>
          <t>COLUMBUS OHIO, USA</t>
        </is>
      </c>
      <c r="I433" s="733" t="n">
        <v>14000</v>
      </c>
      <c r="J433" s="732" t="inlineStr">
        <is>
          <t>Km</t>
        </is>
      </c>
      <c r="K433" s="734" t="n">
        <v>3700</v>
      </c>
      <c r="L433" s="741">
        <f>M433-K433</f>
        <v/>
      </c>
      <c r="M433" s="1771" t="n">
        <v>21039.98</v>
      </c>
      <c r="N433" s="1772" t="n">
        <v>15098.76</v>
      </c>
      <c r="O433" s="1762">
        <f>N433*E433/1000</f>
        <v/>
      </c>
      <c r="P433" s="1763">
        <f>O433/32</f>
        <v/>
      </c>
      <c r="Q433" s="1764">
        <f>N433*I433/1000</f>
        <v/>
      </c>
    </row>
    <row r="434" ht="15.75" customHeight="1">
      <c r="A434" s="719" t="inlineStr">
        <is>
          <t>FO23070009</t>
        </is>
      </c>
      <c r="B434" s="720" t="n">
        <v>45110</v>
      </c>
      <c r="C434" s="721" t="inlineStr">
        <is>
          <t>มัลติแบกซ์</t>
        </is>
      </c>
      <c r="D434" s="721" t="inlineStr">
        <is>
          <t>ท่าเรือแหลมฉบัง</t>
        </is>
      </c>
      <c r="E434" s="722" t="n">
        <v>7.1</v>
      </c>
      <c r="F434" s="719" t="inlineStr">
        <is>
          <t>Km</t>
        </is>
      </c>
      <c r="G434" s="719" t="inlineStr">
        <is>
          <t>รถเทรลเลอร์</t>
        </is>
      </c>
      <c r="H434" s="719" t="inlineStr">
        <is>
          <t>MANZANILLO, MEXICO</t>
        </is>
      </c>
      <c r="I434" s="724" t="n">
        <v>15486</v>
      </c>
      <c r="J434" s="723" t="inlineStr">
        <is>
          <t>Km</t>
        </is>
      </c>
      <c r="K434" s="725" t="n">
        <v>3800</v>
      </c>
      <c r="L434" s="740">
        <f>M434-K434</f>
        <v/>
      </c>
      <c r="M434" s="738" t="n">
        <v>14516.3</v>
      </c>
      <c r="N434" s="1773" t="n">
        <v>8229.4</v>
      </c>
      <c r="O434" s="1762">
        <f>N434*E434/1000</f>
        <v/>
      </c>
      <c r="P434" s="1763">
        <f>O434/32</f>
        <v/>
      </c>
      <c r="Q434" s="1764">
        <f>N434*I434/1000</f>
        <v/>
      </c>
    </row>
    <row r="435" ht="15.75" customHeight="1">
      <c r="A435" s="728" t="inlineStr">
        <is>
          <t>FO23070010</t>
        </is>
      </c>
      <c r="B435" s="729" t="n">
        <v>45113</v>
      </c>
      <c r="C435" s="730" t="inlineStr">
        <is>
          <t>มัลติแบกซ์</t>
        </is>
      </c>
      <c r="D435" s="730" t="inlineStr">
        <is>
          <t>ท่าเรือแหลมฉบัง</t>
        </is>
      </c>
      <c r="E435" s="731" t="n">
        <v>6.2</v>
      </c>
      <c r="F435" s="728" t="inlineStr">
        <is>
          <t>Km</t>
        </is>
      </c>
      <c r="G435" s="728" t="inlineStr">
        <is>
          <t>รถเทรลเลอร์</t>
        </is>
      </c>
      <c r="H435" s="728" t="inlineStr">
        <is>
          <t>SANTA TERESA, NM USA</t>
        </is>
      </c>
      <c r="I435" s="733" t="n">
        <v>17387</v>
      </c>
      <c r="J435" s="732" t="inlineStr">
        <is>
          <t>Km</t>
        </is>
      </c>
      <c r="K435" s="734" t="n">
        <v>3860</v>
      </c>
      <c r="L435" s="741">
        <f>M435-K435</f>
        <v/>
      </c>
      <c r="M435" s="739" t="n">
        <v>22763.73</v>
      </c>
      <c r="N435" s="1772" t="n">
        <v>16582.22</v>
      </c>
      <c r="O435" s="1762">
        <f>N435*E435/1000</f>
        <v/>
      </c>
      <c r="P435" s="1763">
        <f>O435/32</f>
        <v/>
      </c>
      <c r="Q435" s="1764">
        <f>N435*I435/1000</f>
        <v/>
      </c>
    </row>
    <row r="436" ht="15.75" customHeight="1">
      <c r="A436" s="719" t="inlineStr">
        <is>
          <t>FO23070011</t>
        </is>
      </c>
      <c r="B436" s="720" t="n">
        <v>45112</v>
      </c>
      <c r="C436" s="721" t="inlineStr">
        <is>
          <t>มัลติแบกซ์</t>
        </is>
      </c>
      <c r="D436" s="721" t="inlineStr">
        <is>
          <t>ท่าเรือแหลมฉบัง</t>
        </is>
      </c>
      <c r="E436" s="722" t="n">
        <v>6.2</v>
      </c>
      <c r="F436" s="719" t="inlineStr">
        <is>
          <t>Km</t>
        </is>
      </c>
      <c r="G436" s="719" t="inlineStr">
        <is>
          <t>รถเทรลเลอร์</t>
        </is>
      </c>
      <c r="H436" s="719" t="inlineStr">
        <is>
          <t>APPLETON WI , USA</t>
        </is>
      </c>
      <c r="I436" s="724" t="n">
        <v>13558</v>
      </c>
      <c r="J436" s="723" t="inlineStr">
        <is>
          <t>Km</t>
        </is>
      </c>
      <c r="K436" s="725" t="n">
        <v>3890</v>
      </c>
      <c r="L436" s="740">
        <f>M436-K436</f>
        <v/>
      </c>
      <c r="M436" s="1769" t="n">
        <v>17493</v>
      </c>
      <c r="N436" s="1773" t="n">
        <v>10854.5</v>
      </c>
      <c r="O436" s="1762">
        <f>N436*E436/1000</f>
        <v/>
      </c>
      <c r="P436" s="1763">
        <f>O436/32</f>
        <v/>
      </c>
      <c r="Q436" s="1764">
        <f>N436*I436/1000</f>
        <v/>
      </c>
    </row>
    <row r="437" ht="15.75" customHeight="1">
      <c r="A437" s="728" t="inlineStr">
        <is>
          <t>FO23070012</t>
        </is>
      </c>
      <c r="B437" s="729" t="n">
        <v>45113</v>
      </c>
      <c r="C437" s="730" t="inlineStr">
        <is>
          <t>มัลติแบกซ์</t>
        </is>
      </c>
      <c r="D437" s="730" t="inlineStr">
        <is>
          <t>ท่าเรือแหลมฉบัง</t>
        </is>
      </c>
      <c r="E437" s="731" t="n">
        <v>6.2</v>
      </c>
      <c r="F437" s="728" t="inlineStr">
        <is>
          <t>Km</t>
        </is>
      </c>
      <c r="G437" s="728" t="inlineStr">
        <is>
          <t>รถเทรลเลอร์</t>
        </is>
      </c>
      <c r="H437" s="728" t="inlineStr">
        <is>
          <t>APPLETON WI , USA</t>
        </is>
      </c>
      <c r="I437" s="733" t="n">
        <v>13558</v>
      </c>
      <c r="J437" s="732" t="inlineStr">
        <is>
          <t>Km</t>
        </is>
      </c>
      <c r="K437" s="734" t="n">
        <v>3900</v>
      </c>
      <c r="L437" s="741">
        <f>M437-K437</f>
        <v/>
      </c>
      <c r="M437" s="734" t="n">
        <v>13502</v>
      </c>
      <c r="N437" s="1772" t="n">
        <v>5376</v>
      </c>
      <c r="O437" s="1762">
        <f>N437*E437/1000</f>
        <v/>
      </c>
      <c r="P437" s="1763">
        <f>O437/32</f>
        <v/>
      </c>
      <c r="Q437" s="1764">
        <f>N437*I437/1000</f>
        <v/>
      </c>
    </row>
    <row r="438" ht="15.75" customHeight="1">
      <c r="A438" s="719" t="inlineStr">
        <is>
          <t>FO23070013</t>
        </is>
      </c>
      <c r="B438" s="720" t="n">
        <v>45112</v>
      </c>
      <c r="C438" s="721" t="inlineStr">
        <is>
          <t>มัลติแบกซ์</t>
        </is>
      </c>
      <c r="D438" s="721" t="inlineStr">
        <is>
          <t>ท่าเรือแหลมฉบัง</t>
        </is>
      </c>
      <c r="E438" s="722" t="n">
        <v>6.2</v>
      </c>
      <c r="F438" s="719" t="inlineStr">
        <is>
          <t>Km</t>
        </is>
      </c>
      <c r="G438" s="719" t="inlineStr">
        <is>
          <t>รถเทรลเลอร์</t>
        </is>
      </c>
      <c r="H438" s="719" t="inlineStr">
        <is>
          <t>CARROLLTON TX, USA</t>
        </is>
      </c>
      <c r="I438" s="724" t="n">
        <v>14544</v>
      </c>
      <c r="J438" s="723" t="inlineStr">
        <is>
          <t>Km</t>
        </is>
      </c>
      <c r="K438" s="725" t="n">
        <v>3700</v>
      </c>
      <c r="L438" s="740">
        <f>M438-K438</f>
        <v/>
      </c>
      <c r="M438" s="1769" t="n">
        <v>14404</v>
      </c>
      <c r="N438" s="1773" t="n">
        <v>7525.6</v>
      </c>
      <c r="O438" s="1762">
        <f>N438*E438/1000</f>
        <v/>
      </c>
      <c r="P438" s="1763">
        <f>O438/32</f>
        <v/>
      </c>
      <c r="Q438" s="1764">
        <f>N438*I438/1000</f>
        <v/>
      </c>
    </row>
    <row r="439" ht="15.75" customHeight="1">
      <c r="A439" s="728" t="inlineStr">
        <is>
          <t>FO23070014</t>
        </is>
      </c>
      <c r="B439" s="729" t="n">
        <v>45113</v>
      </c>
      <c r="C439" s="730" t="inlineStr">
        <is>
          <t>มัลติแบกซ์</t>
        </is>
      </c>
      <c r="D439" s="730" t="inlineStr">
        <is>
          <t>ท่าเรือแหลมฉบัง</t>
        </is>
      </c>
      <c r="E439" s="731" t="n">
        <v>6.2</v>
      </c>
      <c r="F439" s="728" t="inlineStr">
        <is>
          <t>Km</t>
        </is>
      </c>
      <c r="G439" s="728" t="inlineStr">
        <is>
          <t>รถเทรลเลอร์</t>
        </is>
      </c>
      <c r="H439" s="728" t="inlineStr">
        <is>
          <t>UK PORT</t>
        </is>
      </c>
      <c r="I439" s="733" t="n">
        <v>9687</v>
      </c>
      <c r="J439" s="732" t="inlineStr">
        <is>
          <t>Km</t>
        </is>
      </c>
      <c r="K439" s="734" t="n">
        <v>3570</v>
      </c>
      <c r="L439" s="741">
        <f>M439-K439</f>
        <v/>
      </c>
      <c r="M439" s="739" t="n">
        <v>23082.3</v>
      </c>
      <c r="N439" s="1772" t="n">
        <v>18161.7</v>
      </c>
      <c r="O439" s="1762">
        <f>N439*E439/1000</f>
        <v/>
      </c>
      <c r="P439" s="1763">
        <f>O439/32</f>
        <v/>
      </c>
      <c r="Q439" s="1764">
        <f>N439*I439/1000</f>
        <v/>
      </c>
    </row>
    <row r="440" ht="15.75" customHeight="1">
      <c r="A440" s="719" t="inlineStr">
        <is>
          <t>FO23070015</t>
        </is>
      </c>
      <c r="B440" s="720" t="n">
        <v>45121</v>
      </c>
      <c r="C440" s="698" t="inlineStr">
        <is>
          <t>มัลติแบกซ์</t>
        </is>
      </c>
      <c r="D440" s="698" t="inlineStr">
        <is>
          <t>ท่าเรือแหลมฉบัง</t>
        </is>
      </c>
      <c r="E440" s="700" t="n">
        <v>6</v>
      </c>
      <c r="F440" s="698" t="inlineStr">
        <is>
          <t>Km</t>
        </is>
      </c>
      <c r="G440" s="698" t="inlineStr">
        <is>
          <t>รถเทรลเลอร์</t>
        </is>
      </c>
      <c r="H440" s="719" t="inlineStr">
        <is>
          <t>SINGAPORE</t>
        </is>
      </c>
      <c r="I440" s="724" t="n">
        <v>1931</v>
      </c>
      <c r="J440" s="703" t="inlineStr">
        <is>
          <t>Km</t>
        </is>
      </c>
      <c r="K440" s="704" t="n">
        <v>2343</v>
      </c>
      <c r="L440" s="744" t="n">
        <v>1183.8</v>
      </c>
      <c r="M440" s="751" t="n">
        <v>3526.8</v>
      </c>
      <c r="N440" s="1773" t="n">
        <v>2343</v>
      </c>
      <c r="O440" s="1762">
        <f>N440*E440/1000</f>
        <v/>
      </c>
      <c r="P440" s="1763">
        <f>O440/32</f>
        <v/>
      </c>
      <c r="Q440" s="1764">
        <f>N440*I440/1000</f>
        <v/>
      </c>
    </row>
    <row r="441" ht="15.75" customHeight="1">
      <c r="A441" s="728" t="inlineStr">
        <is>
          <t>FO23070016</t>
        </is>
      </c>
      <c r="B441" s="729" t="n">
        <v>45117</v>
      </c>
      <c r="C441" s="730" t="inlineStr">
        <is>
          <t>มัลติแบกซ์</t>
        </is>
      </c>
      <c r="D441" s="730" t="inlineStr">
        <is>
          <t>ท่าเรือแหลมฉบัง</t>
        </is>
      </c>
      <c r="E441" s="731" t="n">
        <v>4.1</v>
      </c>
      <c r="F441" s="728" t="inlineStr">
        <is>
          <t>Km</t>
        </is>
      </c>
      <c r="G441" s="728" t="inlineStr">
        <is>
          <t>รถเทรลเลอร์</t>
        </is>
      </c>
      <c r="H441" s="728" t="inlineStr">
        <is>
          <t>UK PORT</t>
        </is>
      </c>
      <c r="I441" s="733" t="n">
        <v>9687</v>
      </c>
      <c r="J441" s="732" t="inlineStr">
        <is>
          <t>Km</t>
        </is>
      </c>
      <c r="K441" s="734" t="n">
        <v>2210</v>
      </c>
      <c r="L441" s="741">
        <f>M441-K441</f>
        <v/>
      </c>
      <c r="M441" s="739" t="n">
        <v>7987</v>
      </c>
      <c r="N441" s="1772" t="n">
        <v>4550</v>
      </c>
      <c r="O441" s="1762">
        <f>N441*E441/1000</f>
        <v/>
      </c>
      <c r="P441" s="1763">
        <f>O441/32</f>
        <v/>
      </c>
      <c r="Q441" s="1764">
        <f>N441*I441/1000</f>
        <v/>
      </c>
    </row>
    <row r="442" ht="15.75" customHeight="1">
      <c r="A442" s="719" t="inlineStr">
        <is>
          <t>FO23070017</t>
        </is>
      </c>
      <c r="B442" s="720" t="n">
        <v>45113</v>
      </c>
      <c r="C442" s="721" t="inlineStr">
        <is>
          <t>มัลติแบกซ์</t>
        </is>
      </c>
      <c r="D442" s="721" t="inlineStr">
        <is>
          <t>ท่าเรือแหลมฉบัง</t>
        </is>
      </c>
      <c r="E442" s="722" t="n">
        <v>6.2</v>
      </c>
      <c r="F442" s="719" t="inlineStr">
        <is>
          <t>Km</t>
        </is>
      </c>
      <c r="G442" s="719" t="inlineStr">
        <is>
          <t>รถเทรลเลอร์</t>
        </is>
      </c>
      <c r="H442" s="719" t="inlineStr">
        <is>
          <t>PERRIS CA, USA</t>
        </is>
      </c>
      <c r="I442" s="724" t="n">
        <v>13413</v>
      </c>
      <c r="J442" s="723" t="inlineStr">
        <is>
          <t>Km</t>
        </is>
      </c>
      <c r="K442" s="725" t="n">
        <v>3700</v>
      </c>
      <c r="L442" s="740">
        <f>M442-K442</f>
        <v/>
      </c>
      <c r="M442" s="738" t="n">
        <v>18961</v>
      </c>
      <c r="N442" s="1773" t="n">
        <v>11366</v>
      </c>
      <c r="O442" s="1762">
        <f>N442*E442/1000</f>
        <v/>
      </c>
      <c r="P442" s="1763">
        <f>O442/32</f>
        <v/>
      </c>
      <c r="Q442" s="1764">
        <f>N442*I442/1000</f>
        <v/>
      </c>
    </row>
    <row r="443" ht="15.75" customHeight="1">
      <c r="A443" s="728" t="inlineStr">
        <is>
          <t>FO23070018</t>
        </is>
      </c>
      <c r="B443" s="729" t="n">
        <v>45121</v>
      </c>
      <c r="C443" s="730" t="inlineStr">
        <is>
          <t>มัลติแบกซ์</t>
        </is>
      </c>
      <c r="D443" s="730" t="inlineStr">
        <is>
          <t>ท่าเรือแหลมฉบัง</t>
        </is>
      </c>
      <c r="E443" s="731" t="n">
        <v>4.5</v>
      </c>
      <c r="F443" s="728" t="inlineStr">
        <is>
          <t>Km</t>
        </is>
      </c>
      <c r="G443" s="728" t="inlineStr">
        <is>
          <t>รถเทรลเลอร์</t>
        </is>
      </c>
      <c r="H443" s="728" t="inlineStr">
        <is>
          <t>SYDNEY, AUSTRALIA</t>
        </is>
      </c>
      <c r="I443" s="733" t="n">
        <v>7448</v>
      </c>
      <c r="J443" s="732" t="inlineStr">
        <is>
          <t>Km</t>
        </is>
      </c>
      <c r="K443" s="734" t="n">
        <v>3840</v>
      </c>
      <c r="L443" s="741">
        <f>M443-K443</f>
        <v/>
      </c>
      <c r="M443" s="1771" t="n">
        <v>21642</v>
      </c>
      <c r="N443" s="1772" t="n">
        <v>11393.25</v>
      </c>
      <c r="O443" s="1762">
        <f>N443*E443/1000</f>
        <v/>
      </c>
      <c r="P443" s="1763">
        <f>O443/32</f>
        <v/>
      </c>
      <c r="Q443" s="1764">
        <f>N443*I443/1000</f>
        <v/>
      </c>
    </row>
    <row r="444" ht="15.75" customHeight="1">
      <c r="A444" s="719" t="inlineStr">
        <is>
          <t>FO23070019</t>
        </is>
      </c>
      <c r="B444" s="720" t="n">
        <v>45121</v>
      </c>
      <c r="C444" s="721" t="inlineStr">
        <is>
          <t>มัลติแบกซ์</t>
        </is>
      </c>
      <c r="D444" s="721" t="inlineStr">
        <is>
          <t>ท่าเรือแหลมฉบัง</t>
        </is>
      </c>
      <c r="E444" s="722" t="n">
        <v>4.5</v>
      </c>
      <c r="F444" s="719" t="inlineStr">
        <is>
          <t>Km</t>
        </is>
      </c>
      <c r="G444" s="719" t="inlineStr">
        <is>
          <t>รถเทรลเลอร์</t>
        </is>
      </c>
      <c r="H444" s="719" t="inlineStr">
        <is>
          <t>SYDNEY, AUSTRALIA</t>
        </is>
      </c>
      <c r="I444" s="724" t="n">
        <v>7448</v>
      </c>
      <c r="J444" s="723" t="inlineStr">
        <is>
          <t>Km</t>
        </is>
      </c>
      <c r="K444" s="725" t="n">
        <v>3620</v>
      </c>
      <c r="L444" s="740">
        <f>M444-K444</f>
        <v/>
      </c>
      <c r="M444" s="738" t="n">
        <v>24322</v>
      </c>
      <c r="N444" s="1773" t="n">
        <v>16560</v>
      </c>
      <c r="O444" s="1762">
        <f>N444*E444/1000</f>
        <v/>
      </c>
      <c r="P444" s="1763">
        <f>O444/32</f>
        <v/>
      </c>
      <c r="Q444" s="1764">
        <f>N444*I444/1000</f>
        <v/>
      </c>
    </row>
    <row r="445" ht="15.75" customHeight="1">
      <c r="A445" s="728" t="inlineStr">
        <is>
          <t>FO23070020</t>
        </is>
      </c>
      <c r="B445" s="729" t="n">
        <v>45121</v>
      </c>
      <c r="C445" s="730" t="inlineStr">
        <is>
          <t>มัลติแบกซ์</t>
        </is>
      </c>
      <c r="D445" s="730" t="inlineStr">
        <is>
          <t>ท่าเรือแหลมฉบัง</t>
        </is>
      </c>
      <c r="E445" s="731" t="n">
        <v>4.5</v>
      </c>
      <c r="F445" s="728" t="inlineStr">
        <is>
          <t>Km</t>
        </is>
      </c>
      <c r="G445" s="728" t="inlineStr">
        <is>
          <t>รถเทรลเลอร์</t>
        </is>
      </c>
      <c r="H445" s="728" t="inlineStr">
        <is>
          <t>SYDNEY, AUSTRALIA</t>
        </is>
      </c>
      <c r="I445" s="733" t="n">
        <v>7448</v>
      </c>
      <c r="J445" s="732" t="inlineStr">
        <is>
          <t>Km</t>
        </is>
      </c>
      <c r="K445" s="734" t="n">
        <v>3840</v>
      </c>
      <c r="L445" s="741">
        <f>M445-K445</f>
        <v/>
      </c>
      <c r="M445" s="739" t="n">
        <v>27792</v>
      </c>
      <c r="N445" s="1772" t="n">
        <v>20048</v>
      </c>
      <c r="O445" s="1762">
        <f>N445*E445/1000</f>
        <v/>
      </c>
      <c r="P445" s="1763">
        <f>O445/32</f>
        <v/>
      </c>
      <c r="Q445" s="1764">
        <f>N445*I445/1000</f>
        <v/>
      </c>
    </row>
    <row r="446" ht="15.75" customHeight="1">
      <c r="A446" s="719" t="inlineStr">
        <is>
          <t>FO23070021</t>
        </is>
      </c>
      <c r="B446" s="720" t="n">
        <v>45121</v>
      </c>
      <c r="C446" s="721" t="inlineStr">
        <is>
          <t>มัลติแบกซ์</t>
        </is>
      </c>
      <c r="D446" s="721" t="inlineStr">
        <is>
          <t>ท่าเรือแหลมฉบัง</t>
        </is>
      </c>
      <c r="E446" s="722" t="n">
        <v>4.5</v>
      </c>
      <c r="F446" s="719" t="inlineStr">
        <is>
          <t>Km</t>
        </is>
      </c>
      <c r="G446" s="719" t="inlineStr">
        <is>
          <t>รถเทรลเลอร์</t>
        </is>
      </c>
      <c r="H446" s="719" t="inlineStr">
        <is>
          <t>SYDNEY, AUSTRALIA</t>
        </is>
      </c>
      <c r="I446" s="724" t="n">
        <v>7448</v>
      </c>
      <c r="J446" s="723" t="inlineStr">
        <is>
          <t>Km</t>
        </is>
      </c>
      <c r="K446" s="725" t="n">
        <v>3640</v>
      </c>
      <c r="L446" s="740">
        <f>M446-K446</f>
        <v/>
      </c>
      <c r="M446" s="738" t="n">
        <v>27592</v>
      </c>
      <c r="N446" s="1773" t="n">
        <v>21261</v>
      </c>
      <c r="O446" s="1762">
        <f>N446*E446/1000</f>
        <v/>
      </c>
      <c r="P446" s="1763">
        <f>O446/32</f>
        <v/>
      </c>
      <c r="Q446" s="1764">
        <f>N446*I446/1000</f>
        <v/>
      </c>
    </row>
    <row r="447" ht="15.75" customHeight="1">
      <c r="A447" s="728" t="inlineStr">
        <is>
          <t>FO23070022</t>
        </is>
      </c>
      <c r="B447" s="729" t="n">
        <v>45121</v>
      </c>
      <c r="C447" s="730" t="inlineStr">
        <is>
          <t>มัลติแบกซ์</t>
        </is>
      </c>
      <c r="D447" s="730" t="inlineStr">
        <is>
          <t>ท่าเรือแหลมฉบัง</t>
        </is>
      </c>
      <c r="E447" s="731" t="n">
        <v>6.5</v>
      </c>
      <c r="F447" s="728" t="inlineStr">
        <is>
          <t>Km</t>
        </is>
      </c>
      <c r="G447" s="728" t="inlineStr">
        <is>
          <t>รถเทรลเลอร์</t>
        </is>
      </c>
      <c r="H447" s="728" t="inlineStr">
        <is>
          <t>UK PORT</t>
        </is>
      </c>
      <c r="I447" s="733" t="n">
        <v>9687</v>
      </c>
      <c r="J447" s="732" t="inlineStr">
        <is>
          <t>Km</t>
        </is>
      </c>
      <c r="K447" s="734" t="n">
        <v>2180</v>
      </c>
      <c r="L447" s="741">
        <f>M447-K447</f>
        <v/>
      </c>
      <c r="M447" s="739" t="n">
        <v>6332</v>
      </c>
      <c r="N447" s="1772" t="n">
        <v>3280</v>
      </c>
      <c r="O447" s="1762">
        <f>N447*E447/1000</f>
        <v/>
      </c>
      <c r="P447" s="1763">
        <f>O447/32</f>
        <v/>
      </c>
      <c r="Q447" s="1764">
        <f>N447*I447/1000</f>
        <v/>
      </c>
    </row>
    <row r="448" ht="15.75" customHeight="1">
      <c r="A448" s="719" t="inlineStr">
        <is>
          <t>FO23070023</t>
        </is>
      </c>
      <c r="B448" s="720" t="n">
        <v>45117</v>
      </c>
      <c r="C448" s="721" t="inlineStr">
        <is>
          <t>มัลติแบกซ์</t>
        </is>
      </c>
      <c r="D448" s="721" t="inlineStr">
        <is>
          <t>ท่าเรือแหลมฉบัง</t>
        </is>
      </c>
      <c r="E448" s="722" t="n">
        <v>7.1</v>
      </c>
      <c r="F448" s="719" t="inlineStr">
        <is>
          <t>Km</t>
        </is>
      </c>
      <c r="G448" s="719" t="inlineStr">
        <is>
          <t>รถเทรลเลอร์</t>
        </is>
      </c>
      <c r="H448" s="719" t="inlineStr">
        <is>
          <t>CARROLLTON TX, USA</t>
        </is>
      </c>
      <c r="I448" s="724" t="n">
        <v>14544</v>
      </c>
      <c r="J448" s="723" t="inlineStr">
        <is>
          <t>Km</t>
        </is>
      </c>
      <c r="K448" s="725" t="n">
        <v>3880</v>
      </c>
      <c r="L448" s="740">
        <f>M448-K448</f>
        <v/>
      </c>
      <c r="M448" s="738" t="n">
        <v>22951.6</v>
      </c>
      <c r="N448" s="1773" t="n">
        <v>15602.4</v>
      </c>
      <c r="O448" s="1762">
        <f>N448*E448/1000</f>
        <v/>
      </c>
      <c r="P448" s="1763">
        <f>O448/32</f>
        <v/>
      </c>
      <c r="Q448" s="1764">
        <f>N448*I448/1000</f>
        <v/>
      </c>
    </row>
    <row r="449" ht="15.75" customHeight="1">
      <c r="A449" s="728" t="inlineStr">
        <is>
          <t>FO23070024</t>
        </is>
      </c>
      <c r="B449" s="729" t="n">
        <v>45115</v>
      </c>
      <c r="C449" s="730" t="inlineStr">
        <is>
          <t>มัลติแบกซ์</t>
        </is>
      </c>
      <c r="D449" s="730" t="inlineStr">
        <is>
          <t>ท่าเรือแหลมฉบัง</t>
        </is>
      </c>
      <c r="E449" s="731" t="n">
        <v>6.5</v>
      </c>
      <c r="F449" s="728" t="inlineStr">
        <is>
          <t>Km</t>
        </is>
      </c>
      <c r="G449" s="728" t="inlineStr">
        <is>
          <t>รถเทรลเลอร์</t>
        </is>
      </c>
      <c r="H449" s="728" t="inlineStr">
        <is>
          <t>PERRIS CA, USA</t>
        </is>
      </c>
      <c r="I449" s="733" t="n">
        <v>13413</v>
      </c>
      <c r="J449" s="732" t="inlineStr">
        <is>
          <t>Km</t>
        </is>
      </c>
      <c r="K449" s="734" t="n">
        <v>3830</v>
      </c>
      <c r="L449" s="741">
        <f>M449-K449</f>
        <v/>
      </c>
      <c r="M449" s="739" t="n">
        <v>18669</v>
      </c>
      <c r="N449" s="1772" t="n">
        <v>12511.2</v>
      </c>
      <c r="O449" s="1762">
        <f>N449*E449/1000</f>
        <v/>
      </c>
      <c r="P449" s="1763">
        <f>O449/32</f>
        <v/>
      </c>
      <c r="Q449" s="1764">
        <f>N449*I449/1000</f>
        <v/>
      </c>
    </row>
    <row r="450" ht="15.75" customHeight="1">
      <c r="A450" s="719" t="inlineStr">
        <is>
          <t>FO23070025</t>
        </is>
      </c>
      <c r="B450" s="720" t="n">
        <v>45115</v>
      </c>
      <c r="C450" s="721" t="inlineStr">
        <is>
          <t>มัลติแบกซ์</t>
        </is>
      </c>
      <c r="D450" s="721" t="inlineStr">
        <is>
          <t>ท่าเรือแหลมฉบัง</t>
        </is>
      </c>
      <c r="E450" s="722" t="n">
        <v>6</v>
      </c>
      <c r="F450" s="719" t="inlineStr">
        <is>
          <t>Km</t>
        </is>
      </c>
      <c r="G450" s="719" t="inlineStr">
        <is>
          <t>รถเทรลเลอร์</t>
        </is>
      </c>
      <c r="H450" s="719" t="inlineStr">
        <is>
          <t>SOUTH BOSTON VA, USA</t>
        </is>
      </c>
      <c r="I450" s="724" t="n">
        <v>13787</v>
      </c>
      <c r="J450" s="723" t="inlineStr">
        <is>
          <t>Km</t>
        </is>
      </c>
      <c r="K450" s="725" t="n">
        <v>3670</v>
      </c>
      <c r="L450" s="740">
        <f>M450-K450</f>
        <v/>
      </c>
      <c r="M450" s="738" t="n">
        <v>16944</v>
      </c>
      <c r="N450" s="1773" t="n">
        <v>9196</v>
      </c>
      <c r="O450" s="1762">
        <f>N450*E450/1000</f>
        <v/>
      </c>
      <c r="P450" s="1763">
        <f>O450/32</f>
        <v/>
      </c>
      <c r="Q450" s="1764">
        <f>N450*I450/1000</f>
        <v/>
      </c>
    </row>
    <row r="451" ht="15.75" customHeight="1">
      <c r="A451" s="728" t="inlineStr">
        <is>
          <t>FO23070026</t>
        </is>
      </c>
      <c r="B451" s="729" t="n">
        <v>45117</v>
      </c>
      <c r="C451" s="730" t="inlineStr">
        <is>
          <t>มัลติแบกซ์</t>
        </is>
      </c>
      <c r="D451" s="730" t="inlineStr">
        <is>
          <t>ท่าเรือแหลมฉบัง</t>
        </is>
      </c>
      <c r="E451" s="731" t="n">
        <v>11.7</v>
      </c>
      <c r="F451" s="728" t="inlineStr">
        <is>
          <t>Km</t>
        </is>
      </c>
      <c r="G451" s="728" t="inlineStr">
        <is>
          <t>รถเทรลเลอร์</t>
        </is>
      </c>
      <c r="H451" s="728" t="inlineStr">
        <is>
          <t>SHIMIZU, JAPAN</t>
        </is>
      </c>
      <c r="I451" s="733" t="n">
        <v>4482</v>
      </c>
      <c r="J451" s="732" t="inlineStr">
        <is>
          <t>Km</t>
        </is>
      </c>
      <c r="K451" s="734" t="n">
        <v>3700</v>
      </c>
      <c r="L451" s="741">
        <f>M451-K451</f>
        <v/>
      </c>
      <c r="M451" s="739" t="n">
        <v>15546.8</v>
      </c>
      <c r="N451" s="1772" t="n">
        <v>9826.34</v>
      </c>
      <c r="O451" s="1762">
        <f>N451*E451/1000</f>
        <v/>
      </c>
      <c r="P451" s="1763">
        <f>O451/32</f>
        <v/>
      </c>
      <c r="Q451" s="1764">
        <f>N451*I451/1000</f>
        <v/>
      </c>
    </row>
    <row r="452" ht="15.75" customHeight="1">
      <c r="A452" s="719" t="inlineStr">
        <is>
          <t>FO23070027</t>
        </is>
      </c>
      <c r="B452" s="720" t="n">
        <v>45118</v>
      </c>
      <c r="C452" s="721" t="inlineStr">
        <is>
          <t>มัลติแบกซ์</t>
        </is>
      </c>
      <c r="D452" s="721" t="inlineStr">
        <is>
          <t>ท่าเรือแหลมฉบัง</t>
        </is>
      </c>
      <c r="E452" s="722" t="n">
        <v>6.2</v>
      </c>
      <c r="F452" s="719" t="inlineStr">
        <is>
          <t>Km</t>
        </is>
      </c>
      <c r="G452" s="719" t="inlineStr">
        <is>
          <t>รถเทรลเลอร์</t>
        </is>
      </c>
      <c r="H452" s="719" t="inlineStr">
        <is>
          <t>SENDAI, JAPAN</t>
        </is>
      </c>
      <c r="I452" s="724" t="n">
        <v>4823</v>
      </c>
      <c r="J452" s="723" t="inlineStr">
        <is>
          <t>Km</t>
        </is>
      </c>
      <c r="K452" s="725" t="n">
        <v>3760</v>
      </c>
      <c r="L452" s="740">
        <f>M452-K452</f>
        <v/>
      </c>
      <c r="M452" s="738" t="n">
        <v>17481.68</v>
      </c>
      <c r="N452" s="1773" t="n">
        <v>11706.8</v>
      </c>
      <c r="O452" s="1762">
        <f>N452*E452/1000</f>
        <v/>
      </c>
      <c r="P452" s="1763">
        <f>O452/32</f>
        <v/>
      </c>
      <c r="Q452" s="1764">
        <f>N452*I452/1000</f>
        <v/>
      </c>
    </row>
    <row r="453" ht="15.75" customHeight="1">
      <c r="A453" s="728" t="inlineStr">
        <is>
          <t>FO23070028</t>
        </is>
      </c>
      <c r="B453" s="729" t="n">
        <v>45119</v>
      </c>
      <c r="C453" s="730" t="inlineStr">
        <is>
          <t>มัลติแบกซ์</t>
        </is>
      </c>
      <c r="D453" s="730" t="inlineStr">
        <is>
          <t>ท่าเรือแหลมฉบัง</t>
        </is>
      </c>
      <c r="E453" s="731" t="n">
        <v>7.1</v>
      </c>
      <c r="F453" s="728" t="inlineStr">
        <is>
          <t>Km</t>
        </is>
      </c>
      <c r="G453" s="728" t="inlineStr">
        <is>
          <t>รถเทรลเลอร์</t>
        </is>
      </c>
      <c r="H453" s="728" t="inlineStr">
        <is>
          <t>COLUMBUS OHIO, USA</t>
        </is>
      </c>
      <c r="I453" s="733" t="n">
        <v>14000</v>
      </c>
      <c r="J453" s="732" t="inlineStr">
        <is>
          <t>Km</t>
        </is>
      </c>
      <c r="K453" s="734" t="n">
        <v>3800</v>
      </c>
      <c r="L453" s="741">
        <f>M453-K453</f>
        <v/>
      </c>
      <c r="M453" s="739" t="n">
        <v>21494.58</v>
      </c>
      <c r="N453" s="1772" t="n">
        <v>15506.08</v>
      </c>
      <c r="O453" s="1762">
        <f>N453*E453/1000</f>
        <v/>
      </c>
      <c r="P453" s="1763">
        <f>O453/32</f>
        <v/>
      </c>
      <c r="Q453" s="1764">
        <f>N453*I453/1000</f>
        <v/>
      </c>
    </row>
    <row r="454" ht="15.75" customHeight="1">
      <c r="A454" s="719" t="inlineStr">
        <is>
          <t>FO23070029</t>
        </is>
      </c>
      <c r="B454" s="720" t="n">
        <v>45119</v>
      </c>
      <c r="C454" s="721" t="inlineStr">
        <is>
          <t>มัลติแบกซ์</t>
        </is>
      </c>
      <c r="D454" s="721" t="inlineStr">
        <is>
          <t>ท่าเรือแหลมฉบัง</t>
        </is>
      </c>
      <c r="E454" s="722" t="n">
        <v>6.2</v>
      </c>
      <c r="F454" s="719" t="inlineStr">
        <is>
          <t>Km</t>
        </is>
      </c>
      <c r="G454" s="719" t="inlineStr">
        <is>
          <t>รถเทรลเลอร์</t>
        </is>
      </c>
      <c r="H454" s="719" t="inlineStr">
        <is>
          <t>SANTA TERESA, NM USA</t>
        </is>
      </c>
      <c r="I454" s="724" t="n">
        <v>17387</v>
      </c>
      <c r="J454" s="723" t="inlineStr">
        <is>
          <t>Km</t>
        </is>
      </c>
      <c r="K454" s="725" t="n">
        <v>3860</v>
      </c>
      <c r="L454" s="740">
        <f>M454-K454</f>
        <v/>
      </c>
      <c r="M454" s="738" t="n">
        <v>22943.49</v>
      </c>
      <c r="N454" s="1773" t="n">
        <v>16416.8</v>
      </c>
      <c r="O454" s="1762">
        <f>N454*E454/1000</f>
        <v/>
      </c>
      <c r="P454" s="1763">
        <f>O454/32</f>
        <v/>
      </c>
      <c r="Q454" s="1764">
        <f>N454*I454/1000</f>
        <v/>
      </c>
    </row>
    <row r="455" ht="15.75" customHeight="1">
      <c r="A455" s="728" t="inlineStr">
        <is>
          <t>FO23070030</t>
        </is>
      </c>
      <c r="B455" s="729" t="n">
        <v>45119</v>
      </c>
      <c r="C455" s="730" t="inlineStr">
        <is>
          <t>มัลติแบกซ์</t>
        </is>
      </c>
      <c r="D455" s="730" t="inlineStr">
        <is>
          <t>ท่าเรือแหลมฉบัง</t>
        </is>
      </c>
      <c r="E455" s="731" t="n">
        <v>6.2</v>
      </c>
      <c r="F455" s="728" t="inlineStr">
        <is>
          <t>Km</t>
        </is>
      </c>
      <c r="G455" s="728" t="inlineStr">
        <is>
          <t>รถเทรลเลอร์</t>
        </is>
      </c>
      <c r="H455" s="728" t="inlineStr">
        <is>
          <t>SANTA TERESA, NM USA</t>
        </is>
      </c>
      <c r="I455" s="733" t="n">
        <v>17387</v>
      </c>
      <c r="J455" s="732" t="inlineStr">
        <is>
          <t>Km</t>
        </is>
      </c>
      <c r="K455" s="734" t="n">
        <v>3860</v>
      </c>
      <c r="L455" s="741">
        <f>M455-K455</f>
        <v/>
      </c>
      <c r="M455" s="739" t="n">
        <v>21131.26</v>
      </c>
      <c r="N455" s="1772" t="n">
        <v>14968.04</v>
      </c>
      <c r="O455" s="1762">
        <f>N455*E455/1000</f>
        <v/>
      </c>
      <c r="P455" s="1763">
        <f>O455/32</f>
        <v/>
      </c>
      <c r="Q455" s="1764">
        <f>N455*I455/1000</f>
        <v/>
      </c>
    </row>
    <row r="456" ht="15.75" customHeight="1">
      <c r="A456" s="719" t="inlineStr">
        <is>
          <t>FO23070031</t>
        </is>
      </c>
      <c r="B456" s="720" t="n">
        <v>45120</v>
      </c>
      <c r="C456" s="721" t="inlineStr">
        <is>
          <t>มัลติแบกซ์</t>
        </is>
      </c>
      <c r="D456" s="721" t="inlineStr">
        <is>
          <t>ท่าเรือแหลมฉบัง</t>
        </is>
      </c>
      <c r="E456" s="722" t="n">
        <v>7.1</v>
      </c>
      <c r="F456" s="719" t="inlineStr">
        <is>
          <t>Km</t>
        </is>
      </c>
      <c r="G456" s="719" t="inlineStr">
        <is>
          <t>รถเทรลเลอร์</t>
        </is>
      </c>
      <c r="H456" s="719" t="inlineStr">
        <is>
          <t>HAMAD, QATAR</t>
        </is>
      </c>
      <c r="I456" s="724" t="n">
        <v>5317</v>
      </c>
      <c r="J456" s="723" t="inlineStr">
        <is>
          <t>Km</t>
        </is>
      </c>
      <c r="K456" s="725" t="n">
        <v>2260</v>
      </c>
      <c r="L456" s="740">
        <f>M456-K456</f>
        <v/>
      </c>
      <c r="M456" s="738" t="n">
        <v>5386.29</v>
      </c>
      <c r="N456" s="1773" t="n">
        <v>2152.17</v>
      </c>
      <c r="O456" s="1762">
        <f>N456*E456/1000</f>
        <v/>
      </c>
      <c r="P456" s="1763">
        <f>O456/32</f>
        <v/>
      </c>
      <c r="Q456" s="1764">
        <f>N456*I456/1000</f>
        <v/>
      </c>
    </row>
    <row r="457" ht="15.75" customHeight="1">
      <c r="A457" s="728" t="inlineStr">
        <is>
          <t>FO23070032</t>
        </is>
      </c>
      <c r="B457" s="729" t="n">
        <v>45120</v>
      </c>
      <c r="C457" s="730" t="inlineStr">
        <is>
          <t>มัลติแบกซ์</t>
        </is>
      </c>
      <c r="D457" s="730" t="inlineStr">
        <is>
          <t>ท่าเรือแหลมฉบัง</t>
        </is>
      </c>
      <c r="E457" s="731" t="n">
        <v>6.2</v>
      </c>
      <c r="F457" s="728" t="inlineStr">
        <is>
          <t>Km</t>
        </is>
      </c>
      <c r="G457" s="728" t="inlineStr">
        <is>
          <t>รถเทรลเลอร์</t>
        </is>
      </c>
      <c r="H457" s="728" t="inlineStr">
        <is>
          <t>APPLETON WI , USA</t>
        </is>
      </c>
      <c r="I457" s="733" t="n">
        <v>13558</v>
      </c>
      <c r="J457" s="732" t="inlineStr">
        <is>
          <t>Km</t>
        </is>
      </c>
      <c r="K457" s="734" t="n">
        <v>3860</v>
      </c>
      <c r="L457" s="741">
        <f>M457-K457</f>
        <v/>
      </c>
      <c r="M457" s="739" t="n">
        <v>18128.5</v>
      </c>
      <c r="N457" s="1772" t="n">
        <v>11401.1</v>
      </c>
      <c r="O457" s="1762">
        <f>N457*E457/1000</f>
        <v/>
      </c>
      <c r="P457" s="1763">
        <f>O457/32</f>
        <v/>
      </c>
      <c r="Q457" s="1764">
        <f>N457*I457/1000</f>
        <v/>
      </c>
    </row>
    <row r="458" ht="15.75" customHeight="1">
      <c r="A458" s="719" t="inlineStr">
        <is>
          <t>FO23070033</t>
        </is>
      </c>
      <c r="B458" s="720" t="n">
        <v>45126</v>
      </c>
      <c r="C458" s="721" t="inlineStr">
        <is>
          <t>มัลติแบกซ์</t>
        </is>
      </c>
      <c r="D458" s="721" t="inlineStr">
        <is>
          <t>ท่าเรือแหลมฉบัง</t>
        </is>
      </c>
      <c r="E458" s="722" t="n">
        <v>6.2</v>
      </c>
      <c r="F458" s="719" t="inlineStr">
        <is>
          <t>Km</t>
        </is>
      </c>
      <c r="G458" s="719" t="inlineStr">
        <is>
          <t>รถเทรลเลอร์</t>
        </is>
      </c>
      <c r="H458" s="719" t="inlineStr">
        <is>
          <t>APPLETON WI , USA</t>
        </is>
      </c>
      <c r="I458" s="724" t="n">
        <v>13558</v>
      </c>
      <c r="J458" s="723" t="inlineStr">
        <is>
          <t>Km</t>
        </is>
      </c>
      <c r="K458" s="725" t="n">
        <v>3620</v>
      </c>
      <c r="L458" s="740">
        <f>M458-K458</f>
        <v/>
      </c>
      <c r="M458" s="1769" t="n">
        <v>15873.5</v>
      </c>
      <c r="N458" s="1773" t="n">
        <v>9776.9</v>
      </c>
      <c r="O458" s="1762">
        <f>N458*E458/1000</f>
        <v/>
      </c>
      <c r="P458" s="1763">
        <f>O458/32</f>
        <v/>
      </c>
      <c r="Q458" s="1764">
        <f>N458*I458/1000</f>
        <v/>
      </c>
    </row>
    <row r="459" ht="15.75" customHeight="1">
      <c r="A459" s="728" t="inlineStr">
        <is>
          <t>FO23070034</t>
        </is>
      </c>
      <c r="B459" s="729" t="n">
        <v>45121</v>
      </c>
      <c r="C459" s="730" t="inlineStr">
        <is>
          <t>มัลติแบกซ์</t>
        </is>
      </c>
      <c r="D459" s="730" t="inlineStr">
        <is>
          <t>ท่าเรือแหลมฉบัง</t>
        </is>
      </c>
      <c r="E459" s="731" t="n">
        <v>6</v>
      </c>
      <c r="F459" s="728" t="inlineStr">
        <is>
          <t>Km</t>
        </is>
      </c>
      <c r="G459" s="728" t="inlineStr">
        <is>
          <t>รถเทรลเลอร์</t>
        </is>
      </c>
      <c r="H459" s="728" t="inlineStr">
        <is>
          <t>SOUTH BOSTON VA, USA</t>
        </is>
      </c>
      <c r="I459" s="733" t="n">
        <v>13787</v>
      </c>
      <c r="J459" s="732" t="inlineStr">
        <is>
          <t>Km</t>
        </is>
      </c>
      <c r="K459" s="734" t="n">
        <v>3860</v>
      </c>
      <c r="L459" s="741">
        <f>M459-K459</f>
        <v/>
      </c>
      <c r="M459" s="1771" t="n">
        <v>18490</v>
      </c>
      <c r="N459" s="1772" t="n">
        <v>11855.58</v>
      </c>
      <c r="O459" s="1762">
        <f>N459*E459/1000</f>
        <v/>
      </c>
      <c r="P459" s="1763">
        <f>O459/32</f>
        <v/>
      </c>
      <c r="Q459" s="1764">
        <f>N459*I459/1000</f>
        <v/>
      </c>
    </row>
    <row r="460" ht="15.75" customHeight="1">
      <c r="A460" s="719" t="inlineStr">
        <is>
          <t>FO23070035</t>
        </is>
      </c>
      <c r="B460" s="720" t="n">
        <v>45117</v>
      </c>
      <c r="C460" s="721" t="inlineStr">
        <is>
          <t>มัลติแบกซ์</t>
        </is>
      </c>
      <c r="D460" s="721" t="inlineStr">
        <is>
          <t>ท่าเรือแหลมฉบัง</t>
        </is>
      </c>
      <c r="E460" s="722" t="n">
        <v>7.1</v>
      </c>
      <c r="F460" s="719" t="inlineStr">
        <is>
          <t>Km</t>
        </is>
      </c>
      <c r="G460" s="719" t="inlineStr">
        <is>
          <t>รถเทรลเลอร์</t>
        </is>
      </c>
      <c r="H460" s="719" t="inlineStr">
        <is>
          <t>UNIVERSITY PARK IL, USA</t>
        </is>
      </c>
      <c r="I460" s="724" t="n">
        <v>13877</v>
      </c>
      <c r="J460" s="723" t="inlineStr">
        <is>
          <t>Km</t>
        </is>
      </c>
      <c r="K460" s="725" t="n">
        <v>3770</v>
      </c>
      <c r="L460" s="740">
        <f>M460-K460</f>
        <v/>
      </c>
      <c r="M460" s="738" t="n">
        <v>13959.8</v>
      </c>
      <c r="N460" s="1773" t="n">
        <v>7660</v>
      </c>
      <c r="O460" s="1762">
        <f>N460*E460/1000</f>
        <v/>
      </c>
      <c r="P460" s="1763">
        <f>O460/32</f>
        <v/>
      </c>
      <c r="Q460" s="1764">
        <f>N460*I460/1000</f>
        <v/>
      </c>
    </row>
    <row r="461" ht="15.75" customHeight="1">
      <c r="A461" s="728" t="inlineStr">
        <is>
          <t>FO23070036</t>
        </is>
      </c>
      <c r="B461" s="729" t="n">
        <v>45117</v>
      </c>
      <c r="C461" s="730" t="inlineStr">
        <is>
          <t>มัลติแบกซ์</t>
        </is>
      </c>
      <c r="D461" s="730" t="inlineStr">
        <is>
          <t>ท่าเรือแหลมฉบัง</t>
        </is>
      </c>
      <c r="E461" s="731" t="n">
        <v>7.1</v>
      </c>
      <c r="F461" s="728" t="inlineStr">
        <is>
          <t>Km</t>
        </is>
      </c>
      <c r="G461" s="728" t="inlineStr">
        <is>
          <t>รถเทรลเลอร์</t>
        </is>
      </c>
      <c r="H461" s="728" t="inlineStr">
        <is>
          <t>UNIVERSITY PARK IL, USA</t>
        </is>
      </c>
      <c r="I461" s="733" t="n">
        <v>13877</v>
      </c>
      <c r="J461" s="732" t="inlineStr">
        <is>
          <t>Km</t>
        </is>
      </c>
      <c r="K461" s="734" t="n">
        <v>3830</v>
      </c>
      <c r="L461" s="741">
        <f>M461-K461</f>
        <v/>
      </c>
      <c r="M461" s="739" t="n">
        <v>15844</v>
      </c>
      <c r="N461" s="1772" t="n">
        <v>8988</v>
      </c>
      <c r="O461" s="1762">
        <f>N461*E461/1000</f>
        <v/>
      </c>
      <c r="P461" s="1763">
        <f>O461/32</f>
        <v/>
      </c>
      <c r="Q461" s="1764">
        <f>N461*I461/1000</f>
        <v/>
      </c>
    </row>
    <row r="462" ht="15.75" customHeight="1">
      <c r="A462" s="719" t="inlineStr">
        <is>
          <t>FO23070037</t>
        </is>
      </c>
      <c r="B462" s="720" t="n">
        <v>45117</v>
      </c>
      <c r="C462" s="721" t="inlineStr">
        <is>
          <t>มัลติแบกซ์</t>
        </is>
      </c>
      <c r="D462" s="721" t="inlineStr">
        <is>
          <t>ท่าเรือแหลมฉบัง</t>
        </is>
      </c>
      <c r="E462" s="722" t="n">
        <v>7.1</v>
      </c>
      <c r="F462" s="719" t="inlineStr">
        <is>
          <t>Km</t>
        </is>
      </c>
      <c r="G462" s="719" t="inlineStr">
        <is>
          <t>รถเทรลเลอร์</t>
        </is>
      </c>
      <c r="H462" s="719" t="inlineStr">
        <is>
          <t>UNIVERSITY PARK IL, USA</t>
        </is>
      </c>
      <c r="I462" s="724" t="n">
        <v>13877</v>
      </c>
      <c r="J462" s="723" t="inlineStr">
        <is>
          <t>Km</t>
        </is>
      </c>
      <c r="K462" s="725" t="n">
        <v>3840</v>
      </c>
      <c r="L462" s="740">
        <f>M462-K462</f>
        <v/>
      </c>
      <c r="M462" s="738" t="n">
        <v>14566</v>
      </c>
      <c r="N462" s="1773" t="n">
        <v>8196.200000000001</v>
      </c>
      <c r="O462" s="1762">
        <f>N462*E462/1000</f>
        <v/>
      </c>
      <c r="P462" s="1763">
        <f>O462/32</f>
        <v/>
      </c>
      <c r="Q462" s="1764">
        <f>N462*I462/1000</f>
        <v/>
      </c>
    </row>
    <row r="463" ht="15.75" customHeight="1">
      <c r="A463" s="728" t="inlineStr">
        <is>
          <t>FO23070038</t>
        </is>
      </c>
      <c r="B463" s="729" t="n">
        <v>45117</v>
      </c>
      <c r="C463" s="730" t="inlineStr">
        <is>
          <t>มัลติแบกซ์</t>
        </is>
      </c>
      <c r="D463" s="730" t="inlineStr">
        <is>
          <t>ท่าเรือแหลมฉบัง</t>
        </is>
      </c>
      <c r="E463" s="731" t="n">
        <v>6.5</v>
      </c>
      <c r="F463" s="728" t="inlineStr">
        <is>
          <t>Km</t>
        </is>
      </c>
      <c r="G463" s="728" t="inlineStr">
        <is>
          <t>รถเทรลเลอร์</t>
        </is>
      </c>
      <c r="H463" s="728" t="inlineStr">
        <is>
          <t>JACKSONVILLE IL, USA</t>
        </is>
      </c>
      <c r="I463" s="733" t="n">
        <v>15168</v>
      </c>
      <c r="J463" s="732" t="inlineStr">
        <is>
          <t>Km</t>
        </is>
      </c>
      <c r="K463" s="734" t="n">
        <v>3700</v>
      </c>
      <c r="L463" s="741">
        <f>M463-K463</f>
        <v/>
      </c>
      <c r="M463" s="739" t="n">
        <v>23559.6</v>
      </c>
      <c r="N463" s="1772" t="n">
        <v>16464</v>
      </c>
      <c r="O463" s="1762">
        <f>N463*E463/1000</f>
        <v/>
      </c>
      <c r="P463" s="1763">
        <f>O463/32</f>
        <v/>
      </c>
      <c r="Q463" s="1764">
        <f>N463*I463/1000</f>
        <v/>
      </c>
    </row>
    <row r="464" ht="15.75" customHeight="1">
      <c r="A464" s="719" t="inlineStr">
        <is>
          <t>FO23070039</t>
        </is>
      </c>
      <c r="B464" s="720" t="n">
        <v>45115</v>
      </c>
      <c r="C464" s="721" t="inlineStr">
        <is>
          <t>มัลติแบกซ์</t>
        </is>
      </c>
      <c r="D464" s="721" t="inlineStr">
        <is>
          <t>ท่าเรือแหลมฉบัง</t>
        </is>
      </c>
      <c r="E464" s="722" t="n">
        <v>6.5</v>
      </c>
      <c r="F464" s="719" t="inlineStr">
        <is>
          <t>Km</t>
        </is>
      </c>
      <c r="G464" s="719" t="inlineStr">
        <is>
          <t>รถเทรลเลอร์</t>
        </is>
      </c>
      <c r="H464" s="719" t="inlineStr">
        <is>
          <t>JACKSONVILLE IL, USA</t>
        </is>
      </c>
      <c r="I464" s="724" t="n">
        <v>15168</v>
      </c>
      <c r="J464" s="723" t="inlineStr">
        <is>
          <t>Km</t>
        </is>
      </c>
      <c r="K464" s="725" t="n">
        <v>3840</v>
      </c>
      <c r="L464" s="740">
        <f>M464-K464</f>
        <v/>
      </c>
      <c r="M464" s="738" t="n">
        <v>23699</v>
      </c>
      <c r="N464" s="1773" t="n">
        <v>16464</v>
      </c>
      <c r="O464" s="1762">
        <f>N464*E464/1000</f>
        <v/>
      </c>
      <c r="P464" s="1763">
        <f>O464/32</f>
        <v/>
      </c>
      <c r="Q464" s="1764">
        <f>N464*I464/1000</f>
        <v/>
      </c>
    </row>
    <row r="465" ht="15.75" customHeight="1">
      <c r="A465" s="728" t="inlineStr">
        <is>
          <t>FO23070040</t>
        </is>
      </c>
      <c r="B465" s="729" t="n">
        <v>45115</v>
      </c>
      <c r="C465" s="730" t="inlineStr">
        <is>
          <t>มัลติแบกซ์</t>
        </is>
      </c>
      <c r="D465" s="730" t="inlineStr">
        <is>
          <t>ท่าเรือแหลมฉบัง</t>
        </is>
      </c>
      <c r="E465" s="731" t="n">
        <v>6.5</v>
      </c>
      <c r="F465" s="728" t="inlineStr">
        <is>
          <t>Km</t>
        </is>
      </c>
      <c r="G465" s="728" t="inlineStr">
        <is>
          <t>รถเทรลเลอร์</t>
        </is>
      </c>
      <c r="H465" s="728" t="inlineStr">
        <is>
          <t>JACKSONVILLE IL, USA</t>
        </is>
      </c>
      <c r="I465" s="733" t="n">
        <v>15168</v>
      </c>
      <c r="J465" s="732" t="inlineStr">
        <is>
          <t>Km</t>
        </is>
      </c>
      <c r="K465" s="734" t="n">
        <v>3700</v>
      </c>
      <c r="L465" s="741">
        <f>M465-K465</f>
        <v/>
      </c>
      <c r="M465" s="739" t="n">
        <v>23559.6</v>
      </c>
      <c r="N465" s="1772" t="n">
        <v>16464</v>
      </c>
      <c r="O465" s="1762">
        <f>N465*E465/1000</f>
        <v/>
      </c>
      <c r="P465" s="1763">
        <f>O465/32</f>
        <v/>
      </c>
      <c r="Q465" s="1764">
        <f>N465*I465/1000</f>
        <v/>
      </c>
    </row>
    <row r="466" ht="15.75" customHeight="1">
      <c r="A466" s="719" t="inlineStr">
        <is>
          <t>FO23070041</t>
        </is>
      </c>
      <c r="B466" s="720" t="n">
        <v>45125</v>
      </c>
      <c r="C466" s="721" t="inlineStr">
        <is>
          <t>มัลติแบกซ์</t>
        </is>
      </c>
      <c r="D466" s="721" t="inlineStr">
        <is>
          <t>ท่าเรือแหลมฉบัง</t>
        </is>
      </c>
      <c r="E466" s="722" t="n">
        <v>4.5</v>
      </c>
      <c r="F466" s="719" t="inlineStr">
        <is>
          <t>Km</t>
        </is>
      </c>
      <c r="G466" s="719" t="inlineStr">
        <is>
          <t>รถเทรลเลอร์</t>
        </is>
      </c>
      <c r="H466" s="719" t="inlineStr">
        <is>
          <t>SYDNEY, AUSTRALIA</t>
        </is>
      </c>
      <c r="I466" s="724" t="n">
        <v>7448</v>
      </c>
      <c r="J466" s="723" t="inlineStr">
        <is>
          <t>Km</t>
        </is>
      </c>
      <c r="K466" s="725" t="n">
        <v>3740</v>
      </c>
      <c r="L466" s="740">
        <f>M466-K466</f>
        <v/>
      </c>
      <c r="M466" s="1769" t="n">
        <v>27367</v>
      </c>
      <c r="N466" s="1773" t="n">
        <v>21681</v>
      </c>
      <c r="O466" s="1762">
        <f>N466*E466/1000</f>
        <v/>
      </c>
      <c r="P466" s="1763">
        <f>O466/32</f>
        <v/>
      </c>
      <c r="Q466" s="1764">
        <f>N466*I466/1000</f>
        <v/>
      </c>
    </row>
    <row r="467" ht="15.75" customHeight="1">
      <c r="A467" s="728" t="inlineStr">
        <is>
          <t>FO23070042</t>
        </is>
      </c>
      <c r="B467" s="729" t="n">
        <v>45126</v>
      </c>
      <c r="C467" s="730" t="inlineStr">
        <is>
          <t>มัลติแบกซ์</t>
        </is>
      </c>
      <c r="D467" s="730" t="inlineStr">
        <is>
          <t>ท่าเรือแหลมฉบัง</t>
        </is>
      </c>
      <c r="E467" s="731" t="n">
        <v>4.5</v>
      </c>
      <c r="F467" s="728" t="inlineStr">
        <is>
          <t>Km</t>
        </is>
      </c>
      <c r="G467" s="728" t="inlineStr">
        <is>
          <t>รถเทรลเลอร์</t>
        </is>
      </c>
      <c r="H467" s="728" t="inlineStr">
        <is>
          <t>SYDNEY, AUSTRALIA</t>
        </is>
      </c>
      <c r="I467" s="733" t="n">
        <v>7448</v>
      </c>
      <c r="J467" s="732" t="inlineStr">
        <is>
          <t>Km</t>
        </is>
      </c>
      <c r="K467" s="734" t="n">
        <v>3830</v>
      </c>
      <c r="L467" s="741">
        <f>M467-K467</f>
        <v/>
      </c>
      <c r="M467" s="1771" t="n">
        <v>27732</v>
      </c>
      <c r="N467" s="1772" t="n">
        <v>17054</v>
      </c>
      <c r="O467" s="1762">
        <f>N467*E467/1000</f>
        <v/>
      </c>
      <c r="P467" s="1763">
        <f>O467/32</f>
        <v/>
      </c>
      <c r="Q467" s="1764">
        <f>N467*I467/1000</f>
        <v/>
      </c>
    </row>
    <row r="468" ht="15.75" customFormat="1" customHeight="1" s="859">
      <c r="A468" s="847" t="inlineStr">
        <is>
          <t>FO23070048</t>
        </is>
      </c>
      <c r="B468" s="848" t="n">
        <v>45121</v>
      </c>
      <c r="C468" s="849" t="inlineStr">
        <is>
          <t>มัลติแบกซ์</t>
        </is>
      </c>
      <c r="D468" s="849" t="inlineStr">
        <is>
          <t>ท่าเรือแหลมฉบัง</t>
        </is>
      </c>
      <c r="E468" s="850" t="n">
        <v>6.5</v>
      </c>
      <c r="F468" s="847" t="inlineStr">
        <is>
          <t>Km</t>
        </is>
      </c>
      <c r="G468" s="847" t="inlineStr">
        <is>
          <t>รถเทรลเลอร์</t>
        </is>
      </c>
      <c r="H468" s="847" t="inlineStr">
        <is>
          <t>PORT CAUCEDO, DOMINICAN REPUBLIC</t>
        </is>
      </c>
      <c r="I468" s="852" t="n">
        <v>16332</v>
      </c>
      <c r="J468" s="851" t="inlineStr">
        <is>
          <t>Km</t>
        </is>
      </c>
      <c r="K468" s="853" t="n">
        <v>3700</v>
      </c>
      <c r="L468" s="854">
        <f>M468-K468</f>
        <v/>
      </c>
      <c r="M468" s="1776" t="n">
        <v>14452.6</v>
      </c>
      <c r="N468" s="1777" t="n">
        <v>8043.28</v>
      </c>
      <c r="O468" s="1778">
        <f>N468*E468/1000</f>
        <v/>
      </c>
      <c r="P468" s="1779">
        <f>O468/32</f>
        <v/>
      </c>
      <c r="Q468" s="1780">
        <f>N468*I468/1000</f>
        <v/>
      </c>
    </row>
    <row r="469" ht="15.75" customHeight="1">
      <c r="A469" s="728" t="inlineStr">
        <is>
          <t>FO23070049</t>
        </is>
      </c>
      <c r="B469" s="729" t="n">
        <v>45131</v>
      </c>
      <c r="C469" s="730" t="inlineStr">
        <is>
          <t>มัลติแบกซ์</t>
        </is>
      </c>
      <c r="D469" s="730" t="inlineStr">
        <is>
          <t>ท่าเรือแหลมฉบัง</t>
        </is>
      </c>
      <c r="E469" s="731" t="n">
        <v>6.5</v>
      </c>
      <c r="F469" s="728" t="inlineStr">
        <is>
          <t>Km</t>
        </is>
      </c>
      <c r="G469" s="728" t="inlineStr">
        <is>
          <t>รถเทรลเลอร์</t>
        </is>
      </c>
      <c r="H469" s="728" t="inlineStr">
        <is>
          <t>HAMBURG, GERMANY</t>
        </is>
      </c>
      <c r="I469" s="733" t="n">
        <v>8894</v>
      </c>
      <c r="J469" s="732" t="inlineStr">
        <is>
          <t>Km</t>
        </is>
      </c>
      <c r="K469" s="734" t="n">
        <v>2360</v>
      </c>
      <c r="L469" s="741">
        <f>M469-K469</f>
        <v/>
      </c>
      <c r="M469" s="739" t="n">
        <v>16082.9</v>
      </c>
      <c r="N469" s="1772" t="n">
        <v>13095.72</v>
      </c>
      <c r="O469" s="1762">
        <f>N469*E469/1000</f>
        <v/>
      </c>
      <c r="P469" s="1763">
        <f>O469/32</f>
        <v/>
      </c>
      <c r="Q469" s="1764">
        <f>N469*I469/1000</f>
        <v/>
      </c>
    </row>
    <row r="470" ht="15.75" customHeight="1">
      <c r="A470" s="719" t="inlineStr">
        <is>
          <t>FO23070050</t>
        </is>
      </c>
      <c r="B470" s="720" t="n">
        <v>45131</v>
      </c>
      <c r="C470" s="721" t="inlineStr">
        <is>
          <t>มัลติแบกซ์</t>
        </is>
      </c>
      <c r="D470" s="721" t="inlineStr">
        <is>
          <t>ท่าเรือแหลมฉบัง</t>
        </is>
      </c>
      <c r="E470" s="722" t="n">
        <v>6.5</v>
      </c>
      <c r="F470" s="719" t="inlineStr">
        <is>
          <t>Km</t>
        </is>
      </c>
      <c r="G470" s="719" t="inlineStr">
        <is>
          <t>รถเทรลเลอร์</t>
        </is>
      </c>
      <c r="H470" s="719" t="inlineStr">
        <is>
          <t>ROTTERDAM, NETHERLANDS</t>
        </is>
      </c>
      <c r="I470" s="724" t="n">
        <v>9292</v>
      </c>
      <c r="J470" s="723" t="inlineStr">
        <is>
          <t>Km</t>
        </is>
      </c>
      <c r="K470" s="725" t="n">
        <v>2250</v>
      </c>
      <c r="L470" s="740">
        <f>M470-K470</f>
        <v/>
      </c>
      <c r="M470" s="738" t="n">
        <v>17055</v>
      </c>
      <c r="N470" s="1773" t="n">
        <v>14226.6</v>
      </c>
      <c r="O470" s="1762">
        <f>N470*E470/1000</f>
        <v/>
      </c>
      <c r="P470" s="1763">
        <f>O470/32</f>
        <v/>
      </c>
      <c r="Q470" s="1764">
        <f>N470*I470/1000</f>
        <v/>
      </c>
    </row>
    <row r="471" ht="15.75" customHeight="1">
      <c r="A471" s="728" t="inlineStr">
        <is>
          <t>FO23070051</t>
        </is>
      </c>
      <c r="B471" s="729" t="n">
        <v>45126</v>
      </c>
      <c r="C471" s="730" t="inlineStr">
        <is>
          <t>มัลติแบกซ์</t>
        </is>
      </c>
      <c r="D471" s="730" t="inlineStr">
        <is>
          <t>ท่าเรือแหลมฉบัง</t>
        </is>
      </c>
      <c r="E471" s="731" t="n">
        <v>6.2</v>
      </c>
      <c r="F471" s="728" t="inlineStr">
        <is>
          <t>Km</t>
        </is>
      </c>
      <c r="G471" s="728" t="inlineStr">
        <is>
          <t>รถเทรลเลอร์</t>
        </is>
      </c>
      <c r="H471" s="728" t="inlineStr">
        <is>
          <t>COLUMBUS OHIO, USA</t>
        </is>
      </c>
      <c r="I471" s="733" t="n">
        <v>14000</v>
      </c>
      <c r="J471" s="732" t="inlineStr">
        <is>
          <t>Km</t>
        </is>
      </c>
      <c r="K471" s="734" t="n">
        <v>3700</v>
      </c>
      <c r="L471" s="741">
        <f>M471-K471</f>
        <v/>
      </c>
      <c r="M471" s="1771" t="n">
        <v>22185.8</v>
      </c>
      <c r="N471" s="1772" t="n">
        <v>15889.04</v>
      </c>
      <c r="O471" s="1762">
        <f>N471*E471/1000</f>
        <v/>
      </c>
      <c r="P471" s="1763">
        <f>O471/32</f>
        <v/>
      </c>
      <c r="Q471" s="1764">
        <f>N471*I471/1000</f>
        <v/>
      </c>
    </row>
    <row r="472" ht="15.75" customHeight="1">
      <c r="A472" s="719" t="inlineStr">
        <is>
          <t>FO23070052</t>
        </is>
      </c>
      <c r="B472" s="720" t="n">
        <v>45127</v>
      </c>
      <c r="C472" s="721" t="inlineStr">
        <is>
          <t>มัลติแบกซ์</t>
        </is>
      </c>
      <c r="D472" s="721" t="inlineStr">
        <is>
          <t>ท่าเรือแหลมฉบัง</t>
        </is>
      </c>
      <c r="E472" s="722" t="n">
        <v>6.5</v>
      </c>
      <c r="F472" s="719" t="inlineStr">
        <is>
          <t>Km</t>
        </is>
      </c>
      <c r="G472" s="719" t="inlineStr">
        <is>
          <t>รถเทรลเลอร์</t>
        </is>
      </c>
      <c r="H472" s="719" t="inlineStr">
        <is>
          <t>DURBAN, SOUTH AFRICA</t>
        </is>
      </c>
      <c r="I472" s="724" t="n">
        <v>8865</v>
      </c>
      <c r="J472" s="723" t="inlineStr">
        <is>
          <t>Km</t>
        </is>
      </c>
      <c r="K472" s="725" t="n">
        <v>2220</v>
      </c>
      <c r="L472" s="740">
        <f>M472-K472</f>
        <v/>
      </c>
      <c r="M472" s="738" t="n">
        <v>12638</v>
      </c>
      <c r="N472" s="1773" t="n">
        <v>10416</v>
      </c>
      <c r="O472" s="1762">
        <f>N472*E472/1000</f>
        <v/>
      </c>
      <c r="P472" s="1763">
        <f>O472/32</f>
        <v/>
      </c>
      <c r="Q472" s="1764">
        <f>N472*I472/1000</f>
        <v/>
      </c>
    </row>
    <row r="473" ht="15.75" customHeight="1">
      <c r="A473" s="728" t="inlineStr">
        <is>
          <t>FO23070053</t>
        </is>
      </c>
      <c r="B473" s="729" t="n">
        <v>45127</v>
      </c>
      <c r="C473" s="730" t="inlineStr">
        <is>
          <t>มัลติแบกซ์</t>
        </is>
      </c>
      <c r="D473" s="730" t="inlineStr">
        <is>
          <t>ท่าเรือแหลมฉบัง</t>
        </is>
      </c>
      <c r="E473" s="731" t="n">
        <v>3.6</v>
      </c>
      <c r="F473" s="728" t="inlineStr">
        <is>
          <t>Km</t>
        </is>
      </c>
      <c r="G473" s="728" t="inlineStr">
        <is>
          <t>รถเทรลเลอร์</t>
        </is>
      </c>
      <c r="H473" s="728" t="inlineStr">
        <is>
          <t>TOMAKOMAI, JAPAN</t>
        </is>
      </c>
      <c r="I473" s="733" t="n">
        <v>5092</v>
      </c>
      <c r="J473" s="732" t="inlineStr">
        <is>
          <t>Km</t>
        </is>
      </c>
      <c r="K473" s="734" t="n">
        <v>2200</v>
      </c>
      <c r="L473" s="741">
        <f>M473-K473</f>
        <v/>
      </c>
      <c r="M473" s="739" t="n">
        <v>8429.08</v>
      </c>
      <c r="N473" s="1772" t="n">
        <v>5304.04</v>
      </c>
      <c r="O473" s="1762">
        <f>N473*E473/1000</f>
        <v/>
      </c>
      <c r="P473" s="1763">
        <f>O473/32</f>
        <v/>
      </c>
      <c r="Q473" s="1764">
        <f>N473*I473/1000</f>
        <v/>
      </c>
    </row>
    <row r="474" ht="15.75" customHeight="1">
      <c r="A474" s="719" t="inlineStr">
        <is>
          <t>FO23070054</t>
        </is>
      </c>
      <c r="B474" s="720" t="n">
        <v>45126</v>
      </c>
      <c r="C474" s="721" t="inlineStr">
        <is>
          <t>มัลติแบกซ์</t>
        </is>
      </c>
      <c r="D474" s="721" t="inlineStr">
        <is>
          <t>ท่าเรือแหลมฉบัง</t>
        </is>
      </c>
      <c r="E474" s="722" t="n">
        <v>7.1</v>
      </c>
      <c r="F474" s="719" t="inlineStr">
        <is>
          <t>Km</t>
        </is>
      </c>
      <c r="G474" s="719" t="inlineStr">
        <is>
          <t>รถเทรลเลอร์</t>
        </is>
      </c>
      <c r="H474" s="719" t="inlineStr">
        <is>
          <t>KLANG, MALAYSIA</t>
        </is>
      </c>
      <c r="I474" s="724" t="n">
        <v>1588</v>
      </c>
      <c r="J474" s="723" t="inlineStr">
        <is>
          <t>Km</t>
        </is>
      </c>
      <c r="K474" s="725" t="n">
        <v>2180</v>
      </c>
      <c r="L474" s="740">
        <f>M474-K474</f>
        <v/>
      </c>
      <c r="M474" s="1769" t="n">
        <v>6642.16</v>
      </c>
      <c r="N474" s="1773" t="n">
        <v>3329.92</v>
      </c>
      <c r="O474" s="1762">
        <f>N474*E474/1000</f>
        <v/>
      </c>
      <c r="P474" s="1763">
        <f>O474/32</f>
        <v/>
      </c>
      <c r="Q474" s="1764">
        <f>N474*I474/1000</f>
        <v/>
      </c>
    </row>
    <row r="475" ht="15.75" customHeight="1">
      <c r="A475" s="728" t="inlineStr">
        <is>
          <t>FO23070055</t>
        </is>
      </c>
      <c r="B475" s="729" t="n">
        <v>45127</v>
      </c>
      <c r="C475" s="730" t="inlineStr">
        <is>
          <t>มัลติแบกซ์</t>
        </is>
      </c>
      <c r="D475" s="730" t="inlineStr">
        <is>
          <t>ท่าเรือแหลมฉบัง</t>
        </is>
      </c>
      <c r="E475" s="731" t="n">
        <v>6.2</v>
      </c>
      <c r="F475" s="728" t="inlineStr">
        <is>
          <t>Km</t>
        </is>
      </c>
      <c r="G475" s="728" t="inlineStr">
        <is>
          <t>รถเทรลเลอร์</t>
        </is>
      </c>
      <c r="H475" s="728" t="inlineStr">
        <is>
          <t>JACKSONVILLE IL, USA</t>
        </is>
      </c>
      <c r="I475" s="733" t="n">
        <v>15168</v>
      </c>
      <c r="J475" s="732" t="inlineStr">
        <is>
          <t>Km</t>
        </is>
      </c>
      <c r="K475" s="734" t="n">
        <v>3700</v>
      </c>
      <c r="L475" s="741">
        <f>M475-K475</f>
        <v/>
      </c>
      <c r="M475" s="739" t="n">
        <v>23559.6</v>
      </c>
      <c r="N475" s="1772" t="n">
        <v>16464</v>
      </c>
      <c r="O475" s="1762">
        <f>N475*E475/1000</f>
        <v/>
      </c>
      <c r="P475" s="1763">
        <f>O475/32</f>
        <v/>
      </c>
      <c r="Q475" s="1764">
        <f>N475*I475/1000</f>
        <v/>
      </c>
    </row>
    <row r="476" ht="15.75" customHeight="1">
      <c r="A476" s="719" t="inlineStr">
        <is>
          <t>FO23070056</t>
        </is>
      </c>
      <c r="B476" s="720" t="n">
        <v>45126</v>
      </c>
      <c r="C476" s="721" t="inlineStr">
        <is>
          <t>มัลติแบกซ์</t>
        </is>
      </c>
      <c r="D476" s="721" t="inlineStr">
        <is>
          <t>ท่าเรือแหลมฉบัง</t>
        </is>
      </c>
      <c r="E476" s="722" t="n">
        <v>7.1</v>
      </c>
      <c r="F476" s="719" t="inlineStr">
        <is>
          <t>Km</t>
        </is>
      </c>
      <c r="G476" s="719" t="inlineStr">
        <is>
          <t>รถเทรลเลอร์</t>
        </is>
      </c>
      <c r="H476" s="719" t="inlineStr">
        <is>
          <t>GUANGZHOU, CHINA</t>
        </is>
      </c>
      <c r="I476" s="724" t="n">
        <v>2597</v>
      </c>
      <c r="J476" s="723" t="inlineStr">
        <is>
          <t>Km</t>
        </is>
      </c>
      <c r="K476" s="725" t="n">
        <v>2220</v>
      </c>
      <c r="L476" s="740">
        <f>M476-K476</f>
        <v/>
      </c>
      <c r="M476" s="1769" t="n">
        <v>8176</v>
      </c>
      <c r="N476" s="1773" t="n">
        <v>4815</v>
      </c>
      <c r="O476" s="1762">
        <f>N476*E476/1000</f>
        <v/>
      </c>
      <c r="P476" s="1763">
        <f>O476/32</f>
        <v/>
      </c>
      <c r="Q476" s="1764">
        <f>N476*I476/1000</f>
        <v/>
      </c>
    </row>
    <row r="477" ht="15.75" customHeight="1">
      <c r="A477" s="728" t="inlineStr">
        <is>
          <t>FO23070057</t>
        </is>
      </c>
      <c r="B477" s="729" t="n">
        <v>45131</v>
      </c>
      <c r="C477" s="730" t="inlineStr">
        <is>
          <t>มัลติแบกซ์</t>
        </is>
      </c>
      <c r="D477" s="730" t="inlineStr">
        <is>
          <t>ท่าเรือแหลมฉบัง</t>
        </is>
      </c>
      <c r="E477" s="731" t="n">
        <v>5.3</v>
      </c>
      <c r="F477" s="728" t="inlineStr">
        <is>
          <t>Km</t>
        </is>
      </c>
      <c r="G477" s="728" t="inlineStr">
        <is>
          <t>รถเทรลเลอร์</t>
        </is>
      </c>
      <c r="H477" s="728" t="inlineStr">
        <is>
          <t>HONG KONG</t>
        </is>
      </c>
      <c r="I477" s="733" t="n">
        <v>1734</v>
      </c>
      <c r="J477" s="732" t="inlineStr">
        <is>
          <t>Km</t>
        </is>
      </c>
      <c r="K477" s="734" t="n">
        <v>2160</v>
      </c>
      <c r="L477" s="741">
        <f>M477-K477</f>
        <v/>
      </c>
      <c r="M477" s="739" t="n">
        <v>8776.6</v>
      </c>
      <c r="N477" s="1772" t="n">
        <v>5341.6</v>
      </c>
      <c r="O477" s="1762">
        <f>N477*E477/1000</f>
        <v/>
      </c>
      <c r="P477" s="1763">
        <f>O477/32</f>
        <v/>
      </c>
      <c r="Q477" s="1764">
        <f>N477*I477/1000</f>
        <v/>
      </c>
    </row>
    <row r="478" ht="15.75" customHeight="1">
      <c r="A478" s="719" t="inlineStr">
        <is>
          <t>FO23070058</t>
        </is>
      </c>
      <c r="B478" s="720" t="n">
        <v>45126</v>
      </c>
      <c r="C478" s="721" t="inlineStr">
        <is>
          <t>มัลติแบกซ์</t>
        </is>
      </c>
      <c r="D478" s="721" t="inlineStr">
        <is>
          <t>ท่าเรือแหลมฉบัง</t>
        </is>
      </c>
      <c r="E478" s="722" t="n">
        <v>7.1</v>
      </c>
      <c r="F478" s="719" t="inlineStr">
        <is>
          <t>Km</t>
        </is>
      </c>
      <c r="G478" s="719" t="inlineStr">
        <is>
          <t>รถเทรลเลอร์</t>
        </is>
      </c>
      <c r="H478" s="719" t="inlineStr">
        <is>
          <t>UNIVERSITY PARK IL, USA</t>
        </is>
      </c>
      <c r="I478" s="724" t="n">
        <v>13877</v>
      </c>
      <c r="J478" s="723" t="inlineStr">
        <is>
          <t>Km</t>
        </is>
      </c>
      <c r="K478" s="725" t="n">
        <v>3700</v>
      </c>
      <c r="L478" s="740">
        <f>M478-K478</f>
        <v/>
      </c>
      <c r="M478" s="1769" t="n">
        <v>13889.8</v>
      </c>
      <c r="N478" s="1773" t="n">
        <v>7660</v>
      </c>
      <c r="O478" s="1762">
        <f>N478*E478/1000</f>
        <v/>
      </c>
      <c r="P478" s="1763">
        <f>O478/32</f>
        <v/>
      </c>
      <c r="Q478" s="1764">
        <f>N478*I478/1000</f>
        <v/>
      </c>
    </row>
    <row r="479" ht="15.75" customHeight="1">
      <c r="A479" s="728" t="inlineStr">
        <is>
          <t>FO23070059</t>
        </is>
      </c>
      <c r="B479" s="729" t="n">
        <v>45127</v>
      </c>
      <c r="C479" s="730" t="inlineStr">
        <is>
          <t>มัลติแบกซ์</t>
        </is>
      </c>
      <c r="D479" s="730" t="inlineStr">
        <is>
          <t>ท่าเรือแหลมฉบัง</t>
        </is>
      </c>
      <c r="E479" s="731" t="n">
        <v>7.1</v>
      </c>
      <c r="F479" s="728" t="inlineStr">
        <is>
          <t>Km</t>
        </is>
      </c>
      <c r="G479" s="728" t="inlineStr">
        <is>
          <t>รถเทรลเลอร์</t>
        </is>
      </c>
      <c r="H479" s="728" t="inlineStr">
        <is>
          <t>UNIVERSITY PARK IL, USA</t>
        </is>
      </c>
      <c r="I479" s="733" t="n">
        <v>13877</v>
      </c>
      <c r="J479" s="732" t="inlineStr">
        <is>
          <t>Km</t>
        </is>
      </c>
      <c r="K479" s="734" t="n">
        <v>3840</v>
      </c>
      <c r="L479" s="741">
        <f>M479-K479</f>
        <v/>
      </c>
      <c r="M479" s="1771" t="n">
        <v>15854</v>
      </c>
      <c r="N479" s="1772" t="n">
        <v>8988</v>
      </c>
      <c r="O479" s="1762">
        <f>N479*E479/1000</f>
        <v/>
      </c>
      <c r="P479" s="1763">
        <f>O479/32</f>
        <v/>
      </c>
      <c r="Q479" s="1764">
        <f>N479*I479/1000</f>
        <v/>
      </c>
    </row>
    <row r="480" ht="15.75" customHeight="1">
      <c r="A480" s="719" t="inlineStr">
        <is>
          <t>FO23070060</t>
        </is>
      </c>
      <c r="B480" s="720" t="n">
        <v>45128</v>
      </c>
      <c r="C480" s="721" t="inlineStr">
        <is>
          <t>มัลติแบกซ์</t>
        </is>
      </c>
      <c r="D480" s="721" t="inlineStr">
        <is>
          <t>ท่าเรือแหลมฉบัง</t>
        </is>
      </c>
      <c r="E480" s="722" t="n">
        <v>7.1</v>
      </c>
      <c r="F480" s="719" t="inlineStr">
        <is>
          <t>Km</t>
        </is>
      </c>
      <c r="G480" s="719" t="inlineStr">
        <is>
          <t>รถเทรลเลอร์</t>
        </is>
      </c>
      <c r="H480" s="719" t="inlineStr">
        <is>
          <t>UNIVERSITY PARK IL, USA</t>
        </is>
      </c>
      <c r="I480" s="724" t="n">
        <v>13877</v>
      </c>
      <c r="J480" s="723" t="inlineStr">
        <is>
          <t>Km</t>
        </is>
      </c>
      <c r="K480" s="725" t="n">
        <v>3840</v>
      </c>
      <c r="L480" s="740">
        <f>M480-K480</f>
        <v/>
      </c>
      <c r="M480" s="738" t="n">
        <v>14566</v>
      </c>
      <c r="N480" s="1773" t="n">
        <v>8196.200000000001</v>
      </c>
      <c r="O480" s="1762">
        <f>N480*E480/1000</f>
        <v/>
      </c>
      <c r="P480" s="1763">
        <f>O480/32</f>
        <v/>
      </c>
      <c r="Q480" s="1764">
        <f>N480*I480/1000</f>
        <v/>
      </c>
    </row>
    <row r="481" ht="15.75" customHeight="1">
      <c r="A481" s="728" t="inlineStr">
        <is>
          <t>FO23070061</t>
        </is>
      </c>
      <c r="B481" s="729" t="n">
        <v>45134</v>
      </c>
      <c r="C481" s="730" t="inlineStr">
        <is>
          <t>มัลติแบกซ์</t>
        </is>
      </c>
      <c r="D481" s="730" t="inlineStr">
        <is>
          <t>ท่าเรือแหลมฉบัง</t>
        </is>
      </c>
      <c r="E481" s="731" t="n">
        <v>3.6</v>
      </c>
      <c r="F481" s="728" t="inlineStr">
        <is>
          <t>Km</t>
        </is>
      </c>
      <c r="G481" s="728" t="inlineStr">
        <is>
          <t>รถเทรลเลอร์</t>
        </is>
      </c>
      <c r="H481" s="728" t="inlineStr">
        <is>
          <t>TOKYO, JAPAN</t>
        </is>
      </c>
      <c r="I481" s="733" t="n">
        <v>4608</v>
      </c>
      <c r="J481" s="732" t="inlineStr">
        <is>
          <t>Km</t>
        </is>
      </c>
      <c r="K481" s="734" t="n">
        <v>2180</v>
      </c>
      <c r="L481" s="741">
        <f>M481-K481</f>
        <v/>
      </c>
      <c r="M481" s="739" t="n">
        <v>8356.66</v>
      </c>
      <c r="N481" s="1772" t="n">
        <v>5257.23</v>
      </c>
      <c r="O481" s="1762">
        <f>N481*E481/1000</f>
        <v/>
      </c>
      <c r="P481" s="1763">
        <f>O481/32</f>
        <v/>
      </c>
      <c r="Q481" s="1764">
        <f>N481*I481/1000</f>
        <v/>
      </c>
    </row>
    <row r="482" ht="15.75" customHeight="1">
      <c r="A482" s="719" t="inlineStr">
        <is>
          <t>FO23070062</t>
        </is>
      </c>
      <c r="B482" s="720" t="n">
        <v>45134</v>
      </c>
      <c r="C482" s="721" t="inlineStr">
        <is>
          <t>มัลติแบกซ์</t>
        </is>
      </c>
      <c r="D482" s="721" t="inlineStr">
        <is>
          <t>ท่าเรือแหลมฉบัง</t>
        </is>
      </c>
      <c r="E482" s="722" t="n">
        <v>2.8</v>
      </c>
      <c r="F482" s="719" t="inlineStr">
        <is>
          <t>Km</t>
        </is>
      </c>
      <c r="G482" s="719" t="inlineStr">
        <is>
          <t>รถเทรลเลอร์</t>
        </is>
      </c>
      <c r="H482" s="719" t="inlineStr">
        <is>
          <t>NAGOYA, JAPAN</t>
        </is>
      </c>
      <c r="I482" s="724" t="n">
        <v>4358</v>
      </c>
      <c r="J482" s="723" t="inlineStr">
        <is>
          <t>Km</t>
        </is>
      </c>
      <c r="K482" s="725" t="n">
        <v>3900</v>
      </c>
      <c r="L482" s="740">
        <f>M482-K482</f>
        <v/>
      </c>
      <c r="M482" s="738" t="n">
        <v>15986.41</v>
      </c>
      <c r="N482" s="1773" t="n">
        <v>10096.49</v>
      </c>
      <c r="O482" s="1762">
        <f>N482*E482/1000</f>
        <v/>
      </c>
      <c r="P482" s="1763">
        <f>O482/32</f>
        <v/>
      </c>
      <c r="Q482" s="1764">
        <f>N482*I482/1000</f>
        <v/>
      </c>
    </row>
    <row r="483" ht="15.75" customHeight="1">
      <c r="A483" s="728" t="inlineStr">
        <is>
          <t>FO23070063</t>
        </is>
      </c>
      <c r="B483" s="729" t="n">
        <v>45138</v>
      </c>
      <c r="C483" s="730" t="inlineStr">
        <is>
          <t>มัลติแบกซ์</t>
        </is>
      </c>
      <c r="D483" s="730" t="inlineStr">
        <is>
          <t>ท่าเรือแหลมฉบัง</t>
        </is>
      </c>
      <c r="E483" s="731" t="n">
        <v>7.1</v>
      </c>
      <c r="F483" s="728" t="inlineStr">
        <is>
          <t>Km</t>
        </is>
      </c>
      <c r="G483" s="728" t="inlineStr">
        <is>
          <t>รถเทรลเลอร์</t>
        </is>
      </c>
      <c r="H483" s="728" t="inlineStr">
        <is>
          <t>HONG KONG</t>
        </is>
      </c>
      <c r="I483" s="733" t="n">
        <v>1734</v>
      </c>
      <c r="J483" s="732" t="inlineStr">
        <is>
          <t>Km</t>
        </is>
      </c>
      <c r="K483" s="731" t="n">
        <v>2100</v>
      </c>
      <c r="L483" s="741">
        <f>M483-K483</f>
        <v/>
      </c>
      <c r="M483" s="731" t="n">
        <v>8122</v>
      </c>
      <c r="N483" s="1775" t="n">
        <v>4800</v>
      </c>
      <c r="O483" s="1762">
        <f>N483*E483/1000</f>
        <v/>
      </c>
      <c r="P483" s="1763">
        <f>O483/32</f>
        <v/>
      </c>
      <c r="Q483" s="1764">
        <f>N483*I483/1000</f>
        <v/>
      </c>
    </row>
    <row r="484" ht="15.75" customHeight="1">
      <c r="A484" s="719" t="inlineStr">
        <is>
          <t>FO23070064</t>
        </is>
      </c>
      <c r="B484" s="720" t="n">
        <v>45138</v>
      </c>
      <c r="C484" s="721" t="inlineStr">
        <is>
          <t>มัลติแบกซ์</t>
        </is>
      </c>
      <c r="D484" s="721" t="inlineStr">
        <is>
          <t>ท่าเรือแหลมฉบัง</t>
        </is>
      </c>
      <c r="E484" s="722" t="n">
        <v>7.1</v>
      </c>
      <c r="F484" s="719" t="inlineStr">
        <is>
          <t>Km</t>
        </is>
      </c>
      <c r="G484" s="719" t="inlineStr">
        <is>
          <t>รถเทรลเลอร์</t>
        </is>
      </c>
      <c r="H484" s="719" t="inlineStr">
        <is>
          <t>HONG KONG</t>
        </is>
      </c>
      <c r="I484" s="724" t="n">
        <v>1734</v>
      </c>
      <c r="J484" s="723" t="inlineStr">
        <is>
          <t>Km</t>
        </is>
      </c>
      <c r="K484" s="722" t="n">
        <v>3700</v>
      </c>
      <c r="L484" s="740">
        <f>M484-K484</f>
        <v/>
      </c>
      <c r="M484" s="722" t="n">
        <v>14695.5</v>
      </c>
      <c r="N484" s="1774" t="n">
        <v>8161.5</v>
      </c>
      <c r="O484" s="1762">
        <f>N484*E484/1000</f>
        <v/>
      </c>
      <c r="P484" s="1763">
        <f>O484/32</f>
        <v/>
      </c>
      <c r="Q484" s="1764">
        <f>N484*I484/1000</f>
        <v/>
      </c>
    </row>
    <row r="485" ht="15.75" customHeight="1">
      <c r="A485" s="728" t="inlineStr">
        <is>
          <t>FO23070065</t>
        </is>
      </c>
      <c r="B485" s="729" t="n">
        <v>45133</v>
      </c>
      <c r="C485" s="730" t="inlineStr">
        <is>
          <t>มัลติแบกซ์</t>
        </is>
      </c>
      <c r="D485" s="730" t="inlineStr">
        <is>
          <t>ท่าเรือแหลมฉบัง</t>
        </is>
      </c>
      <c r="E485" s="731" t="n">
        <v>7.1</v>
      </c>
      <c r="F485" s="728" t="inlineStr">
        <is>
          <t>Km</t>
        </is>
      </c>
      <c r="G485" s="728" t="inlineStr">
        <is>
          <t>รถเทรลเลอร์</t>
        </is>
      </c>
      <c r="H485" s="728" t="inlineStr">
        <is>
          <t>SYDNEY, AUSTRALIA</t>
        </is>
      </c>
      <c r="I485" s="733" t="n">
        <v>7448</v>
      </c>
      <c r="J485" s="732" t="inlineStr">
        <is>
          <t>Km</t>
        </is>
      </c>
      <c r="K485" s="734" t="n">
        <v>3840</v>
      </c>
      <c r="L485" s="741">
        <f>M485-K485</f>
        <v/>
      </c>
      <c r="M485" s="739" t="n">
        <v>24642</v>
      </c>
      <c r="N485" s="1772" t="n">
        <v>16608</v>
      </c>
      <c r="O485" s="1762">
        <f>N485*E485/1000</f>
        <v/>
      </c>
      <c r="P485" s="1763">
        <f>O485/32</f>
        <v/>
      </c>
      <c r="Q485" s="1764">
        <f>N485*I485/1000</f>
        <v/>
      </c>
    </row>
    <row r="486" ht="15.75" customHeight="1">
      <c r="A486" s="719" t="inlineStr">
        <is>
          <t>FO23070066</t>
        </is>
      </c>
      <c r="B486" s="720" t="n">
        <v>45134</v>
      </c>
      <c r="C486" s="721" t="inlineStr">
        <is>
          <t>มัลติแบกซ์</t>
        </is>
      </c>
      <c r="D486" s="721" t="inlineStr">
        <is>
          <t>ท่าเรือแหลมฉบัง</t>
        </is>
      </c>
      <c r="E486" s="722" t="n">
        <v>3.6</v>
      </c>
      <c r="F486" s="719" t="inlineStr">
        <is>
          <t>Km</t>
        </is>
      </c>
      <c r="G486" s="719" t="inlineStr">
        <is>
          <t>รถเทรลเลอร์</t>
        </is>
      </c>
      <c r="H486" s="719" t="inlineStr">
        <is>
          <t>OSAKA, JAPAN</t>
        </is>
      </c>
      <c r="I486" s="724" t="n">
        <v>4220</v>
      </c>
      <c r="J486" s="723" t="inlineStr">
        <is>
          <t>Km</t>
        </is>
      </c>
      <c r="K486" s="725" t="n">
        <v>3830</v>
      </c>
      <c r="L486" s="740">
        <f>M486-K486</f>
        <v/>
      </c>
      <c r="M486" s="738" t="n">
        <v>15521.31</v>
      </c>
      <c r="N486" s="1773" t="n">
        <v>953.3200000000001</v>
      </c>
      <c r="O486" s="1762">
        <f>N486*E486/1000</f>
        <v/>
      </c>
      <c r="P486" s="1763">
        <f>O486/32</f>
        <v/>
      </c>
      <c r="Q486" s="1764">
        <f>N486*I486/1000</f>
        <v/>
      </c>
    </row>
    <row r="487" ht="15.75" customHeight="1">
      <c r="A487" s="728" t="inlineStr">
        <is>
          <t>FO23070067</t>
        </is>
      </c>
      <c r="B487" s="729" t="n">
        <v>45132</v>
      </c>
      <c r="C487" s="730" t="inlineStr">
        <is>
          <t>มัลติแบกซ์</t>
        </is>
      </c>
      <c r="D487" s="730" t="inlineStr">
        <is>
          <t>ท่าเรือแหลมฉบัง</t>
        </is>
      </c>
      <c r="E487" s="731" t="n">
        <v>7.1</v>
      </c>
      <c r="F487" s="728" t="inlineStr">
        <is>
          <t>Km</t>
        </is>
      </c>
      <c r="G487" s="728" t="inlineStr">
        <is>
          <t>รถเทรลเลอร์</t>
        </is>
      </c>
      <c r="H487" s="728" t="inlineStr">
        <is>
          <t>JACKSONVILLE IL, USA</t>
        </is>
      </c>
      <c r="I487" s="733" t="n">
        <v>15168</v>
      </c>
      <c r="J487" s="732" t="inlineStr">
        <is>
          <t>Km</t>
        </is>
      </c>
      <c r="K487" s="734" t="n">
        <v>3880</v>
      </c>
      <c r="L487" s="741">
        <f>M487-K487</f>
        <v/>
      </c>
      <c r="M487" s="739" t="n">
        <v>23739.6</v>
      </c>
      <c r="N487" s="1772" t="n">
        <v>16464</v>
      </c>
      <c r="O487" s="1762">
        <f>N487*E487/1000</f>
        <v/>
      </c>
      <c r="P487" s="1763">
        <f>O487/32</f>
        <v/>
      </c>
      <c r="Q487" s="1764">
        <f>N487*I487/1000</f>
        <v/>
      </c>
    </row>
    <row r="488" ht="15.75" customHeight="1">
      <c r="A488" s="719" t="inlineStr">
        <is>
          <t>FO23070068</t>
        </is>
      </c>
      <c r="B488" s="720" t="n">
        <v>45138</v>
      </c>
      <c r="C488" s="721" t="inlineStr">
        <is>
          <t>มัลติแบกซ์</t>
        </is>
      </c>
      <c r="D488" s="721" t="inlineStr">
        <is>
          <t>ท่าเรือแหลมฉบัง</t>
        </is>
      </c>
      <c r="E488" s="722" t="n">
        <v>7.1</v>
      </c>
      <c r="F488" s="719" t="inlineStr">
        <is>
          <t>Km</t>
        </is>
      </c>
      <c r="G488" s="719" t="inlineStr">
        <is>
          <t>รถเทรลเลอร์</t>
        </is>
      </c>
      <c r="H488" s="719" t="inlineStr">
        <is>
          <t>JACKSONVILLE IL, USA</t>
        </is>
      </c>
      <c r="I488" s="724" t="n">
        <v>15168</v>
      </c>
      <c r="J488" s="723" t="inlineStr">
        <is>
          <t>Km</t>
        </is>
      </c>
      <c r="K488" s="722" t="n">
        <v>3840</v>
      </c>
      <c r="L488" s="740">
        <f>M488-K488</f>
        <v/>
      </c>
      <c r="M488" s="722" t="n">
        <v>23699.6</v>
      </c>
      <c r="N488" s="1774" t="n">
        <v>16464</v>
      </c>
      <c r="O488" s="1762">
        <f>N488*E488/1000</f>
        <v/>
      </c>
      <c r="P488" s="1763">
        <f>O488/32</f>
        <v/>
      </c>
      <c r="Q488" s="1764">
        <f>N488*I488/1000</f>
        <v/>
      </c>
    </row>
    <row r="489" ht="15.75" customHeight="1">
      <c r="A489" s="728" t="inlineStr">
        <is>
          <t>FO23070069</t>
        </is>
      </c>
      <c r="B489" s="729" t="n">
        <v>45134</v>
      </c>
      <c r="C489" s="730" t="inlineStr">
        <is>
          <t>มัลติแบกซ์</t>
        </is>
      </c>
      <c r="D489" s="730" t="inlineStr">
        <is>
          <t>ท่าเรือแหลมฉบัง</t>
        </is>
      </c>
      <c r="E489" s="731" t="n">
        <v>7.1</v>
      </c>
      <c r="F489" s="728" t="inlineStr">
        <is>
          <t>Km</t>
        </is>
      </c>
      <c r="G489" s="728" t="inlineStr">
        <is>
          <t>รถเทรลเลอร์</t>
        </is>
      </c>
      <c r="H489" s="728" t="inlineStr">
        <is>
          <t>JACKSONVILLE IL, USA</t>
        </is>
      </c>
      <c r="I489" s="733" t="n">
        <v>15168</v>
      </c>
      <c r="J489" s="732" t="inlineStr">
        <is>
          <t>Km</t>
        </is>
      </c>
      <c r="K489" s="734" t="n">
        <v>3700</v>
      </c>
      <c r="L489" s="741">
        <f>M489-K489</f>
        <v/>
      </c>
      <c r="M489" s="739" t="n">
        <v>23559.6</v>
      </c>
      <c r="N489" s="1772" t="n">
        <v>16464</v>
      </c>
      <c r="O489" s="1762">
        <f>N489*E489/1000</f>
        <v/>
      </c>
      <c r="P489" s="1763">
        <f>O489/32</f>
        <v/>
      </c>
      <c r="Q489" s="1764">
        <f>N489*I489/1000</f>
        <v/>
      </c>
    </row>
    <row r="490" ht="15.75" customHeight="1">
      <c r="A490" s="719" t="inlineStr">
        <is>
          <t>FO23070070</t>
        </is>
      </c>
      <c r="B490" s="720" t="n">
        <v>45138</v>
      </c>
      <c r="C490" s="721" t="inlineStr">
        <is>
          <t>มัลติแบกซ์</t>
        </is>
      </c>
      <c r="D490" s="721" t="inlineStr">
        <is>
          <t>ท่าเรือแหลมฉบัง</t>
        </is>
      </c>
      <c r="E490" s="722" t="n">
        <v>7.1</v>
      </c>
      <c r="F490" s="719" t="inlineStr">
        <is>
          <t>Km</t>
        </is>
      </c>
      <c r="G490" s="719" t="inlineStr">
        <is>
          <t>รถเทรลเลอร์</t>
        </is>
      </c>
      <c r="H490" s="719" t="inlineStr">
        <is>
          <t>MELBOURNE, AUSTRALIA</t>
        </is>
      </c>
      <c r="I490" s="724" t="n">
        <v>7283</v>
      </c>
      <c r="J490" s="723" t="inlineStr">
        <is>
          <t>Km</t>
        </is>
      </c>
      <c r="K490" s="722" t="n">
        <v>3560</v>
      </c>
      <c r="L490" s="740">
        <f>M490-K490</f>
        <v/>
      </c>
      <c r="M490" s="722" t="n">
        <v>26442</v>
      </c>
      <c r="N490" s="1774" t="n">
        <v>19426</v>
      </c>
      <c r="O490" s="1762">
        <f>N490*E490/1000</f>
        <v/>
      </c>
      <c r="P490" s="1763">
        <f>O490/32</f>
        <v/>
      </c>
      <c r="Q490" s="1764">
        <f>N490*I490/1000</f>
        <v/>
      </c>
    </row>
    <row r="491" ht="15.75" customHeight="1">
      <c r="A491" s="728" t="inlineStr">
        <is>
          <t>FO23070071</t>
        </is>
      </c>
      <c r="B491" s="729" t="n">
        <v>45138</v>
      </c>
      <c r="C491" s="730" t="inlineStr">
        <is>
          <t>มัลติแบกซ์</t>
        </is>
      </c>
      <c r="D491" s="730" t="inlineStr">
        <is>
          <t>ท่าเรือแหลมฉบัง</t>
        </is>
      </c>
      <c r="E491" s="731" t="n">
        <v>7.1</v>
      </c>
      <c r="F491" s="728" t="inlineStr">
        <is>
          <t>Km</t>
        </is>
      </c>
      <c r="G491" s="728" t="inlineStr">
        <is>
          <t>รถเทรลเลอร์</t>
        </is>
      </c>
      <c r="H491" s="728" t="inlineStr">
        <is>
          <t>MELBOURNE, AUSTRALIA</t>
        </is>
      </c>
      <c r="I491" s="733" t="n">
        <v>7283</v>
      </c>
      <c r="J491" s="732" t="inlineStr">
        <is>
          <t>Km</t>
        </is>
      </c>
      <c r="K491" s="731" t="n">
        <v>3570</v>
      </c>
      <c r="L491" s="741">
        <f>M491-K491</f>
        <v/>
      </c>
      <c r="M491" s="731" t="n">
        <v>27547</v>
      </c>
      <c r="N491" s="1775" t="n">
        <v>21069</v>
      </c>
      <c r="O491" s="1762">
        <f>N491*E491/1000</f>
        <v/>
      </c>
      <c r="P491" s="1763">
        <f>O491/32</f>
        <v/>
      </c>
      <c r="Q491" s="1764">
        <f>N491*I491/1000</f>
        <v/>
      </c>
    </row>
    <row r="492" ht="15.75" customHeight="1">
      <c r="A492" s="719" t="inlineStr">
        <is>
          <t>FO23070072</t>
        </is>
      </c>
      <c r="B492" s="720" t="n">
        <v>45138</v>
      </c>
      <c r="C492" s="721" t="inlineStr">
        <is>
          <t>มัลติแบกซ์</t>
        </is>
      </c>
      <c r="D492" s="721" t="inlineStr">
        <is>
          <t>ท่าเรือแหลมฉบัง</t>
        </is>
      </c>
      <c r="E492" s="722" t="n">
        <v>7.1</v>
      </c>
      <c r="F492" s="719" t="inlineStr">
        <is>
          <t>Km</t>
        </is>
      </c>
      <c r="G492" s="719" t="inlineStr">
        <is>
          <t>รถเทรลเลอร์</t>
        </is>
      </c>
      <c r="H492" s="719" t="inlineStr">
        <is>
          <t>MELBOURNE, AUSTRALIA</t>
        </is>
      </c>
      <c r="I492" s="724" t="n">
        <v>7283</v>
      </c>
      <c r="J492" s="723" t="inlineStr">
        <is>
          <t>Km</t>
        </is>
      </c>
      <c r="K492" s="722" t="n">
        <v>3720</v>
      </c>
      <c r="L492" s="740">
        <f>M492-K492</f>
        <v/>
      </c>
      <c r="M492" s="722" t="n">
        <v>25172</v>
      </c>
      <c r="N492" s="1774" t="n">
        <v>12216</v>
      </c>
      <c r="O492" s="1762">
        <f>N492*E492/1000</f>
        <v/>
      </c>
      <c r="P492" s="1763">
        <f>O492/32</f>
        <v/>
      </c>
      <c r="Q492" s="1764">
        <f>N492*I492/1000</f>
        <v/>
      </c>
    </row>
    <row r="493" ht="15.75" customHeight="1">
      <c r="A493" s="728" t="inlineStr">
        <is>
          <t>FO23070073</t>
        </is>
      </c>
      <c r="B493" s="729" t="n">
        <v>45138</v>
      </c>
      <c r="C493" s="730" t="inlineStr">
        <is>
          <t>มัลติแบกซ์</t>
        </is>
      </c>
      <c r="D493" s="730" t="inlineStr">
        <is>
          <t>ท่าเรือแหลมฉบัง</t>
        </is>
      </c>
      <c r="E493" s="731" t="n">
        <v>5.2</v>
      </c>
      <c r="F493" s="728" t="inlineStr">
        <is>
          <t>Km</t>
        </is>
      </c>
      <c r="G493" s="728" t="inlineStr">
        <is>
          <t>รถเทรลเลอร์</t>
        </is>
      </c>
      <c r="H493" s="728" t="inlineStr">
        <is>
          <t>MANILA, PHILIPPINES</t>
        </is>
      </c>
      <c r="I493" s="733" t="n">
        <v>2167</v>
      </c>
      <c r="J493" s="732" t="inlineStr">
        <is>
          <t>Km</t>
        </is>
      </c>
      <c r="K493" s="734" t="n">
        <v>2200</v>
      </c>
      <c r="L493" s="741">
        <f>M493-K493</f>
        <v/>
      </c>
      <c r="M493" s="739" t="n">
        <v>6620.7</v>
      </c>
      <c r="N493" s="1772" t="n">
        <v>3087.3</v>
      </c>
      <c r="O493" s="1762">
        <f>N493*E493/1000</f>
        <v/>
      </c>
      <c r="P493" s="1763">
        <f>O493/32</f>
        <v/>
      </c>
      <c r="Q493" s="1764">
        <f>N493*I493/1000</f>
        <v/>
      </c>
    </row>
    <row r="494" ht="15.75" customHeight="1">
      <c r="A494" s="719" t="inlineStr">
        <is>
          <t>FO23070074</t>
        </is>
      </c>
      <c r="B494" s="720" t="n">
        <v>45138</v>
      </c>
      <c r="C494" s="721" t="inlineStr">
        <is>
          <t>มัลติแบกซ์</t>
        </is>
      </c>
      <c r="D494" s="721" t="inlineStr">
        <is>
          <t>ท่าเรือแหลมฉบัง</t>
        </is>
      </c>
      <c r="E494" s="722" t="n">
        <v>5.3</v>
      </c>
      <c r="F494" s="719" t="inlineStr">
        <is>
          <t>Km</t>
        </is>
      </c>
      <c r="G494" s="719" t="inlineStr">
        <is>
          <t>รถเทรลเลอร์</t>
        </is>
      </c>
      <c r="H494" s="719" t="inlineStr">
        <is>
          <t>NINGBO, CHINA</t>
        </is>
      </c>
      <c r="I494" s="724" t="n">
        <v>3824</v>
      </c>
      <c r="J494" s="723" t="inlineStr">
        <is>
          <t>Km</t>
        </is>
      </c>
      <c r="K494" s="725" t="n">
        <v>3640</v>
      </c>
      <c r="L494" s="740">
        <f>M494-K494</f>
        <v/>
      </c>
      <c r="M494" s="738" t="n">
        <v>13307.19</v>
      </c>
      <c r="N494" s="1773" t="n">
        <v>7317.36</v>
      </c>
      <c r="O494" s="1762">
        <f>N494*E494/1000</f>
        <v/>
      </c>
      <c r="P494" s="1763">
        <f>O494/32</f>
        <v/>
      </c>
      <c r="Q494" s="1764">
        <f>N494*I494/1000</f>
        <v/>
      </c>
    </row>
    <row r="495" ht="15.75" customHeight="1">
      <c r="A495" s="728" t="inlineStr">
        <is>
          <t>FO23070075</t>
        </is>
      </c>
      <c r="B495" s="729" t="n">
        <v>45133</v>
      </c>
      <c r="C495" s="730" t="inlineStr">
        <is>
          <t>มัลติแบกซ์</t>
        </is>
      </c>
      <c r="D495" s="730" t="inlineStr">
        <is>
          <t>ท่าเรือแหลมฉบัง</t>
        </is>
      </c>
      <c r="E495" s="731" t="n">
        <v>7.1</v>
      </c>
      <c r="F495" s="728" t="inlineStr">
        <is>
          <t>Km</t>
        </is>
      </c>
      <c r="G495" s="728" t="inlineStr">
        <is>
          <t>รถเทรลเลอร์</t>
        </is>
      </c>
      <c r="H495" s="728" t="inlineStr">
        <is>
          <t>UNIVERSITY PARK IL, USA</t>
        </is>
      </c>
      <c r="I495" s="733" t="n">
        <v>13877</v>
      </c>
      <c r="J495" s="732" t="inlineStr">
        <is>
          <t>Km</t>
        </is>
      </c>
      <c r="K495" s="734" t="n">
        <v>3770</v>
      </c>
      <c r="L495" s="741">
        <f>M495-K495</f>
        <v/>
      </c>
      <c r="M495" s="739" t="n">
        <v>13959.8</v>
      </c>
      <c r="N495" s="1772" t="n">
        <v>7660</v>
      </c>
      <c r="O495" s="1762">
        <f>N495*E495/1000</f>
        <v/>
      </c>
      <c r="P495" s="1763">
        <f>O495/32</f>
        <v/>
      </c>
      <c r="Q495" s="1764">
        <f>N495*I495/1000</f>
        <v/>
      </c>
    </row>
    <row r="496" ht="15.75" customHeight="1">
      <c r="A496" s="719" t="inlineStr">
        <is>
          <t>FO23070076</t>
        </is>
      </c>
      <c r="B496" s="720" t="n">
        <v>45133</v>
      </c>
      <c r="C496" s="721" t="inlineStr">
        <is>
          <t>มัลติแบกซ์</t>
        </is>
      </c>
      <c r="D496" s="721" t="inlineStr">
        <is>
          <t>ท่าเรือแหลมฉบัง</t>
        </is>
      </c>
      <c r="E496" s="722" t="n">
        <v>7.1</v>
      </c>
      <c r="F496" s="719" t="inlineStr">
        <is>
          <t>Km</t>
        </is>
      </c>
      <c r="G496" s="719" t="inlineStr">
        <is>
          <t>รถเทรลเลอร์</t>
        </is>
      </c>
      <c r="H496" s="719" t="inlineStr">
        <is>
          <t>UNIVERSITY PARK IL, USA</t>
        </is>
      </c>
      <c r="I496" s="724" t="n">
        <v>13877</v>
      </c>
      <c r="J496" s="723" t="inlineStr">
        <is>
          <t>Km</t>
        </is>
      </c>
      <c r="K496" s="725" t="n">
        <v>3700</v>
      </c>
      <c r="L496" s="740">
        <f>M496-K496</f>
        <v/>
      </c>
      <c r="M496" s="738" t="n">
        <v>15714</v>
      </c>
      <c r="N496" s="1773" t="n">
        <v>8988</v>
      </c>
      <c r="O496" s="1762">
        <f>N496*E496/1000</f>
        <v/>
      </c>
      <c r="P496" s="1763">
        <f>O496/32</f>
        <v/>
      </c>
      <c r="Q496" s="1764">
        <f>N496*I496/1000</f>
        <v/>
      </c>
    </row>
    <row r="497" ht="15.75" customHeight="1">
      <c r="A497" s="728" t="inlineStr">
        <is>
          <t>FO23070077</t>
        </is>
      </c>
      <c r="B497" s="729" t="n">
        <v>45133</v>
      </c>
      <c r="C497" s="730" t="inlineStr">
        <is>
          <t>มัลติแบกซ์</t>
        </is>
      </c>
      <c r="D497" s="730" t="inlineStr">
        <is>
          <t>ท่าเรือแหลมฉบัง</t>
        </is>
      </c>
      <c r="E497" s="731" t="n">
        <v>7.1</v>
      </c>
      <c r="F497" s="728" t="inlineStr">
        <is>
          <t>Km</t>
        </is>
      </c>
      <c r="G497" s="728" t="inlineStr">
        <is>
          <t>รถเทรลเลอร์</t>
        </is>
      </c>
      <c r="H497" s="728" t="inlineStr">
        <is>
          <t>UNIVERSITY PARK IL, USA</t>
        </is>
      </c>
      <c r="I497" s="733" t="n">
        <v>13877</v>
      </c>
      <c r="J497" s="732" t="inlineStr">
        <is>
          <t>Km</t>
        </is>
      </c>
      <c r="K497" s="734" t="n">
        <v>3770</v>
      </c>
      <c r="L497" s="741">
        <f>M497-K497</f>
        <v/>
      </c>
      <c r="M497" s="739" t="n">
        <v>14496</v>
      </c>
      <c r="N497" s="1772" t="n">
        <v>8196.200000000001</v>
      </c>
      <c r="O497" s="1762">
        <f>N497*E497/1000</f>
        <v/>
      </c>
      <c r="P497" s="1763">
        <f>O497/32</f>
        <v/>
      </c>
      <c r="Q497" s="1764">
        <f>N497*I497/1000</f>
        <v/>
      </c>
    </row>
    <row r="498" ht="15.75" customHeight="1">
      <c r="A498" s="719" t="inlineStr">
        <is>
          <t>FO23070078</t>
        </is>
      </c>
      <c r="B498" s="720" t="n">
        <v>45133</v>
      </c>
      <c r="C498" s="721" t="inlineStr">
        <is>
          <t>มัลติแบกซ์</t>
        </is>
      </c>
      <c r="D498" s="721" t="inlineStr">
        <is>
          <t>ท่าเรือแหลมฉบัง</t>
        </is>
      </c>
      <c r="E498" s="722" t="n">
        <v>7.1</v>
      </c>
      <c r="F498" s="719" t="inlineStr">
        <is>
          <t>Km</t>
        </is>
      </c>
      <c r="G498" s="719" t="inlineStr">
        <is>
          <t>รถเทรลเลอร์</t>
        </is>
      </c>
      <c r="H498" s="719" t="inlineStr">
        <is>
          <t>UNIVERSITY PARK IL, USA</t>
        </is>
      </c>
      <c r="I498" s="724" t="n">
        <v>13877</v>
      </c>
      <c r="J498" s="723" t="inlineStr">
        <is>
          <t>Km</t>
        </is>
      </c>
      <c r="K498" s="725" t="n">
        <v>3700</v>
      </c>
      <c r="L498" s="740">
        <f>M498-K498</f>
        <v/>
      </c>
      <c r="M498" s="738" t="n">
        <v>13889.8</v>
      </c>
      <c r="N498" s="1773" t="n">
        <v>7660</v>
      </c>
      <c r="O498" s="1762">
        <f>N498*E498/1000</f>
        <v/>
      </c>
      <c r="P498" s="1763">
        <f>O498/32</f>
        <v/>
      </c>
      <c r="Q498" s="1764">
        <f>N498*I498/1000</f>
        <v/>
      </c>
    </row>
    <row r="499" ht="15.75" customHeight="1">
      <c r="A499" s="728" t="inlineStr">
        <is>
          <t>FO23070079</t>
        </is>
      </c>
      <c r="B499" s="729" t="n">
        <v>45136</v>
      </c>
      <c r="C499" s="730" t="inlineStr">
        <is>
          <t>มัลติแบกซ์</t>
        </is>
      </c>
      <c r="D499" s="730" t="inlineStr">
        <is>
          <t>ท่าเรือแหลมฉบัง</t>
        </is>
      </c>
      <c r="E499" s="731" t="n">
        <v>7.5</v>
      </c>
      <c r="F499" s="728" t="inlineStr">
        <is>
          <t>Km</t>
        </is>
      </c>
      <c r="G499" s="728" t="inlineStr">
        <is>
          <t>รถเทรลเลอร์</t>
        </is>
      </c>
      <c r="H499" s="728" t="inlineStr">
        <is>
          <t>SINGAPORE</t>
        </is>
      </c>
      <c r="I499" s="733" t="n">
        <v>1931</v>
      </c>
      <c r="J499" s="732" t="inlineStr">
        <is>
          <t>Km</t>
        </is>
      </c>
      <c r="K499" s="734" t="n">
        <v>4542.6</v>
      </c>
      <c r="L499" s="741">
        <f>M499-K499</f>
        <v/>
      </c>
      <c r="M499" s="739" t="n">
        <v>5539</v>
      </c>
      <c r="N499" s="1772" t="n">
        <v>4542.6</v>
      </c>
      <c r="O499" s="1762">
        <f>N499*E499/1000</f>
        <v/>
      </c>
      <c r="P499" s="1763">
        <f>O499/32</f>
        <v/>
      </c>
      <c r="Q499" s="1764">
        <f>N499*I499/1000</f>
        <v/>
      </c>
    </row>
    <row r="500" ht="15.75" customHeight="1">
      <c r="A500" s="719" t="inlineStr">
        <is>
          <t>FO23080001</t>
        </is>
      </c>
      <c r="B500" s="720" t="n">
        <v>45147</v>
      </c>
      <c r="C500" s="721" t="inlineStr">
        <is>
          <t>มัลติแบกซ์</t>
        </is>
      </c>
      <c r="D500" s="721" t="inlineStr">
        <is>
          <t>ท่าเรือแหลมฉบัง</t>
        </is>
      </c>
      <c r="E500" s="722" t="n">
        <v>7.1</v>
      </c>
      <c r="F500" s="719" t="inlineStr">
        <is>
          <t>Km</t>
        </is>
      </c>
      <c r="G500" s="719" t="inlineStr">
        <is>
          <t>รถเทรลเลอร์</t>
        </is>
      </c>
      <c r="H500" s="719" t="inlineStr">
        <is>
          <t>AUCKLAND, NEW ZEALAND</t>
        </is>
      </c>
      <c r="I500" s="724" t="n">
        <v>9486</v>
      </c>
      <c r="J500" s="723" t="inlineStr">
        <is>
          <t>Km</t>
        </is>
      </c>
      <c r="K500" s="725" t="n">
        <v>3770</v>
      </c>
      <c r="L500" s="740">
        <f>M500-K500</f>
        <v/>
      </c>
      <c r="M500" s="738" t="n">
        <v>21296.45</v>
      </c>
      <c r="N500" s="1773" t="n">
        <v>14137.8</v>
      </c>
      <c r="O500" s="1762">
        <f>N500*E500/1000</f>
        <v/>
      </c>
      <c r="P500" s="1763">
        <f>O500/32</f>
        <v/>
      </c>
      <c r="Q500" s="1764">
        <f>N500*I500/1000</f>
        <v/>
      </c>
    </row>
    <row r="501" ht="15.75" customHeight="1">
      <c r="A501" s="728" t="inlineStr">
        <is>
          <t>FO23080002</t>
        </is>
      </c>
      <c r="B501" s="729" t="n">
        <v>45147</v>
      </c>
      <c r="C501" s="730" t="inlineStr">
        <is>
          <t>มัลติแบกซ์</t>
        </is>
      </c>
      <c r="D501" s="730" t="inlineStr">
        <is>
          <t>ท่าเรือแหลมฉบัง</t>
        </is>
      </c>
      <c r="E501" s="731" t="n">
        <v>7.1</v>
      </c>
      <c r="F501" s="728" t="inlineStr">
        <is>
          <t>Km</t>
        </is>
      </c>
      <c r="G501" s="728" t="inlineStr">
        <is>
          <t>รถเทรลเลอร์</t>
        </is>
      </c>
      <c r="H501" s="728" t="inlineStr">
        <is>
          <t>AUCKLAND, NEW ZEALAND</t>
        </is>
      </c>
      <c r="I501" s="733" t="n">
        <v>9486</v>
      </c>
      <c r="J501" s="732" t="inlineStr">
        <is>
          <t>Km</t>
        </is>
      </c>
      <c r="K501" s="734" t="n">
        <v>3840</v>
      </c>
      <c r="L501" s="741">
        <f>M501-K501</f>
        <v/>
      </c>
      <c r="M501" s="739" t="n">
        <v>19267.85</v>
      </c>
      <c r="N501" s="1772" t="n">
        <v>10317.65</v>
      </c>
      <c r="O501" s="1762">
        <f>N501*E501/1000</f>
        <v/>
      </c>
      <c r="P501" s="1763">
        <f>O501/32</f>
        <v/>
      </c>
      <c r="Q501" s="1764">
        <f>N501*I501/1000</f>
        <v/>
      </c>
    </row>
    <row r="502" ht="15.75" customHeight="1">
      <c r="A502" s="719" t="inlineStr">
        <is>
          <t>FO23080003</t>
        </is>
      </c>
      <c r="B502" s="720" t="n">
        <v>45147</v>
      </c>
      <c r="C502" s="721" t="inlineStr">
        <is>
          <t>มัลติแบกซ์</t>
        </is>
      </c>
      <c r="D502" s="721" t="inlineStr">
        <is>
          <t>ท่าเรือแหลมฉบัง</t>
        </is>
      </c>
      <c r="E502" s="722" t="n">
        <v>7.1</v>
      </c>
      <c r="F502" s="719" t="inlineStr">
        <is>
          <t>Km</t>
        </is>
      </c>
      <c r="G502" s="719" t="inlineStr">
        <is>
          <t>รถเทรลเลอร์</t>
        </is>
      </c>
      <c r="H502" s="719" t="inlineStr">
        <is>
          <t>AUCKLAND, NEW ZEALAND</t>
        </is>
      </c>
      <c r="I502" s="724" t="n">
        <v>9486</v>
      </c>
      <c r="J502" s="723" t="inlineStr">
        <is>
          <t>Km</t>
        </is>
      </c>
      <c r="K502" s="725" t="n">
        <v>3900</v>
      </c>
      <c r="L502" s="740">
        <f>M502-K502</f>
        <v/>
      </c>
      <c r="M502" s="738" t="n">
        <v>20271.2</v>
      </c>
      <c r="N502" s="1773" t="n">
        <v>12349.95</v>
      </c>
      <c r="O502" s="1762">
        <f>N502*E502/1000</f>
        <v/>
      </c>
      <c r="P502" s="1763">
        <f>O502/32</f>
        <v/>
      </c>
      <c r="Q502" s="1764">
        <f>N502*I502/1000</f>
        <v/>
      </c>
    </row>
    <row r="503" ht="15.75" customHeight="1">
      <c r="A503" s="728" t="inlineStr">
        <is>
          <t>FO23080004</t>
        </is>
      </c>
      <c r="B503" s="729" t="n">
        <v>45141</v>
      </c>
      <c r="C503" s="730" t="inlineStr">
        <is>
          <t>มัลติแบกซ์</t>
        </is>
      </c>
      <c r="D503" s="730" t="inlineStr">
        <is>
          <t>ท่าเรือแหลมฉบัง</t>
        </is>
      </c>
      <c r="E503" s="731" t="n">
        <v>6</v>
      </c>
      <c r="F503" s="728" t="inlineStr">
        <is>
          <t>Km</t>
        </is>
      </c>
      <c r="G503" s="728" t="inlineStr">
        <is>
          <t>รถเทรลเลอร์</t>
        </is>
      </c>
      <c r="H503" s="728" t="inlineStr">
        <is>
          <t>KLANG, MALAYSIA</t>
        </is>
      </c>
      <c r="I503" s="733" t="n">
        <v>1588</v>
      </c>
      <c r="J503" s="732" t="inlineStr">
        <is>
          <t>Km</t>
        </is>
      </c>
      <c r="K503" s="734" t="n">
        <v>2100</v>
      </c>
      <c r="L503" s="741">
        <f>M503-K503</f>
        <v/>
      </c>
      <c r="M503" s="739" t="n">
        <v>6400.8</v>
      </c>
      <c r="N503" s="1772" t="n">
        <v>2998.8</v>
      </c>
      <c r="O503" s="1762">
        <f>N503*E503/1000</f>
        <v/>
      </c>
      <c r="P503" s="1763">
        <f>O503/32</f>
        <v/>
      </c>
      <c r="Q503" s="1764">
        <f>N503*I503/1000</f>
        <v/>
      </c>
    </row>
    <row r="504" ht="15.75" customHeight="1">
      <c r="A504" s="719" t="inlineStr">
        <is>
          <t>FO23080005</t>
        </is>
      </c>
      <c r="B504" s="720" t="n">
        <v>45140</v>
      </c>
      <c r="C504" s="721" t="inlineStr">
        <is>
          <t>มัลติแบกซ์</t>
        </is>
      </c>
      <c r="D504" s="721" t="inlineStr">
        <is>
          <t>ท่าเรือแหลมฉบัง</t>
        </is>
      </c>
      <c r="E504" s="722" t="n">
        <v>6.2</v>
      </c>
      <c r="F504" s="721" t="inlineStr">
        <is>
          <t>Km</t>
        </is>
      </c>
      <c r="G504" s="721" t="inlineStr">
        <is>
          <t>รถเทรลเลอร์</t>
        </is>
      </c>
      <c r="H504" s="719" t="inlineStr">
        <is>
          <t>LOUISVILLE KY, USA</t>
        </is>
      </c>
      <c r="I504" s="724" t="n">
        <v>14253</v>
      </c>
      <c r="J504" s="750" t="inlineStr">
        <is>
          <t>Km</t>
        </is>
      </c>
      <c r="K504" s="725" t="n">
        <v>3850</v>
      </c>
      <c r="L504" s="740">
        <f>M504-K504</f>
        <v/>
      </c>
      <c r="M504" s="738" t="n">
        <v>14957.99</v>
      </c>
      <c r="N504" s="1773" t="n">
        <v>8287.440000000001</v>
      </c>
      <c r="O504" s="1762">
        <f>N504*E504/1000</f>
        <v/>
      </c>
      <c r="P504" s="1763">
        <f>O504/32</f>
        <v/>
      </c>
      <c r="Q504" s="1764">
        <f>N504*I504/1000</f>
        <v/>
      </c>
    </row>
    <row r="505" ht="15.75" customHeight="1">
      <c r="A505" s="728" t="inlineStr">
        <is>
          <t>FO23080006</t>
        </is>
      </c>
      <c r="B505" s="729" t="n">
        <v>45147</v>
      </c>
      <c r="C505" s="730" t="inlineStr">
        <is>
          <t>มัลติแบกซ์</t>
        </is>
      </c>
      <c r="D505" s="730" t="inlineStr">
        <is>
          <t>ท่าเรือแหลมฉบัง</t>
        </is>
      </c>
      <c r="E505" s="731" t="n">
        <v>5.3</v>
      </c>
      <c r="F505" s="728" t="inlineStr">
        <is>
          <t>Km</t>
        </is>
      </c>
      <c r="G505" s="728" t="inlineStr">
        <is>
          <t>รถเทรลเลอร์</t>
        </is>
      </c>
      <c r="H505" s="728" t="inlineStr">
        <is>
          <t>HONG KONG</t>
        </is>
      </c>
      <c r="I505" s="733" t="n">
        <v>1734</v>
      </c>
      <c r="J505" s="732" t="inlineStr">
        <is>
          <t>Km</t>
        </is>
      </c>
      <c r="K505" s="734" t="n">
        <v>3640</v>
      </c>
      <c r="L505" s="741">
        <f>M505-K505</f>
        <v/>
      </c>
      <c r="M505" s="739" t="n">
        <v>15537.5</v>
      </c>
      <c r="N505" s="1772" t="n">
        <v>9099.5</v>
      </c>
      <c r="O505" s="1762">
        <f>N505*E505/1000</f>
        <v/>
      </c>
      <c r="P505" s="1763">
        <f>O505/32</f>
        <v/>
      </c>
      <c r="Q505" s="1764">
        <f>N505*I505/1000</f>
        <v/>
      </c>
    </row>
    <row r="506" ht="15.75" customHeight="1">
      <c r="A506" s="719" t="inlineStr">
        <is>
          <t>FO23080007</t>
        </is>
      </c>
      <c r="B506" s="720" t="n">
        <v>45146</v>
      </c>
      <c r="C506" s="721" t="inlineStr">
        <is>
          <t>มัลติแบกซ์</t>
        </is>
      </c>
      <c r="D506" s="721" t="inlineStr">
        <is>
          <t>ท่าเรือแหลมฉบัง</t>
        </is>
      </c>
      <c r="E506" s="722" t="n">
        <v>5.9</v>
      </c>
      <c r="F506" s="719" t="inlineStr">
        <is>
          <t>Km</t>
        </is>
      </c>
      <c r="G506" s="719" t="inlineStr">
        <is>
          <t>รถเทรลเลอร์</t>
        </is>
      </c>
      <c r="H506" s="719" t="inlineStr">
        <is>
          <t>SHUWAIKH, KUWAIT</t>
        </is>
      </c>
      <c r="I506" s="724" t="n">
        <v>5727</v>
      </c>
      <c r="J506" s="723" t="inlineStr">
        <is>
          <t>Km</t>
        </is>
      </c>
      <c r="K506" s="725" t="n">
        <v>2100</v>
      </c>
      <c r="L506" s="740">
        <f>M506-K506</f>
        <v/>
      </c>
      <c r="M506" s="738" t="n">
        <v>6149.02</v>
      </c>
      <c r="N506" s="1773" t="n">
        <v>2975.58</v>
      </c>
      <c r="O506" s="1762">
        <f>N506*E506/1000</f>
        <v/>
      </c>
      <c r="P506" s="1763">
        <f>O506/32</f>
        <v/>
      </c>
      <c r="Q506" s="1764">
        <f>N506*I506/1000</f>
        <v/>
      </c>
    </row>
    <row r="507" ht="15.75" customHeight="1">
      <c r="A507" s="728" t="inlineStr">
        <is>
          <t>FO23080008</t>
        </is>
      </c>
      <c r="B507" s="729" t="n">
        <v>45141</v>
      </c>
      <c r="C507" s="730" t="inlineStr">
        <is>
          <t>มัลติแบกซ์</t>
        </is>
      </c>
      <c r="D507" s="730" t="inlineStr">
        <is>
          <t>ท่าเรือแหลมฉบัง</t>
        </is>
      </c>
      <c r="E507" s="731" t="n">
        <v>7.1</v>
      </c>
      <c r="F507" s="728" t="inlineStr">
        <is>
          <t>Km</t>
        </is>
      </c>
      <c r="G507" s="728" t="inlineStr">
        <is>
          <t>รถเทรลเลอร์</t>
        </is>
      </c>
      <c r="H507" s="728" t="inlineStr">
        <is>
          <t>UK PORT</t>
        </is>
      </c>
      <c r="I507" s="733" t="n">
        <v>9687</v>
      </c>
      <c r="J507" s="732" t="inlineStr">
        <is>
          <t>Km</t>
        </is>
      </c>
      <c r="K507" s="734" t="n">
        <v>3700</v>
      </c>
      <c r="L507" s="741">
        <f>M507-K507</f>
        <v/>
      </c>
      <c r="M507" s="739" t="n">
        <v>23577.3</v>
      </c>
      <c r="N507" s="1772" t="n">
        <v>18582.3</v>
      </c>
      <c r="O507" s="1762">
        <f>N507*E507/1000</f>
        <v/>
      </c>
      <c r="P507" s="1763">
        <f>O507/32</f>
        <v/>
      </c>
      <c r="Q507" s="1764">
        <f>N507*I507/1000</f>
        <v/>
      </c>
    </row>
    <row r="508" ht="15.75" customHeight="1">
      <c r="A508" s="719" t="inlineStr">
        <is>
          <t>FO23080009</t>
        </is>
      </c>
      <c r="B508" s="720" t="n">
        <v>45145</v>
      </c>
      <c r="C508" s="721" t="inlineStr">
        <is>
          <t>มัลติแบกซ์</t>
        </is>
      </c>
      <c r="D508" s="721" t="inlineStr">
        <is>
          <t>ท่าเรือแหลมฉบัง</t>
        </is>
      </c>
      <c r="E508" s="722" t="n">
        <v>11.7</v>
      </c>
      <c r="F508" s="719" t="inlineStr">
        <is>
          <t>Km</t>
        </is>
      </c>
      <c r="G508" s="719" t="inlineStr">
        <is>
          <t>รถเทรลเลอร์</t>
        </is>
      </c>
      <c r="H508" s="719" t="inlineStr">
        <is>
          <t>SINGAPORE</t>
        </is>
      </c>
      <c r="I508" s="724" t="n">
        <v>1931</v>
      </c>
      <c r="J508" s="723" t="inlineStr">
        <is>
          <t>Km</t>
        </is>
      </c>
      <c r="K508" s="725" t="n">
        <v>5473</v>
      </c>
      <c r="L508" s="740">
        <f>M508-K508</f>
        <v/>
      </c>
      <c r="M508" s="738" t="n">
        <v>6482</v>
      </c>
      <c r="N508" s="1773" t="n">
        <v>5473</v>
      </c>
      <c r="O508" s="1762">
        <f>N508*E508/1000</f>
        <v/>
      </c>
      <c r="P508" s="1763">
        <f>O508/32</f>
        <v/>
      </c>
      <c r="Q508" s="1764">
        <f>N508*I508/1000</f>
        <v/>
      </c>
    </row>
    <row r="509" ht="15.75" customHeight="1">
      <c r="A509" s="728" t="inlineStr">
        <is>
          <t>FO23080010</t>
        </is>
      </c>
      <c r="B509" s="729" t="n">
        <v>45141</v>
      </c>
      <c r="C509" s="730" t="inlineStr">
        <is>
          <t>มัลติแบกซ์</t>
        </is>
      </c>
      <c r="D509" s="730" t="inlineStr">
        <is>
          <t>ท่าเรือแหลมฉบัง</t>
        </is>
      </c>
      <c r="E509" s="731" t="n">
        <v>7.1</v>
      </c>
      <c r="F509" s="728" t="inlineStr">
        <is>
          <t>Km</t>
        </is>
      </c>
      <c r="G509" s="728" t="inlineStr">
        <is>
          <t>รถเทรลเลอร์</t>
        </is>
      </c>
      <c r="H509" s="728" t="inlineStr">
        <is>
          <t>UNIVERSITY PARK IL, USA</t>
        </is>
      </c>
      <c r="I509" s="733" t="n">
        <v>13877</v>
      </c>
      <c r="J509" s="732" t="inlineStr">
        <is>
          <t>Km</t>
        </is>
      </c>
      <c r="K509" s="734" t="n">
        <v>3840</v>
      </c>
      <c r="L509" s="741">
        <f>M509-K509</f>
        <v/>
      </c>
      <c r="M509" s="739" t="n">
        <v>23439.5</v>
      </c>
      <c r="N509" s="1772" t="n">
        <v>15795</v>
      </c>
      <c r="O509" s="1762">
        <f>N509*E509/1000</f>
        <v/>
      </c>
      <c r="P509" s="1763">
        <f>O509/32</f>
        <v/>
      </c>
      <c r="Q509" s="1764">
        <f>N509*I509/1000</f>
        <v/>
      </c>
    </row>
    <row r="510" ht="15.75" customHeight="1">
      <c r="A510" s="719" t="inlineStr">
        <is>
          <t>FO23080011</t>
        </is>
      </c>
      <c r="B510" s="720" t="n">
        <v>45141</v>
      </c>
      <c r="C510" s="721" t="inlineStr">
        <is>
          <t>มัลติแบกซ์</t>
        </is>
      </c>
      <c r="D510" s="721" t="inlineStr">
        <is>
          <t>ท่าเรือแหลมฉบัง</t>
        </is>
      </c>
      <c r="E510" s="722" t="n">
        <v>7.1</v>
      </c>
      <c r="F510" s="719" t="inlineStr">
        <is>
          <t>Km</t>
        </is>
      </c>
      <c r="G510" s="719" t="inlineStr">
        <is>
          <t>รถเทรลเลอร์</t>
        </is>
      </c>
      <c r="H510" s="719" t="inlineStr">
        <is>
          <t>UNIVERSITY PARK IL, USA</t>
        </is>
      </c>
      <c r="I510" s="724" t="n">
        <v>13877</v>
      </c>
      <c r="J510" s="723" t="inlineStr">
        <is>
          <t>Km</t>
        </is>
      </c>
      <c r="K510" s="725" t="n">
        <v>3840</v>
      </c>
      <c r="L510" s="740">
        <f>M510-K510</f>
        <v/>
      </c>
      <c r="M510" s="738" t="n">
        <v>14029.8</v>
      </c>
      <c r="N510" s="1773" t="n">
        <v>7660</v>
      </c>
      <c r="O510" s="1762">
        <f>N510*E510/1000</f>
        <v/>
      </c>
      <c r="P510" s="1763">
        <f>O510/32</f>
        <v/>
      </c>
      <c r="Q510" s="1764">
        <f>N510*I510/1000</f>
        <v/>
      </c>
    </row>
    <row r="511" ht="15.75" customHeight="1">
      <c r="A511" s="728" t="inlineStr">
        <is>
          <t>FO23080012</t>
        </is>
      </c>
      <c r="B511" s="729" t="n">
        <v>45145</v>
      </c>
      <c r="C511" s="730" t="inlineStr">
        <is>
          <t>มัลติแบกซ์</t>
        </is>
      </c>
      <c r="D511" s="730" t="inlineStr">
        <is>
          <t>ท่าเรือแหลมฉบัง</t>
        </is>
      </c>
      <c r="E511" s="731" t="n">
        <v>7.1</v>
      </c>
      <c r="F511" s="728" t="inlineStr">
        <is>
          <t>Km</t>
        </is>
      </c>
      <c r="G511" s="728" t="inlineStr">
        <is>
          <t>รถเทรลเลอร์</t>
        </is>
      </c>
      <c r="H511" s="728" t="inlineStr">
        <is>
          <t>UNIVERSITY PARK IL, USA</t>
        </is>
      </c>
      <c r="I511" s="733" t="n">
        <v>13877</v>
      </c>
      <c r="J511" s="732" t="inlineStr">
        <is>
          <t>Km</t>
        </is>
      </c>
      <c r="K511" s="734" t="n">
        <v>3840</v>
      </c>
      <c r="L511" s="741">
        <f>M511-K511</f>
        <v/>
      </c>
      <c r="M511" s="739" t="n">
        <v>15854</v>
      </c>
      <c r="N511" s="1772" t="n">
        <v>8988</v>
      </c>
      <c r="O511" s="1762">
        <f>N511*E511/1000</f>
        <v/>
      </c>
      <c r="P511" s="1763">
        <f>O511/32</f>
        <v/>
      </c>
      <c r="Q511" s="1764">
        <f>N511*I511/1000</f>
        <v/>
      </c>
    </row>
    <row r="512" ht="15.75" customHeight="1">
      <c r="A512" s="719" t="inlineStr">
        <is>
          <t>FO23080013</t>
        </is>
      </c>
      <c r="B512" s="720" t="n">
        <v>45141</v>
      </c>
      <c r="C512" s="721" t="inlineStr">
        <is>
          <t>มัลติแบกซ์</t>
        </is>
      </c>
      <c r="D512" s="721" t="inlineStr">
        <is>
          <t>ท่าเรือแหลมฉบัง</t>
        </is>
      </c>
      <c r="E512" s="722" t="n">
        <v>7.1</v>
      </c>
      <c r="F512" s="719" t="inlineStr">
        <is>
          <t>Km</t>
        </is>
      </c>
      <c r="G512" s="719" t="inlineStr">
        <is>
          <t>รถเทรลเลอร์</t>
        </is>
      </c>
      <c r="H512" s="719" t="inlineStr">
        <is>
          <t>UNIVERSITY PARK IL, USA</t>
        </is>
      </c>
      <c r="I512" s="724" t="n">
        <v>13877</v>
      </c>
      <c r="J512" s="723" t="inlineStr">
        <is>
          <t>Km</t>
        </is>
      </c>
      <c r="K512" s="725" t="n">
        <v>3700</v>
      </c>
      <c r="L512" s="740">
        <f>M512-K512</f>
        <v/>
      </c>
      <c r="M512" s="738" t="n">
        <v>14426</v>
      </c>
      <c r="N512" s="1773" t="n">
        <v>8196.200000000001</v>
      </c>
      <c r="O512" s="1762">
        <f>N512*E512/1000</f>
        <v/>
      </c>
      <c r="P512" s="1763">
        <f>O512/32</f>
        <v/>
      </c>
      <c r="Q512" s="1764">
        <f>N512*I512/1000</f>
        <v/>
      </c>
    </row>
    <row r="513" ht="15.75" customHeight="1">
      <c r="A513" s="728" t="inlineStr">
        <is>
          <t>FO23080014</t>
        </is>
      </c>
      <c r="B513" s="729" t="n">
        <v>45148</v>
      </c>
      <c r="C513" s="730" t="inlineStr">
        <is>
          <t>มัลติแบกซ์</t>
        </is>
      </c>
      <c r="D513" s="730" t="inlineStr">
        <is>
          <t>ท่าเรือแหลมฉบัง</t>
        </is>
      </c>
      <c r="E513" s="731" t="n">
        <v>6.2</v>
      </c>
      <c r="F513" s="728" t="inlineStr">
        <is>
          <t>Km</t>
        </is>
      </c>
      <c r="G513" s="728" t="inlineStr">
        <is>
          <t>รถเทรลเลอร์</t>
        </is>
      </c>
      <c r="H513" s="728" t="inlineStr">
        <is>
          <t>SANTA TERESA, NM USA</t>
        </is>
      </c>
      <c r="I513" s="733" t="n">
        <v>17387</v>
      </c>
      <c r="J513" s="732" t="inlineStr">
        <is>
          <t>Km</t>
        </is>
      </c>
      <c r="K513" s="734" t="n">
        <v>3900</v>
      </c>
      <c r="L513" s="741">
        <f>M513-K513</f>
        <v/>
      </c>
      <c r="M513" s="739" t="n">
        <v>21910</v>
      </c>
      <c r="N513" s="1772" t="n">
        <v>15567.88</v>
      </c>
      <c r="O513" s="1762">
        <f>N513*E513/1000</f>
        <v/>
      </c>
      <c r="P513" s="1763">
        <f>O513/32</f>
        <v/>
      </c>
      <c r="Q513" s="1764">
        <f>N513*I513/1000</f>
        <v/>
      </c>
    </row>
    <row r="514" ht="15.75" customHeight="1">
      <c r="A514" s="719" t="inlineStr">
        <is>
          <t>FO23080015</t>
        </is>
      </c>
      <c r="B514" s="720" t="n">
        <v>45148</v>
      </c>
      <c r="C514" s="721" t="inlineStr">
        <is>
          <t>มัลติแบกซ์</t>
        </is>
      </c>
      <c r="D514" s="721" t="inlineStr">
        <is>
          <t>ท่าเรือแหลมฉบัง</t>
        </is>
      </c>
      <c r="E514" s="722" t="n">
        <v>6.2</v>
      </c>
      <c r="F514" s="719" t="inlineStr">
        <is>
          <t>Km</t>
        </is>
      </c>
      <c r="G514" s="719" t="inlineStr">
        <is>
          <t>รถเทรลเลอร์</t>
        </is>
      </c>
      <c r="H514" s="719" t="inlineStr">
        <is>
          <t>SANTA TERESA, NM USA</t>
        </is>
      </c>
      <c r="I514" s="724" t="n">
        <v>17387</v>
      </c>
      <c r="J514" s="723" t="inlineStr">
        <is>
          <t>Km</t>
        </is>
      </c>
      <c r="K514" s="725" t="n">
        <v>3820</v>
      </c>
      <c r="L514" s="740">
        <f>M514-K514</f>
        <v/>
      </c>
      <c r="M514" s="738" t="n">
        <v>21574.88</v>
      </c>
      <c r="N514" s="1773" t="n">
        <v>15307.66</v>
      </c>
      <c r="O514" s="1762">
        <f>N514*E514/1000</f>
        <v/>
      </c>
      <c r="P514" s="1763">
        <f>O514/32</f>
        <v/>
      </c>
      <c r="Q514" s="1764">
        <f>N514*I514/1000</f>
        <v/>
      </c>
    </row>
    <row r="515" ht="15.75" customHeight="1">
      <c r="A515" s="728" t="inlineStr">
        <is>
          <t>FO23080016</t>
        </is>
      </c>
      <c r="B515" s="729" t="n">
        <v>45145</v>
      </c>
      <c r="C515" s="730" t="inlineStr">
        <is>
          <t>มัลติแบกซ์</t>
        </is>
      </c>
      <c r="D515" s="730" t="inlineStr">
        <is>
          <t>ท่าเรือแหลมฉบัง</t>
        </is>
      </c>
      <c r="E515" s="731" t="n">
        <v>6.5</v>
      </c>
      <c r="F515" s="728" t="inlineStr">
        <is>
          <t>Km</t>
        </is>
      </c>
      <c r="G515" s="728" t="inlineStr">
        <is>
          <t>รถเทรลเลอร์</t>
        </is>
      </c>
      <c r="H515" s="728" t="inlineStr">
        <is>
          <t>MANZANILLO, MEXICO</t>
        </is>
      </c>
      <c r="I515" s="733" t="n">
        <v>15486</v>
      </c>
      <c r="J515" s="732" t="inlineStr">
        <is>
          <t>Km</t>
        </is>
      </c>
      <c r="K515" s="734" t="n">
        <v>3630</v>
      </c>
      <c r="L515" s="741">
        <f>M515-K515</f>
        <v/>
      </c>
      <c r="M515" s="739" t="n">
        <v>11888.2</v>
      </c>
      <c r="N515" s="1772" t="n">
        <v>6024.78</v>
      </c>
      <c r="O515" s="1762">
        <f>N515*E515/1000</f>
        <v/>
      </c>
      <c r="P515" s="1763">
        <f>O515/32</f>
        <v/>
      </c>
      <c r="Q515" s="1764">
        <f>N515*I515/1000</f>
        <v/>
      </c>
    </row>
    <row r="516" ht="15.75" customHeight="1">
      <c r="A516" s="719" t="inlineStr">
        <is>
          <t>FO23080017</t>
        </is>
      </c>
      <c r="B516" s="720" t="n">
        <v>45142</v>
      </c>
      <c r="C516" s="721" t="inlineStr">
        <is>
          <t>มัลติแบกซ์</t>
        </is>
      </c>
      <c r="D516" s="721" t="inlineStr">
        <is>
          <t>ท่าเรือแหลมฉบัง</t>
        </is>
      </c>
      <c r="E516" s="722" t="n">
        <v>7.1</v>
      </c>
      <c r="F516" s="719" t="inlineStr">
        <is>
          <t>Km</t>
        </is>
      </c>
      <c r="G516" s="719" t="inlineStr">
        <is>
          <t>รถเทรลเลอร์</t>
        </is>
      </c>
      <c r="H516" s="719" t="inlineStr">
        <is>
          <t>SHUWAIKH, KUWAIT</t>
        </is>
      </c>
      <c r="I516" s="724" t="n">
        <v>5727</v>
      </c>
      <c r="J516" s="723" t="inlineStr">
        <is>
          <t>Km</t>
        </is>
      </c>
      <c r="K516" s="725" t="n">
        <v>3740</v>
      </c>
      <c r="L516" s="740">
        <f>M516-K516</f>
        <v/>
      </c>
      <c r="M516" s="738" t="n">
        <v>18141.9</v>
      </c>
      <c r="N516" s="1773" t="n">
        <v>12243.14</v>
      </c>
      <c r="O516" s="1762">
        <f>N516*E516/1000</f>
        <v/>
      </c>
      <c r="P516" s="1763">
        <f>O516/32</f>
        <v/>
      </c>
      <c r="Q516" s="1764">
        <f>N516*I516/1000</f>
        <v/>
      </c>
    </row>
    <row r="517" ht="15.75" customHeight="1">
      <c r="A517" s="728" t="inlineStr">
        <is>
          <t>FO23080018</t>
        </is>
      </c>
      <c r="B517" s="729" t="n">
        <v>45142</v>
      </c>
      <c r="C517" s="730" t="inlineStr">
        <is>
          <t>มัลติแบกซ์</t>
        </is>
      </c>
      <c r="D517" s="730" t="inlineStr">
        <is>
          <t>ท่าเรือแหลมฉบัง</t>
        </is>
      </c>
      <c r="E517" s="731" t="n">
        <v>7.1</v>
      </c>
      <c r="F517" s="728" t="inlineStr">
        <is>
          <t>Km</t>
        </is>
      </c>
      <c r="G517" s="728" t="inlineStr">
        <is>
          <t>รถเทรลเลอร์</t>
        </is>
      </c>
      <c r="H517" s="728" t="inlineStr">
        <is>
          <t>HAMAD, QATAR</t>
        </is>
      </c>
      <c r="I517" s="733" t="n">
        <v>5317</v>
      </c>
      <c r="J517" s="732" t="inlineStr">
        <is>
          <t>Km</t>
        </is>
      </c>
      <c r="K517" s="734" t="n">
        <v>2100</v>
      </c>
      <c r="L517" s="741">
        <f>M517-K517</f>
        <v/>
      </c>
      <c r="M517" s="739" t="n">
        <v>9120.25</v>
      </c>
      <c r="N517" s="1772" t="n">
        <v>5987.81</v>
      </c>
      <c r="O517" s="1762">
        <f>N517*E517/1000</f>
        <v/>
      </c>
      <c r="P517" s="1763">
        <f>O517/32</f>
        <v/>
      </c>
      <c r="Q517" s="1764">
        <f>N517*I517/1000</f>
        <v/>
      </c>
    </row>
    <row r="518" ht="15.75" customHeight="1">
      <c r="A518" s="719" t="inlineStr">
        <is>
          <t>FO23080019</t>
        </is>
      </c>
      <c r="B518" s="720" t="n">
        <v>45142</v>
      </c>
      <c r="C518" s="721" t="inlineStr">
        <is>
          <t>มัลติแบกซ์</t>
        </is>
      </c>
      <c r="D518" s="721" t="inlineStr">
        <is>
          <t>ท่าเรือแหลมฉบัง</t>
        </is>
      </c>
      <c r="E518" s="722" t="n">
        <v>7.1</v>
      </c>
      <c r="F518" s="719" t="inlineStr">
        <is>
          <t>Km</t>
        </is>
      </c>
      <c r="G518" s="719" t="inlineStr">
        <is>
          <t>รถเทรลเลอร์</t>
        </is>
      </c>
      <c r="H518" s="719" t="inlineStr">
        <is>
          <t>AJMAN PORT, UAE</t>
        </is>
      </c>
      <c r="I518" s="724" t="n">
        <v>4929</v>
      </c>
      <c r="J518" s="723" t="inlineStr">
        <is>
          <t>Km</t>
        </is>
      </c>
      <c r="K518" s="725" t="n">
        <v>2220</v>
      </c>
      <c r="L518" s="740">
        <f>M518-K518</f>
        <v/>
      </c>
      <c r="M518" s="738" t="n">
        <v>10140.85</v>
      </c>
      <c r="N518" s="1773" t="n">
        <v>6749.28</v>
      </c>
      <c r="O518" s="1762">
        <f>N518*E518/1000</f>
        <v/>
      </c>
      <c r="P518" s="1763">
        <f>O518/32</f>
        <v/>
      </c>
      <c r="Q518" s="1764">
        <f>N518*I518/1000</f>
        <v/>
      </c>
    </row>
    <row r="519" ht="15.75" customHeight="1">
      <c r="A519" s="728" t="inlineStr">
        <is>
          <t>FO23080020</t>
        </is>
      </c>
      <c r="B519" s="729" t="n">
        <v>45142</v>
      </c>
      <c r="C519" s="730" t="inlineStr">
        <is>
          <t>มัลติแบกซ์</t>
        </is>
      </c>
      <c r="D519" s="730" t="inlineStr">
        <is>
          <t>ท่าเรือแหลมฉบัง</t>
        </is>
      </c>
      <c r="E519" s="731" t="n">
        <v>7.1</v>
      </c>
      <c r="F519" s="728" t="inlineStr">
        <is>
          <t>Km</t>
        </is>
      </c>
      <c r="G519" s="728" t="inlineStr">
        <is>
          <t>รถเทรลเลอร์</t>
        </is>
      </c>
      <c r="H519" s="728" t="inlineStr">
        <is>
          <t>AJMAN PORT, UAE</t>
        </is>
      </c>
      <c r="I519" s="733" t="n">
        <v>4929</v>
      </c>
      <c r="J519" s="732" t="inlineStr">
        <is>
          <t>Km</t>
        </is>
      </c>
      <c r="K519" s="734" t="n">
        <v>3640</v>
      </c>
      <c r="L519" s="741">
        <f>M519-K519</f>
        <v/>
      </c>
      <c r="M519" s="739" t="n">
        <v>18563.18</v>
      </c>
      <c r="N519" s="1772" t="n">
        <v>13453.58</v>
      </c>
      <c r="O519" s="1762">
        <f>N519*E519/1000</f>
        <v/>
      </c>
      <c r="P519" s="1763">
        <f>O519/32</f>
        <v/>
      </c>
      <c r="Q519" s="1764">
        <f>N519*I519/1000</f>
        <v/>
      </c>
    </row>
    <row r="520" ht="15.75" customHeight="1">
      <c r="A520" s="719" t="inlineStr">
        <is>
          <t>FO23080021</t>
        </is>
      </c>
      <c r="B520" s="720" t="n">
        <v>45142</v>
      </c>
      <c r="C520" s="721" t="inlineStr">
        <is>
          <t>มัลติแบกซ์</t>
        </is>
      </c>
      <c r="D520" s="721" t="inlineStr">
        <is>
          <t>ท่าเรือแหลมฉบัง</t>
        </is>
      </c>
      <c r="E520" s="722" t="n">
        <v>7.1</v>
      </c>
      <c r="F520" s="719" t="inlineStr">
        <is>
          <t>Km</t>
        </is>
      </c>
      <c r="G520" s="719" t="inlineStr">
        <is>
          <t>รถเทรลเลอร์</t>
        </is>
      </c>
      <c r="H520" s="719" t="inlineStr">
        <is>
          <t>AJMAN PORT, UAE</t>
        </is>
      </c>
      <c r="I520" s="724" t="n">
        <v>4929</v>
      </c>
      <c r="J520" s="723" t="inlineStr">
        <is>
          <t>Km</t>
        </is>
      </c>
      <c r="K520" s="725" t="n">
        <v>3620</v>
      </c>
      <c r="L520" s="740">
        <f>M520-K520</f>
        <v/>
      </c>
      <c r="M520" s="738" t="n">
        <v>16373.2</v>
      </c>
      <c r="N520" s="1773" t="n">
        <v>10199.4</v>
      </c>
      <c r="O520" s="1762">
        <f>N520*E520/1000</f>
        <v/>
      </c>
      <c r="P520" s="1763">
        <f>O520/32</f>
        <v/>
      </c>
      <c r="Q520" s="1764">
        <f>N520*I520/1000</f>
        <v/>
      </c>
    </row>
    <row r="521" ht="15.75" customHeight="1">
      <c r="A521" s="728" t="inlineStr">
        <is>
          <t>FO23080022</t>
        </is>
      </c>
      <c r="B521" s="729" t="n">
        <v>45148</v>
      </c>
      <c r="C521" s="730" t="inlineStr">
        <is>
          <t>มัลติแบกซ์</t>
        </is>
      </c>
      <c r="D521" s="730" t="inlineStr">
        <is>
          <t>ท่าเรือแหลมฉบัง</t>
        </is>
      </c>
      <c r="E521" s="731" t="n">
        <v>6.2</v>
      </c>
      <c r="F521" s="728" t="inlineStr">
        <is>
          <t>Km</t>
        </is>
      </c>
      <c r="G521" s="728" t="inlineStr">
        <is>
          <t>รถเทรลเลอร์</t>
        </is>
      </c>
      <c r="H521" s="728" t="inlineStr">
        <is>
          <t>JACKSONVILLE IL, USA</t>
        </is>
      </c>
      <c r="I521" s="733" t="n">
        <v>15168</v>
      </c>
      <c r="J521" s="732" t="inlineStr">
        <is>
          <t>Km</t>
        </is>
      </c>
      <c r="K521" s="734" t="n">
        <v>3860</v>
      </c>
      <c r="L521" s="741">
        <f>M521-K521</f>
        <v/>
      </c>
      <c r="M521" s="739" t="n">
        <v>23719.6</v>
      </c>
      <c r="N521" s="1772" t="n">
        <v>16464</v>
      </c>
      <c r="O521" s="1762">
        <f>N521*E521/1000</f>
        <v/>
      </c>
      <c r="P521" s="1763">
        <f>O521/32</f>
        <v/>
      </c>
      <c r="Q521" s="1764">
        <f>N521*I521/1000</f>
        <v/>
      </c>
    </row>
    <row r="522" ht="15.75" customHeight="1">
      <c r="A522" s="719" t="inlineStr">
        <is>
          <t>FO23080023</t>
        </is>
      </c>
      <c r="B522" s="720" t="n">
        <v>45142</v>
      </c>
      <c r="C522" s="721" t="inlineStr">
        <is>
          <t>มัลติแบกซ์</t>
        </is>
      </c>
      <c r="D522" s="721" t="inlineStr">
        <is>
          <t>ท่าเรือแหลมฉบัง</t>
        </is>
      </c>
      <c r="E522" s="722" t="n">
        <v>6</v>
      </c>
      <c r="F522" s="719" t="inlineStr">
        <is>
          <t>Km</t>
        </is>
      </c>
      <c r="G522" s="719" t="inlineStr">
        <is>
          <t>รถเทรลเลอร์</t>
        </is>
      </c>
      <c r="H522" s="719" t="inlineStr">
        <is>
          <t>SAN JUAN, PUERTO RICO</t>
        </is>
      </c>
      <c r="I522" s="724" t="n">
        <v>9292</v>
      </c>
      <c r="J522" s="723" t="inlineStr">
        <is>
          <t>Km</t>
        </is>
      </c>
      <c r="K522" s="725" t="n">
        <v>3850</v>
      </c>
      <c r="L522" s="740">
        <f>M522-K522</f>
        <v/>
      </c>
      <c r="M522" s="738" t="n">
        <v>15268</v>
      </c>
      <c r="N522" s="1773" t="n">
        <v>7386</v>
      </c>
      <c r="O522" s="1762">
        <f>N522*E522/1000</f>
        <v/>
      </c>
      <c r="P522" s="1763">
        <f>O522/32</f>
        <v/>
      </c>
      <c r="Q522" s="1764">
        <f>N522*I522/1000</f>
        <v/>
      </c>
    </row>
    <row r="523" ht="15.75" customHeight="1">
      <c r="A523" s="257" t="inlineStr">
        <is>
          <t>FO23080024</t>
        </is>
      </c>
      <c r="B523" s="748" t="n">
        <v>45153</v>
      </c>
      <c r="C523" s="1397" t="inlineStr">
        <is>
          <t>มัลติแบกซ์</t>
        </is>
      </c>
      <c r="D523" s="1397" t="n"/>
      <c r="E523" s="752" t="n"/>
      <c r="F523" s="257" t="n"/>
      <c r="G523" s="257" t="inlineStr">
        <is>
          <t>รถเทรลเลอร์</t>
        </is>
      </c>
      <c r="H523" s="257" t="inlineStr">
        <is>
          <t>SINGAPORE</t>
        </is>
      </c>
      <c r="I523" s="749" t="n">
        <v>1931</v>
      </c>
      <c r="J523" s="258" t="n"/>
      <c r="K523" s="753" t="n">
        <v>2755.4</v>
      </c>
      <c r="L523" s="754" t="n">
        <v>1278.2</v>
      </c>
      <c r="M523" s="755" t="n">
        <v>4033.6</v>
      </c>
      <c r="N523" s="1674" t="n">
        <v>2755.4</v>
      </c>
      <c r="O523" s="1762">
        <f>N523*E523/1000</f>
        <v/>
      </c>
      <c r="P523" s="1763">
        <f>O523/32</f>
        <v/>
      </c>
      <c r="Q523" s="1764">
        <f>N523*I523/1000</f>
        <v/>
      </c>
    </row>
    <row r="524" ht="15.75" customHeight="1">
      <c r="A524" s="719" t="inlineStr">
        <is>
          <t>FO23080025</t>
        </is>
      </c>
      <c r="B524" s="720" t="n">
        <v>45146</v>
      </c>
      <c r="C524" s="721" t="inlineStr">
        <is>
          <t>มัลติแบกซ์</t>
        </is>
      </c>
      <c r="D524" s="721" t="inlineStr">
        <is>
          <t>ท่าเรือแหลมฉบัง</t>
        </is>
      </c>
      <c r="E524" s="722" t="n">
        <v>6.5</v>
      </c>
      <c r="F524" s="719" t="inlineStr">
        <is>
          <t>Km</t>
        </is>
      </c>
      <c r="G524" s="719" t="inlineStr">
        <is>
          <t>รถเทรลเลอร์</t>
        </is>
      </c>
      <c r="H524" s="719" t="inlineStr">
        <is>
          <t>MANZANILLO, MEXICO</t>
        </is>
      </c>
      <c r="I524" s="724" t="n">
        <v>15486</v>
      </c>
      <c r="J524" s="723" t="inlineStr">
        <is>
          <t>Km</t>
        </is>
      </c>
      <c r="K524" s="725" t="n">
        <v>3830</v>
      </c>
      <c r="L524" s="740">
        <f>M524-K524</f>
        <v/>
      </c>
      <c r="M524" s="738" t="n">
        <v>15303</v>
      </c>
      <c r="N524" s="1773" t="n">
        <v>8813</v>
      </c>
      <c r="O524" s="1762">
        <f>N524*E524/1000</f>
        <v/>
      </c>
      <c r="P524" s="1763">
        <f>O524/32</f>
        <v/>
      </c>
      <c r="Q524" s="1764">
        <f>N524*I524/1000</f>
        <v/>
      </c>
    </row>
    <row r="525" ht="15.75" customHeight="1">
      <c r="A525" s="728" t="inlineStr">
        <is>
          <t>FO23080026</t>
        </is>
      </c>
      <c r="B525" s="729" t="n">
        <v>45149</v>
      </c>
      <c r="C525" s="730" t="inlineStr">
        <is>
          <t>มัลติแบกซ์</t>
        </is>
      </c>
      <c r="D525" s="730" t="inlineStr">
        <is>
          <t>ท่าเรือแหลมฉบัง</t>
        </is>
      </c>
      <c r="E525" s="731" t="n">
        <v>4.1</v>
      </c>
      <c r="F525" s="728" t="inlineStr">
        <is>
          <t>Km</t>
        </is>
      </c>
      <c r="G525" s="728" t="inlineStr">
        <is>
          <t>รถเทรลเลอร์</t>
        </is>
      </c>
      <c r="H525" s="728" t="inlineStr">
        <is>
          <t>SOUTH BOSTON VA, USA</t>
        </is>
      </c>
      <c r="I525" s="733" t="n">
        <v>13787</v>
      </c>
      <c r="J525" s="732" t="inlineStr">
        <is>
          <t>Km</t>
        </is>
      </c>
      <c r="K525" s="734" t="n">
        <v>3700</v>
      </c>
      <c r="L525" s="741">
        <f>M525-K525</f>
        <v/>
      </c>
      <c r="M525" s="739" t="n">
        <v>19036.5</v>
      </c>
      <c r="N525" s="1772" t="n">
        <v>11672.5</v>
      </c>
      <c r="O525" s="1762">
        <f>N525*E525/1000</f>
        <v/>
      </c>
      <c r="P525" s="1763">
        <f>O525/32</f>
        <v/>
      </c>
      <c r="Q525" s="1764">
        <f>N525*I525/1000</f>
        <v/>
      </c>
    </row>
    <row r="526" ht="15.75" customHeight="1">
      <c r="A526" s="719" t="inlineStr">
        <is>
          <t>FO23080027</t>
        </is>
      </c>
      <c r="B526" s="720" t="n">
        <v>45149</v>
      </c>
      <c r="C526" s="721" t="inlineStr">
        <is>
          <t>มัลติแบกซ์</t>
        </is>
      </c>
      <c r="D526" s="721" t="inlineStr">
        <is>
          <t>ท่าเรือแหลมฉบัง</t>
        </is>
      </c>
      <c r="E526" s="722" t="n">
        <v>5.3</v>
      </c>
      <c r="F526" s="719" t="inlineStr">
        <is>
          <t>Km</t>
        </is>
      </c>
      <c r="G526" s="719" t="inlineStr">
        <is>
          <t>รถเทรลเลอร์</t>
        </is>
      </c>
      <c r="H526" s="719" t="inlineStr">
        <is>
          <t>SOUTH BOSTON VA, USA</t>
        </is>
      </c>
      <c r="I526" s="724" t="n">
        <v>13787</v>
      </c>
      <c r="J526" s="723" t="inlineStr">
        <is>
          <t>Km</t>
        </is>
      </c>
      <c r="K526" s="725" t="n">
        <v>3940</v>
      </c>
      <c r="L526" s="740">
        <f>M526-K526</f>
        <v/>
      </c>
      <c r="M526" s="738" t="n">
        <v>15755</v>
      </c>
      <c r="N526" s="1773" t="n">
        <v>8813.799999999999</v>
      </c>
      <c r="O526" s="1762">
        <f>N526*E526/1000</f>
        <v/>
      </c>
      <c r="P526" s="1763">
        <f>O526/32</f>
        <v/>
      </c>
      <c r="Q526" s="1764">
        <f>N526*I526/1000</f>
        <v/>
      </c>
    </row>
    <row r="527" ht="15.75" customHeight="1">
      <c r="A527" s="728" t="inlineStr">
        <is>
          <t>FO23080028</t>
        </is>
      </c>
      <c r="B527" s="729" t="n">
        <v>45153</v>
      </c>
      <c r="C527" s="730" t="inlineStr">
        <is>
          <t>มัลติแบกซ์</t>
        </is>
      </c>
      <c r="D527" s="730" t="inlineStr">
        <is>
          <t>ท่าเรือแหลมฉบัง</t>
        </is>
      </c>
      <c r="E527" s="731" t="n">
        <v>6.2</v>
      </c>
      <c r="F527" s="728" t="inlineStr">
        <is>
          <t>Km</t>
        </is>
      </c>
      <c r="G527" s="728" t="inlineStr">
        <is>
          <t>รถเทรลเลอร์</t>
        </is>
      </c>
      <c r="H527" s="728" t="inlineStr">
        <is>
          <t>SOUTH BOSTON VA, USA</t>
        </is>
      </c>
      <c r="I527" s="733" t="n">
        <v>13787</v>
      </c>
      <c r="J527" s="732" t="inlineStr">
        <is>
          <t>Km</t>
        </is>
      </c>
      <c r="K527" s="734" t="n">
        <v>3830</v>
      </c>
      <c r="L527" s="741">
        <f>M527-K527</f>
        <v/>
      </c>
      <c r="M527" s="739" t="n">
        <v>16823.5</v>
      </c>
      <c r="N527" s="1772" t="n">
        <v>9861.5</v>
      </c>
      <c r="O527" s="1762">
        <f>N527*E527/1000</f>
        <v/>
      </c>
      <c r="P527" s="1763">
        <f>O527/32</f>
        <v/>
      </c>
      <c r="Q527" s="1764">
        <f>N527*I527/1000</f>
        <v/>
      </c>
    </row>
    <row r="528" ht="15.75" customHeight="1">
      <c r="A528" s="719" t="inlineStr">
        <is>
          <t>FO23080029</t>
        </is>
      </c>
      <c r="B528" s="720" t="n">
        <v>45152</v>
      </c>
      <c r="C528" s="721" t="inlineStr">
        <is>
          <t>มัลติแบกซ์</t>
        </is>
      </c>
      <c r="D528" s="721" t="inlineStr">
        <is>
          <t>ท่าเรือแหลมฉบัง</t>
        </is>
      </c>
      <c r="E528" s="722" t="n">
        <v>7.1</v>
      </c>
      <c r="F528" s="719" t="inlineStr">
        <is>
          <t>Km</t>
        </is>
      </c>
      <c r="G528" s="719" t="inlineStr">
        <is>
          <t>รถเทรลเลอร์</t>
        </is>
      </c>
      <c r="H528" s="719" t="inlineStr">
        <is>
          <t>CARROLLTON TX, USA</t>
        </is>
      </c>
      <c r="I528" s="724" t="n">
        <v>14544</v>
      </c>
      <c r="J528" s="723" t="inlineStr">
        <is>
          <t>Km</t>
        </is>
      </c>
      <c r="K528" s="725" t="n">
        <v>3800</v>
      </c>
      <c r="L528" s="740">
        <f>M528-K528</f>
        <v/>
      </c>
      <c r="M528" s="738" t="n">
        <v>16572</v>
      </c>
      <c r="N528" s="1773" t="n">
        <v>9822</v>
      </c>
      <c r="O528" s="1762">
        <f>N528*E528/1000</f>
        <v/>
      </c>
      <c r="P528" s="1763">
        <f>O528/32</f>
        <v/>
      </c>
      <c r="Q528" s="1764">
        <f>N528*I528/1000</f>
        <v/>
      </c>
    </row>
    <row r="529" ht="15.75" customHeight="1">
      <c r="A529" s="728" t="inlineStr">
        <is>
          <t>FO23080030</t>
        </is>
      </c>
      <c r="B529" s="729" t="n">
        <v>45155</v>
      </c>
      <c r="C529" s="730" t="inlineStr">
        <is>
          <t>มัลติแบกซ์</t>
        </is>
      </c>
      <c r="D529" s="730" t="inlineStr">
        <is>
          <t>ท่าเรือแหลมฉบัง</t>
        </is>
      </c>
      <c r="E529" s="731" t="n">
        <v>7.1</v>
      </c>
      <c r="F529" s="728" t="inlineStr">
        <is>
          <t>Km</t>
        </is>
      </c>
      <c r="G529" s="728" t="inlineStr">
        <is>
          <t>รถเทรลเลอร์</t>
        </is>
      </c>
      <c r="H529" s="728" t="inlineStr">
        <is>
          <t>MANILA, PHILIPPINES</t>
        </is>
      </c>
      <c r="I529" s="733" t="n">
        <v>2167</v>
      </c>
      <c r="J529" s="732" t="inlineStr">
        <is>
          <t>Km</t>
        </is>
      </c>
      <c r="K529" s="734" t="n">
        <v>2200</v>
      </c>
      <c r="L529" s="741">
        <f>M529-K529</f>
        <v/>
      </c>
      <c r="M529" s="739" t="n">
        <v>6578.8</v>
      </c>
      <c r="N529" s="1772" t="n">
        <v>3275.6</v>
      </c>
      <c r="O529" s="1762">
        <f>N529*E529/1000</f>
        <v/>
      </c>
      <c r="P529" s="1763">
        <f>O529/32</f>
        <v/>
      </c>
      <c r="Q529" s="1764">
        <f>N529*I529/1000</f>
        <v/>
      </c>
    </row>
    <row r="530" ht="15.75" customHeight="1">
      <c r="A530" s="719" t="inlineStr">
        <is>
          <t>FO23080031</t>
        </is>
      </c>
      <c r="B530" s="720" t="n">
        <v>45148</v>
      </c>
      <c r="C530" s="721" t="inlineStr">
        <is>
          <t>มัลติแบกซ์</t>
        </is>
      </c>
      <c r="D530" s="721" t="inlineStr">
        <is>
          <t>ท่าเรือแหลมฉบัง</t>
        </is>
      </c>
      <c r="E530" s="722" t="n">
        <v>5.2</v>
      </c>
      <c r="F530" s="719" t="inlineStr">
        <is>
          <t>Km</t>
        </is>
      </c>
      <c r="G530" s="719" t="inlineStr">
        <is>
          <t>รถเทรลเลอร์</t>
        </is>
      </c>
      <c r="H530" s="719" t="inlineStr">
        <is>
          <t>DURBAN, SOUTH AFRICA</t>
        </is>
      </c>
      <c r="I530" s="724" t="n">
        <v>8865</v>
      </c>
      <c r="J530" s="723" t="inlineStr">
        <is>
          <t>Km</t>
        </is>
      </c>
      <c r="K530" s="725" t="n">
        <v>2230</v>
      </c>
      <c r="L530" s="740">
        <f>M530-K530</f>
        <v/>
      </c>
      <c r="M530" s="738" t="n">
        <v>16012</v>
      </c>
      <c r="N530" s="1773" t="n">
        <v>13720</v>
      </c>
      <c r="O530" s="1762">
        <f>N530*E530/1000</f>
        <v/>
      </c>
      <c r="P530" s="1763">
        <f>O530/32</f>
        <v/>
      </c>
      <c r="Q530" s="1764">
        <f>N530*I530/1000</f>
        <v/>
      </c>
    </row>
    <row r="531" ht="15.75" customHeight="1">
      <c r="A531" s="728" t="inlineStr">
        <is>
          <t>FO23080032</t>
        </is>
      </c>
      <c r="B531" s="729" t="n">
        <v>45148</v>
      </c>
      <c r="C531" s="730" t="inlineStr">
        <is>
          <t>มัลติแบกซ์</t>
        </is>
      </c>
      <c r="D531" s="730" t="inlineStr">
        <is>
          <t>ท่าเรือแหลมฉบัง</t>
        </is>
      </c>
      <c r="E531" s="731" t="n">
        <v>7.1</v>
      </c>
      <c r="F531" s="728" t="inlineStr">
        <is>
          <t>Km</t>
        </is>
      </c>
      <c r="G531" s="728" t="inlineStr">
        <is>
          <t>รถเทรลเลอร์</t>
        </is>
      </c>
      <c r="H531" s="728" t="inlineStr">
        <is>
          <t>UNIVERSITY PARK IL, USA</t>
        </is>
      </c>
      <c r="I531" s="733" t="n">
        <v>13877</v>
      </c>
      <c r="J531" s="732" t="inlineStr">
        <is>
          <t>Km</t>
        </is>
      </c>
      <c r="K531" s="734" t="n">
        <v>3940</v>
      </c>
      <c r="L531" s="741">
        <f>M531-K531</f>
        <v/>
      </c>
      <c r="M531" s="739" t="n">
        <v>14129.8</v>
      </c>
      <c r="N531" s="1772" t="n">
        <v>7660</v>
      </c>
      <c r="O531" s="1762">
        <f>N531*E531/1000</f>
        <v/>
      </c>
      <c r="P531" s="1763">
        <f>O531/32</f>
        <v/>
      </c>
      <c r="Q531" s="1764">
        <f>N531*I531/1000</f>
        <v/>
      </c>
    </row>
    <row r="532" ht="15.75" customHeight="1">
      <c r="A532" s="719" t="inlineStr">
        <is>
          <t>FO23080033</t>
        </is>
      </c>
      <c r="B532" s="720" t="n">
        <v>45148</v>
      </c>
      <c r="C532" s="721" t="inlineStr">
        <is>
          <t>มัลติแบกซ์</t>
        </is>
      </c>
      <c r="D532" s="721" t="inlineStr">
        <is>
          <t>ท่าเรือแหลมฉบัง</t>
        </is>
      </c>
      <c r="E532" s="722" t="n">
        <v>7.1</v>
      </c>
      <c r="F532" s="719" t="inlineStr">
        <is>
          <t>Km</t>
        </is>
      </c>
      <c r="G532" s="719" t="inlineStr">
        <is>
          <t>รถเทรลเลอร์</t>
        </is>
      </c>
      <c r="H532" s="719" t="inlineStr">
        <is>
          <t>UNIVERSITY PARK IL, USA</t>
        </is>
      </c>
      <c r="I532" s="724" t="n">
        <v>13877</v>
      </c>
      <c r="J532" s="723" t="inlineStr">
        <is>
          <t>Km</t>
        </is>
      </c>
      <c r="K532" s="725" t="n">
        <v>3890</v>
      </c>
      <c r="L532" s="740">
        <f>M532-K532</f>
        <v/>
      </c>
      <c r="M532" s="738" t="n">
        <v>23489.5</v>
      </c>
      <c r="N532" s="1773" t="n">
        <v>15795</v>
      </c>
      <c r="O532" s="1762">
        <f>N532*E532/1000</f>
        <v/>
      </c>
      <c r="P532" s="1763">
        <f>O532/32</f>
        <v/>
      </c>
      <c r="Q532" s="1764">
        <f>N532*I532/1000</f>
        <v/>
      </c>
    </row>
    <row r="533" ht="15.75" customHeight="1">
      <c r="A533" s="728" t="inlineStr">
        <is>
          <t>FO23080034</t>
        </is>
      </c>
      <c r="B533" s="729" t="n">
        <v>45149</v>
      </c>
      <c r="C533" s="730" t="inlineStr">
        <is>
          <t>มัลติแบกซ์</t>
        </is>
      </c>
      <c r="D533" s="730" t="inlineStr">
        <is>
          <t>ท่าเรือแหลมฉบัง</t>
        </is>
      </c>
      <c r="E533" s="731" t="n">
        <v>7.1</v>
      </c>
      <c r="F533" s="728" t="inlineStr">
        <is>
          <t>Km</t>
        </is>
      </c>
      <c r="G533" s="728" t="inlineStr">
        <is>
          <t>รถเทรลเลอร์</t>
        </is>
      </c>
      <c r="H533" s="728" t="inlineStr">
        <is>
          <t>UNIVERSITY PARK IL, USA</t>
        </is>
      </c>
      <c r="I533" s="733" t="n">
        <v>13877</v>
      </c>
      <c r="J533" s="732" t="inlineStr">
        <is>
          <t>Km</t>
        </is>
      </c>
      <c r="K533" s="734" t="n">
        <v>3700</v>
      </c>
      <c r="L533" s="741">
        <f>M533-K533</f>
        <v/>
      </c>
      <c r="M533" s="739" t="n">
        <v>23299.5</v>
      </c>
      <c r="N533" s="1772" t="n">
        <v>15795</v>
      </c>
      <c r="O533" s="1762">
        <f>N533*E533/1000</f>
        <v/>
      </c>
      <c r="P533" s="1763">
        <f>O533/32</f>
        <v/>
      </c>
      <c r="Q533" s="1764">
        <f>N533*I533/1000</f>
        <v/>
      </c>
    </row>
    <row r="534" ht="15.75" customHeight="1">
      <c r="A534" s="719" t="inlineStr">
        <is>
          <t>FO23080035</t>
        </is>
      </c>
      <c r="B534" s="720" t="n">
        <v>45154</v>
      </c>
      <c r="C534" s="721" t="inlineStr">
        <is>
          <t>มัลติแบกซ์</t>
        </is>
      </c>
      <c r="D534" s="721" t="inlineStr">
        <is>
          <t>ท่าเรือแหลมฉบัง</t>
        </is>
      </c>
      <c r="E534" s="722" t="n">
        <v>6.2</v>
      </c>
      <c r="F534" s="719" t="inlineStr">
        <is>
          <t>Km</t>
        </is>
      </c>
      <c r="G534" s="719" t="inlineStr">
        <is>
          <t>รถเทรลเลอร์</t>
        </is>
      </c>
      <c r="H534" s="719" t="inlineStr">
        <is>
          <t>SANTA TERESA, NM USA</t>
        </is>
      </c>
      <c r="I534" s="724" t="n">
        <v>17387</v>
      </c>
      <c r="J534" s="723" t="inlineStr">
        <is>
          <t>Km</t>
        </is>
      </c>
      <c r="K534" s="725" t="n">
        <v>3900</v>
      </c>
      <c r="L534" s="740">
        <f>M534-K534</f>
        <v/>
      </c>
      <c r="M534" s="738" t="n">
        <v>22706.96</v>
      </c>
      <c r="N534" s="1773" t="n">
        <v>16282.82</v>
      </c>
      <c r="O534" s="1762">
        <f>N534*E534/1000</f>
        <v/>
      </c>
      <c r="P534" s="1763">
        <f>O534/32</f>
        <v/>
      </c>
      <c r="Q534" s="1764">
        <f>N534*I534/1000</f>
        <v/>
      </c>
    </row>
    <row r="535" ht="15.75" customHeight="1">
      <c r="A535" s="728" t="inlineStr">
        <is>
          <t>FO23080036</t>
        </is>
      </c>
      <c r="B535" s="729" t="n">
        <v>45154</v>
      </c>
      <c r="C535" s="730" t="inlineStr">
        <is>
          <t>มัลติแบกซ์</t>
        </is>
      </c>
      <c r="D535" s="730" t="inlineStr">
        <is>
          <t>ท่าเรือแหลมฉบัง</t>
        </is>
      </c>
      <c r="E535" s="731" t="n">
        <v>6.2</v>
      </c>
      <c r="F535" s="728" t="inlineStr">
        <is>
          <t>Km</t>
        </is>
      </c>
      <c r="G535" s="728" t="inlineStr">
        <is>
          <t>รถเทรลเลอร์</t>
        </is>
      </c>
      <c r="H535" s="728" t="inlineStr">
        <is>
          <t>SANTA TERESA, NM USA</t>
        </is>
      </c>
      <c r="I535" s="733" t="n">
        <v>17387</v>
      </c>
      <c r="J535" s="732" t="inlineStr">
        <is>
          <t>Km</t>
        </is>
      </c>
      <c r="K535" s="734" t="n">
        <v>3840</v>
      </c>
      <c r="L535" s="741">
        <f>M535-K535</f>
        <v/>
      </c>
      <c r="M535" s="739" t="n">
        <v>21665.64</v>
      </c>
      <c r="N535" s="1772" t="n">
        <v>15529.02</v>
      </c>
      <c r="O535" s="1762">
        <f>N535*E535/1000</f>
        <v/>
      </c>
      <c r="P535" s="1763">
        <f>O535/32</f>
        <v/>
      </c>
      <c r="Q535" s="1764">
        <f>N535*I535/1000</f>
        <v/>
      </c>
    </row>
    <row r="536" ht="15.75" customHeight="1">
      <c r="A536" s="719" t="inlineStr">
        <is>
          <t>FO23080037</t>
        </is>
      </c>
      <c r="B536" s="720" t="n">
        <v>45154</v>
      </c>
      <c r="C536" s="721" t="inlineStr">
        <is>
          <t>มัลติแบกซ์</t>
        </is>
      </c>
      <c r="D536" s="721" t="inlineStr">
        <is>
          <t>ท่าเรือแหลมฉบัง</t>
        </is>
      </c>
      <c r="E536" s="722" t="n">
        <v>6.2</v>
      </c>
      <c r="F536" s="719" t="inlineStr">
        <is>
          <t>Km</t>
        </is>
      </c>
      <c r="G536" s="719" t="inlineStr">
        <is>
          <t>รถเทรลเลอร์</t>
        </is>
      </c>
      <c r="H536" s="719" t="inlineStr">
        <is>
          <t>COLUMBUS OHIO, USA</t>
        </is>
      </c>
      <c r="I536" s="724" t="n">
        <v>14000</v>
      </c>
      <c r="J536" s="723" t="inlineStr">
        <is>
          <t>Km</t>
        </is>
      </c>
      <c r="K536" s="725" t="n">
        <v>3830</v>
      </c>
      <c r="L536" s="740">
        <f>M536-K536</f>
        <v/>
      </c>
      <c r="M536" s="738" t="n">
        <v>22185.76</v>
      </c>
      <c r="N536" s="1773" t="n">
        <v>15867.7</v>
      </c>
      <c r="O536" s="1762">
        <f>N536*E536/1000</f>
        <v/>
      </c>
      <c r="P536" s="1763">
        <f>O536/32</f>
        <v/>
      </c>
      <c r="Q536" s="1764">
        <f>N536*I536/1000</f>
        <v/>
      </c>
    </row>
    <row r="537" ht="15.75" customHeight="1">
      <c r="A537" s="728" t="inlineStr">
        <is>
          <t>FO23080038</t>
        </is>
      </c>
      <c r="B537" s="729" t="n">
        <v>45154</v>
      </c>
      <c r="C537" s="730" t="inlineStr">
        <is>
          <t>มัลติแบกซ์</t>
        </is>
      </c>
      <c r="D537" s="730" t="inlineStr">
        <is>
          <t>ท่าเรือแหลมฉบัง</t>
        </is>
      </c>
      <c r="E537" s="731" t="n">
        <v>6.2</v>
      </c>
      <c r="F537" s="728" t="inlineStr">
        <is>
          <t>Km</t>
        </is>
      </c>
      <c r="G537" s="728" t="inlineStr">
        <is>
          <t>รถเทรลเลอร์</t>
        </is>
      </c>
      <c r="H537" s="728" t="inlineStr">
        <is>
          <t>COLUMBUS OHIO, USA</t>
        </is>
      </c>
      <c r="I537" s="733" t="n">
        <v>14000</v>
      </c>
      <c r="J537" s="732" t="inlineStr">
        <is>
          <t>Km</t>
        </is>
      </c>
      <c r="K537" s="734" t="n">
        <v>3800</v>
      </c>
      <c r="L537" s="741">
        <f>M537-K537</f>
        <v/>
      </c>
      <c r="M537" s="739" t="n">
        <v>21829.17</v>
      </c>
      <c r="N537" s="1772" t="n">
        <v>15758.27</v>
      </c>
      <c r="O537" s="1762">
        <f>N537*E537/1000</f>
        <v/>
      </c>
      <c r="P537" s="1763">
        <f>O537/32</f>
        <v/>
      </c>
      <c r="Q537" s="1764">
        <f>N537*I537/1000</f>
        <v/>
      </c>
    </row>
    <row r="538" ht="15.75" customHeight="1">
      <c r="A538" s="719" t="inlineStr">
        <is>
          <t>FO23080039</t>
        </is>
      </c>
      <c r="B538" s="720" t="n">
        <v>45160</v>
      </c>
      <c r="C538" s="721" t="inlineStr">
        <is>
          <t>มัลติแบกซ์</t>
        </is>
      </c>
      <c r="D538" s="721" t="inlineStr">
        <is>
          <t>ท่าเรือแหลมฉบัง</t>
        </is>
      </c>
      <c r="E538" s="722" t="n">
        <v>6</v>
      </c>
      <c r="F538" s="719" t="inlineStr">
        <is>
          <t>Km</t>
        </is>
      </c>
      <c r="G538" s="719" t="inlineStr">
        <is>
          <t>รถเทรลเลอร์</t>
        </is>
      </c>
      <c r="H538" s="719" t="inlineStr">
        <is>
          <t>JEBEL ALI, UAE</t>
        </is>
      </c>
      <c r="I538" s="724" t="n">
        <v>4972</v>
      </c>
      <c r="J538" s="723" t="inlineStr">
        <is>
          <t>Km</t>
        </is>
      </c>
      <c r="K538" s="725" t="n">
        <v>2180</v>
      </c>
      <c r="L538" s="740">
        <f>M538-K538</f>
        <v/>
      </c>
      <c r="M538" s="738" t="n">
        <v>7858.7</v>
      </c>
      <c r="N538" s="1773" t="n">
        <v>4487.8</v>
      </c>
      <c r="O538" s="1762">
        <f>N538*E538/1000</f>
        <v/>
      </c>
      <c r="P538" s="1763">
        <f>O538/32</f>
        <v/>
      </c>
      <c r="Q538" s="1764">
        <f>N538*I538/1000</f>
        <v/>
      </c>
    </row>
    <row r="539" ht="15.75" customHeight="1">
      <c r="A539" s="728" t="inlineStr">
        <is>
          <t>FO23080040</t>
        </is>
      </c>
      <c r="B539" s="729" t="n">
        <v>45156</v>
      </c>
      <c r="C539" s="730" t="inlineStr">
        <is>
          <t>มัลติแบกซ์</t>
        </is>
      </c>
      <c r="D539" s="730" t="inlineStr">
        <is>
          <t>ท่าเรือแหลมฉบัง</t>
        </is>
      </c>
      <c r="E539" s="731" t="n">
        <v>5.2</v>
      </c>
      <c r="F539" s="728" t="inlineStr">
        <is>
          <t>Km</t>
        </is>
      </c>
      <c r="G539" s="728" t="inlineStr">
        <is>
          <t>รถเทรลเลอร์</t>
        </is>
      </c>
      <c r="H539" s="728" t="inlineStr">
        <is>
          <t>DURBAN, SOUTH AFRICA</t>
        </is>
      </c>
      <c r="I539" s="733" t="n">
        <v>8865</v>
      </c>
      <c r="J539" s="732" t="inlineStr">
        <is>
          <t>Km</t>
        </is>
      </c>
      <c r="K539" s="734" t="n">
        <v>2200</v>
      </c>
      <c r="L539" s="741">
        <f>M539-K539</f>
        <v/>
      </c>
      <c r="M539" s="739" t="n">
        <v>12706</v>
      </c>
      <c r="N539" s="1772" t="n">
        <v>9140</v>
      </c>
      <c r="O539" s="1762">
        <f>N539*E539/1000</f>
        <v/>
      </c>
      <c r="P539" s="1763">
        <f>O539/32</f>
        <v/>
      </c>
      <c r="Q539" s="1764">
        <f>N539*I539/1000</f>
        <v/>
      </c>
    </row>
    <row r="540" ht="15.75" customHeight="1">
      <c r="A540" s="719" t="inlineStr">
        <is>
          <t>FO23080041</t>
        </is>
      </c>
      <c r="B540" s="720" t="n">
        <v>45167</v>
      </c>
      <c r="C540" s="721" t="inlineStr">
        <is>
          <t>มัลติแบกซ์</t>
        </is>
      </c>
      <c r="D540" s="721" t="inlineStr">
        <is>
          <t>ท่าเรือแหลมฉบัง</t>
        </is>
      </c>
      <c r="E540" s="722" t="n">
        <v>7.1</v>
      </c>
      <c r="F540" s="719" t="inlineStr">
        <is>
          <t>Km</t>
        </is>
      </c>
      <c r="G540" s="719" t="inlineStr">
        <is>
          <t>รถเทรลเลอร์</t>
        </is>
      </c>
      <c r="H540" s="719" t="inlineStr">
        <is>
          <t>AUCKLAND, NEW ZEALAND</t>
        </is>
      </c>
      <c r="I540" s="724" t="n">
        <v>9486</v>
      </c>
      <c r="J540" s="723" t="inlineStr">
        <is>
          <t>Km</t>
        </is>
      </c>
      <c r="K540" s="725" t="n">
        <v>3860</v>
      </c>
      <c r="L540" s="740">
        <f>M540-K540</f>
        <v/>
      </c>
      <c r="M540" s="738" t="n">
        <v>27786.5</v>
      </c>
      <c r="N540" s="1773" t="n">
        <v>19365.8</v>
      </c>
      <c r="O540" s="1762">
        <f>N540*E540/1000</f>
        <v/>
      </c>
      <c r="P540" s="1763">
        <f>O540/32</f>
        <v/>
      </c>
      <c r="Q540" s="1764">
        <f>N540*I540/1000</f>
        <v/>
      </c>
    </row>
    <row r="541" ht="15.75" customHeight="1">
      <c r="A541" s="728" t="inlineStr">
        <is>
          <t>FO23080042</t>
        </is>
      </c>
      <c r="B541" s="729" t="n">
        <v>45167</v>
      </c>
      <c r="C541" s="730" t="inlineStr">
        <is>
          <t>มัลติแบกซ์</t>
        </is>
      </c>
      <c r="D541" s="730" t="inlineStr">
        <is>
          <t>ท่าเรือแหลมฉบัง</t>
        </is>
      </c>
      <c r="E541" s="731" t="n">
        <v>7.1</v>
      </c>
      <c r="F541" s="728" t="inlineStr">
        <is>
          <t>Km</t>
        </is>
      </c>
      <c r="G541" s="728" t="inlineStr">
        <is>
          <t>รถเทรลเลอร์</t>
        </is>
      </c>
      <c r="H541" s="728" t="inlineStr">
        <is>
          <t>AUCKLAND, NEW ZEALAND</t>
        </is>
      </c>
      <c r="I541" s="733" t="n">
        <v>9486</v>
      </c>
      <c r="J541" s="732" t="inlineStr">
        <is>
          <t>Km</t>
        </is>
      </c>
      <c r="K541" s="734" t="n">
        <v>3830</v>
      </c>
      <c r="L541" s="741">
        <f>M541-K541</f>
        <v/>
      </c>
      <c r="M541" s="739" t="n">
        <v>21616</v>
      </c>
      <c r="N541" s="1772" t="n">
        <v>13065</v>
      </c>
      <c r="O541" s="1762">
        <f>N541*E541/1000</f>
        <v/>
      </c>
      <c r="P541" s="1763">
        <f>O541/32</f>
        <v/>
      </c>
      <c r="Q541" s="1764">
        <f>N541*I541/1000</f>
        <v/>
      </c>
    </row>
    <row r="542" ht="15.75" customHeight="1">
      <c r="A542" s="719" t="inlineStr">
        <is>
          <t>FO23080043</t>
        </is>
      </c>
      <c r="B542" s="720" t="n">
        <v>45167</v>
      </c>
      <c r="C542" s="721" t="inlineStr">
        <is>
          <t>มัลติแบกซ์</t>
        </is>
      </c>
      <c r="D542" s="721" t="inlineStr">
        <is>
          <t>ท่าเรือแหลมฉบัง</t>
        </is>
      </c>
      <c r="E542" s="722" t="n">
        <v>7.1</v>
      </c>
      <c r="F542" s="719" t="inlineStr">
        <is>
          <t>Km</t>
        </is>
      </c>
      <c r="G542" s="719" t="inlineStr">
        <is>
          <t>รถเทรลเลอร์</t>
        </is>
      </c>
      <c r="H542" s="719" t="inlineStr">
        <is>
          <t>AUCKLAND, NEW ZEALAND</t>
        </is>
      </c>
      <c r="I542" s="724" t="n">
        <v>9486</v>
      </c>
      <c r="J542" s="723" t="inlineStr">
        <is>
          <t>Km</t>
        </is>
      </c>
      <c r="K542" s="725" t="n">
        <v>3890</v>
      </c>
      <c r="L542" s="740">
        <f>M542-K542</f>
        <v/>
      </c>
      <c r="M542" s="738" t="n">
        <v>18615</v>
      </c>
      <c r="N542" s="1773" t="n">
        <v>14673</v>
      </c>
      <c r="O542" s="1762">
        <f>N542*E542/1000</f>
        <v/>
      </c>
      <c r="P542" s="1763">
        <f>O542/32</f>
        <v/>
      </c>
      <c r="Q542" s="1764">
        <f>N542*I542/1000</f>
        <v/>
      </c>
    </row>
    <row r="543" ht="15.75" customHeight="1">
      <c r="A543" s="728" t="inlineStr">
        <is>
          <t>FO23080044</t>
        </is>
      </c>
      <c r="B543" s="729" t="n">
        <v>45155</v>
      </c>
      <c r="C543" s="730" t="inlineStr">
        <is>
          <t>มัลติแบกซ์</t>
        </is>
      </c>
      <c r="D543" s="730" t="inlineStr">
        <is>
          <t>ท่าเรือแหลมฉบัง</t>
        </is>
      </c>
      <c r="E543" s="731" t="n">
        <v>7.1</v>
      </c>
      <c r="F543" s="728" t="inlineStr">
        <is>
          <t>Km</t>
        </is>
      </c>
      <c r="G543" s="728" t="inlineStr">
        <is>
          <t>รถเทรลเลอร์</t>
        </is>
      </c>
      <c r="H543" s="728" t="inlineStr">
        <is>
          <t>UNIVERSITY PARK IL, USA</t>
        </is>
      </c>
      <c r="I543" s="733" t="n">
        <v>13877</v>
      </c>
      <c r="J543" s="732" t="inlineStr">
        <is>
          <t>Km</t>
        </is>
      </c>
      <c r="K543" s="734" t="n">
        <v>3840</v>
      </c>
      <c r="L543" s="741">
        <f>M543-K543</f>
        <v/>
      </c>
      <c r="M543" s="739" t="n">
        <v>15854</v>
      </c>
      <c r="N543" s="1772" t="n">
        <v>8988</v>
      </c>
      <c r="O543" s="1762">
        <f>N543*E543/1000</f>
        <v/>
      </c>
      <c r="P543" s="1763">
        <f>O543/32</f>
        <v/>
      </c>
      <c r="Q543" s="1764">
        <f>N543*I543/1000</f>
        <v/>
      </c>
    </row>
    <row r="544" ht="15.75" customHeight="1">
      <c r="A544" s="719" t="inlineStr">
        <is>
          <t>FO23080045</t>
        </is>
      </c>
      <c r="B544" s="720" t="n">
        <v>45155</v>
      </c>
      <c r="C544" s="721" t="inlineStr">
        <is>
          <t>มัลติแบกซ์</t>
        </is>
      </c>
      <c r="D544" s="721" t="inlineStr">
        <is>
          <t>ท่าเรือแหลมฉบัง</t>
        </is>
      </c>
      <c r="E544" s="722" t="n">
        <v>7.1</v>
      </c>
      <c r="F544" s="719" t="inlineStr">
        <is>
          <t>Km</t>
        </is>
      </c>
      <c r="G544" s="719" t="inlineStr">
        <is>
          <t>รถเทรลเลอร์</t>
        </is>
      </c>
      <c r="H544" s="719" t="inlineStr">
        <is>
          <t>UNIVERSITY PARK IL, USA</t>
        </is>
      </c>
      <c r="I544" s="724" t="n">
        <v>13877</v>
      </c>
      <c r="J544" s="723" t="inlineStr">
        <is>
          <t>Km</t>
        </is>
      </c>
      <c r="K544" s="725" t="n">
        <v>3810</v>
      </c>
      <c r="L544" s="740">
        <f>M544-K544</f>
        <v/>
      </c>
      <c r="M544" s="738" t="n">
        <v>13999.8</v>
      </c>
      <c r="N544" s="1773" t="n">
        <v>7660</v>
      </c>
      <c r="O544" s="1762">
        <f>N544*E544/1000</f>
        <v/>
      </c>
      <c r="P544" s="1763">
        <f>O544/32</f>
        <v/>
      </c>
      <c r="Q544" s="1764">
        <f>N544*I544/1000</f>
        <v/>
      </c>
    </row>
    <row r="545" ht="15.75" customHeight="1">
      <c r="A545" s="728" t="inlineStr">
        <is>
          <t>FO23080046</t>
        </is>
      </c>
      <c r="B545" s="729" t="n">
        <v>45155</v>
      </c>
      <c r="C545" s="730" t="inlineStr">
        <is>
          <t>มัลติแบกซ์</t>
        </is>
      </c>
      <c r="D545" s="730" t="inlineStr">
        <is>
          <t>ท่าเรือแหลมฉบัง</t>
        </is>
      </c>
      <c r="E545" s="731" t="n">
        <v>6.5</v>
      </c>
      <c r="F545" s="728" t="inlineStr">
        <is>
          <t>Km</t>
        </is>
      </c>
      <c r="G545" s="728" t="inlineStr">
        <is>
          <t>รถเทรลเลอร์</t>
        </is>
      </c>
      <c r="H545" s="728" t="inlineStr">
        <is>
          <t>UK PORT</t>
        </is>
      </c>
      <c r="I545" s="733" t="n">
        <v>9687</v>
      </c>
      <c r="J545" s="732" t="inlineStr">
        <is>
          <t>Km</t>
        </is>
      </c>
      <c r="K545" s="734" t="n">
        <v>3570</v>
      </c>
      <c r="L545" s="741">
        <f>M545-K545</f>
        <v/>
      </c>
      <c r="M545" s="739" t="n">
        <v>23290</v>
      </c>
      <c r="N545" s="1772" t="n">
        <v>18462</v>
      </c>
      <c r="O545" s="1762">
        <f>N545*E545/1000</f>
        <v/>
      </c>
      <c r="P545" s="1763">
        <f>O545/32</f>
        <v/>
      </c>
      <c r="Q545" s="1764">
        <f>N545*I545/1000</f>
        <v/>
      </c>
    </row>
    <row r="546" ht="15.75" customHeight="1">
      <c r="A546" s="719" t="inlineStr">
        <is>
          <t>FO23080047</t>
        </is>
      </c>
      <c r="B546" s="720" t="n">
        <v>45159</v>
      </c>
      <c r="C546" s="721" t="inlineStr">
        <is>
          <t>มัลติแบกซ์</t>
        </is>
      </c>
      <c r="D546" s="721" t="inlineStr">
        <is>
          <t>ท่าเรือแหลมฉบัง</t>
        </is>
      </c>
      <c r="E546" s="722" t="n">
        <v>3.6</v>
      </c>
      <c r="F546" s="719" t="inlineStr">
        <is>
          <t>Km</t>
        </is>
      </c>
      <c r="G546" s="719" t="inlineStr">
        <is>
          <t>รถเทรลเลอร์</t>
        </is>
      </c>
      <c r="H546" s="719" t="inlineStr">
        <is>
          <t>BUSAN, KOREA</t>
        </is>
      </c>
      <c r="I546" s="724" t="n">
        <v>3740</v>
      </c>
      <c r="J546" s="723" t="inlineStr">
        <is>
          <t>Km</t>
        </is>
      </c>
      <c r="K546" s="725" t="n">
        <v>3730</v>
      </c>
      <c r="L546" s="740">
        <f>M546-K546</f>
        <v/>
      </c>
      <c r="M546" s="738" t="n">
        <v>8674.6</v>
      </c>
      <c r="N546" s="1773" t="n">
        <v>4585.6</v>
      </c>
      <c r="O546" s="1762">
        <f>N546*E546/1000</f>
        <v/>
      </c>
      <c r="P546" s="1763">
        <f>O546/32</f>
        <v/>
      </c>
      <c r="Q546" s="1764">
        <f>N546*I546/1000</f>
        <v/>
      </c>
    </row>
    <row r="547" ht="15.75" customHeight="1">
      <c r="A547" s="728" t="inlineStr">
        <is>
          <t>FO23080048</t>
        </is>
      </c>
      <c r="B547" s="729" t="n">
        <v>45162</v>
      </c>
      <c r="C547" s="730" t="inlineStr">
        <is>
          <t>มัลติแบกซ์</t>
        </is>
      </c>
      <c r="D547" s="730" t="inlineStr">
        <is>
          <t>ท่าเรือแหลมฉบัง</t>
        </is>
      </c>
      <c r="E547" s="731" t="n">
        <v>2.8</v>
      </c>
      <c r="F547" s="728" t="inlineStr">
        <is>
          <t>Km</t>
        </is>
      </c>
      <c r="G547" s="728" t="inlineStr">
        <is>
          <t>รถเทรลเลอร์</t>
        </is>
      </c>
      <c r="H547" s="728" t="inlineStr">
        <is>
          <t>NAGOYA, JAPAN</t>
        </is>
      </c>
      <c r="I547" s="733" t="n">
        <v>4358</v>
      </c>
      <c r="J547" s="732" t="inlineStr">
        <is>
          <t>Km</t>
        </is>
      </c>
      <c r="K547" s="734" t="n">
        <v>2210</v>
      </c>
      <c r="L547" s="741">
        <f>M547-K547</f>
        <v/>
      </c>
      <c r="M547" s="739" t="n">
        <v>7593.35</v>
      </c>
      <c r="N547" s="1772" t="n">
        <v>4255.4</v>
      </c>
      <c r="O547" s="1762">
        <f>N547*E547/1000</f>
        <v/>
      </c>
      <c r="P547" s="1763">
        <f>O547/32</f>
        <v/>
      </c>
      <c r="Q547" s="1764">
        <f>N547*I547/1000</f>
        <v/>
      </c>
    </row>
    <row r="548" ht="15.75" customHeight="1">
      <c r="A548" s="719" t="inlineStr">
        <is>
          <t>FO23080049</t>
        </is>
      </c>
      <c r="B548" s="720" t="n">
        <v>45161</v>
      </c>
      <c r="C548" s="721" t="inlineStr">
        <is>
          <t>มัลติแบกซ์</t>
        </is>
      </c>
      <c r="D548" s="721" t="inlineStr">
        <is>
          <t>ท่าเรือแหลมฉบัง</t>
        </is>
      </c>
      <c r="E548" s="722" t="n">
        <v>7.1</v>
      </c>
      <c r="F548" s="719" t="inlineStr">
        <is>
          <t>Km</t>
        </is>
      </c>
      <c r="G548" s="719" t="inlineStr">
        <is>
          <t>รถเทรลเลอร์</t>
        </is>
      </c>
      <c r="H548" s="719" t="inlineStr">
        <is>
          <t>SYDNEY, AUSTRALIA</t>
        </is>
      </c>
      <c r="I548" s="724" t="n">
        <v>7448</v>
      </c>
      <c r="J548" s="723" t="inlineStr">
        <is>
          <t>Km</t>
        </is>
      </c>
      <c r="K548" s="725" t="n">
        <v>3700</v>
      </c>
      <c r="L548" s="740">
        <f>M548-K548</f>
        <v/>
      </c>
      <c r="M548" s="725" t="n">
        <v>26177</v>
      </c>
      <c r="N548" s="1773" t="n">
        <v>18512</v>
      </c>
      <c r="O548" s="1762">
        <f>N548*E548/1000</f>
        <v/>
      </c>
      <c r="P548" s="1763">
        <f>O548/32</f>
        <v/>
      </c>
      <c r="Q548" s="1764">
        <f>N548*I548/1000</f>
        <v/>
      </c>
    </row>
    <row r="549" ht="15.75" customHeight="1">
      <c r="A549" s="728" t="inlineStr">
        <is>
          <t>FO23080050</t>
        </is>
      </c>
      <c r="B549" s="729" t="n">
        <v>45161</v>
      </c>
      <c r="C549" s="730" t="inlineStr">
        <is>
          <t>มัลติแบกซ์</t>
        </is>
      </c>
      <c r="D549" s="730" t="inlineStr">
        <is>
          <t>ท่าเรือแหลมฉบัง</t>
        </is>
      </c>
      <c r="E549" s="731" t="n">
        <v>7.1</v>
      </c>
      <c r="F549" s="728" t="inlineStr">
        <is>
          <t>Km</t>
        </is>
      </c>
      <c r="G549" s="728" t="inlineStr">
        <is>
          <t>รถเทรลเลอร์</t>
        </is>
      </c>
      <c r="H549" s="728" t="inlineStr">
        <is>
          <t>SYDNEY, AUSTRALIA</t>
        </is>
      </c>
      <c r="I549" s="733" t="n">
        <v>7448</v>
      </c>
      <c r="J549" s="732" t="inlineStr">
        <is>
          <t>Km</t>
        </is>
      </c>
      <c r="K549" s="734" t="n">
        <v>3770</v>
      </c>
      <c r="L549" s="741">
        <f>M549-K549</f>
        <v/>
      </c>
      <c r="M549" s="739" t="n">
        <v>24472</v>
      </c>
      <c r="N549" s="1772" t="n">
        <v>16560</v>
      </c>
      <c r="O549" s="1762">
        <f>N549*E549/1000</f>
        <v/>
      </c>
      <c r="P549" s="1763">
        <f>O549/32</f>
        <v/>
      </c>
      <c r="Q549" s="1764">
        <f>N549*I549/1000</f>
        <v/>
      </c>
    </row>
    <row r="550" ht="15.75" customHeight="1">
      <c r="A550" s="719" t="inlineStr">
        <is>
          <t>FO23080051</t>
        </is>
      </c>
      <c r="B550" s="720" t="n">
        <v>45161</v>
      </c>
      <c r="C550" s="721" t="inlineStr">
        <is>
          <t>มัลติแบกซ์</t>
        </is>
      </c>
      <c r="D550" s="721" t="inlineStr">
        <is>
          <t>ท่าเรือแหลมฉบัง</t>
        </is>
      </c>
      <c r="E550" s="722" t="n">
        <v>7.1</v>
      </c>
      <c r="F550" s="719" t="inlineStr">
        <is>
          <t>Km</t>
        </is>
      </c>
      <c r="G550" s="719" t="inlineStr">
        <is>
          <t>รถเทรลเลอร์</t>
        </is>
      </c>
      <c r="H550" s="719" t="inlineStr">
        <is>
          <t>SYDNEY, AUSTRALIA</t>
        </is>
      </c>
      <c r="I550" s="724" t="n">
        <v>7448</v>
      </c>
      <c r="J550" s="723" t="inlineStr">
        <is>
          <t>Km</t>
        </is>
      </c>
      <c r="K550" s="725" t="n">
        <v>3580</v>
      </c>
      <c r="L550" s="740">
        <f>M550-K550</f>
        <v/>
      </c>
      <c r="M550" s="738" t="n">
        <v>27707</v>
      </c>
      <c r="N550" s="1773" t="n">
        <v>21730</v>
      </c>
      <c r="O550" s="1762">
        <f>N550*E550/1000</f>
        <v/>
      </c>
      <c r="P550" s="1763">
        <f>O550/32</f>
        <v/>
      </c>
      <c r="Q550" s="1764">
        <f>N550*I550/1000</f>
        <v/>
      </c>
    </row>
    <row r="551" ht="15.75" customHeight="1">
      <c r="A551" s="728" t="inlineStr">
        <is>
          <t>FO23080052</t>
        </is>
      </c>
      <c r="B551" s="729" t="n">
        <v>45161</v>
      </c>
      <c r="C551" s="730" t="inlineStr">
        <is>
          <t>มัลติแบกซ์</t>
        </is>
      </c>
      <c r="D551" s="730" t="inlineStr">
        <is>
          <t>ท่าเรือแหลมฉบัง</t>
        </is>
      </c>
      <c r="E551" s="731" t="n">
        <v>7.1</v>
      </c>
      <c r="F551" s="728" t="inlineStr">
        <is>
          <t>Km</t>
        </is>
      </c>
      <c r="G551" s="728" t="inlineStr">
        <is>
          <t>รถเทรลเลอร์</t>
        </is>
      </c>
      <c r="H551" s="728" t="inlineStr">
        <is>
          <t>SYDNEY, AUSTRALIA</t>
        </is>
      </c>
      <c r="I551" s="733" t="n">
        <v>7448</v>
      </c>
      <c r="J551" s="732" t="inlineStr">
        <is>
          <t>Km</t>
        </is>
      </c>
      <c r="K551" s="734" t="n">
        <v>3610</v>
      </c>
      <c r="L551" s="741">
        <f>M551-K551</f>
        <v/>
      </c>
      <c r="M551" s="734" t="n">
        <v>17836</v>
      </c>
      <c r="N551" s="1772" t="n">
        <v>7277.9</v>
      </c>
      <c r="O551" s="1762">
        <f>N551*E551/1000</f>
        <v/>
      </c>
      <c r="P551" s="1763">
        <f>O551/32</f>
        <v/>
      </c>
      <c r="Q551" s="1764">
        <f>N551*I551/1000</f>
        <v/>
      </c>
    </row>
    <row r="552" ht="15.75" customHeight="1">
      <c r="A552" s="719" t="inlineStr">
        <is>
          <t>FO23080053</t>
        </is>
      </c>
      <c r="B552" s="720" t="n">
        <v>45166</v>
      </c>
      <c r="C552" s="721" t="inlineStr">
        <is>
          <t>มัลติแบกซ์</t>
        </is>
      </c>
      <c r="D552" s="721" t="inlineStr">
        <is>
          <t>ท่าเรือแหลมฉบัง</t>
        </is>
      </c>
      <c r="E552" s="722" t="n">
        <v>7.1</v>
      </c>
      <c r="F552" s="719" t="inlineStr">
        <is>
          <t>Km</t>
        </is>
      </c>
      <c r="G552" s="719" t="inlineStr">
        <is>
          <t>รถเทรลเลอร์</t>
        </is>
      </c>
      <c r="H552" s="719" t="inlineStr">
        <is>
          <t>MELBOURNE, AUSTRALIA</t>
        </is>
      </c>
      <c r="I552" s="724" t="n">
        <v>7283</v>
      </c>
      <c r="J552" s="723" t="inlineStr">
        <is>
          <t>Km</t>
        </is>
      </c>
      <c r="K552" s="725" t="n">
        <v>3700</v>
      </c>
      <c r="L552" s="740">
        <f>M552-K552</f>
        <v/>
      </c>
      <c r="M552" s="738" t="n">
        <v>27762</v>
      </c>
      <c r="N552" s="1773" t="n">
        <v>20162</v>
      </c>
      <c r="O552" s="1762">
        <f>N552*E552/1000</f>
        <v/>
      </c>
      <c r="P552" s="1763">
        <f>O552/32</f>
        <v/>
      </c>
      <c r="Q552" s="1764">
        <f>N552*I552/1000</f>
        <v/>
      </c>
    </row>
    <row r="553" ht="15.75" customHeight="1">
      <c r="A553" s="728" t="inlineStr">
        <is>
          <t>FO23080055</t>
        </is>
      </c>
      <c r="B553" s="729" t="n">
        <v>45166</v>
      </c>
      <c r="C553" s="730" t="inlineStr">
        <is>
          <t>มัลติแบกซ์</t>
        </is>
      </c>
      <c r="D553" s="730" t="inlineStr">
        <is>
          <t>ท่าเรือแหลมฉบัง</t>
        </is>
      </c>
      <c r="E553" s="731" t="n">
        <v>7.1</v>
      </c>
      <c r="F553" s="728" t="inlineStr">
        <is>
          <t>Km</t>
        </is>
      </c>
      <c r="G553" s="728" t="inlineStr">
        <is>
          <t>รถเทรลเลอร์</t>
        </is>
      </c>
      <c r="H553" s="728" t="inlineStr">
        <is>
          <t>MELBOURNE, AUSTRALIA</t>
        </is>
      </c>
      <c r="I553" s="733" t="n">
        <v>7283</v>
      </c>
      <c r="J553" s="732" t="inlineStr">
        <is>
          <t>Km</t>
        </is>
      </c>
      <c r="K553" s="734" t="n">
        <v>2200</v>
      </c>
      <c r="L553" s="741">
        <f>M553-K553</f>
        <v/>
      </c>
      <c r="M553" s="739" t="n">
        <v>8627</v>
      </c>
      <c r="N553" s="1772" t="n">
        <v>3697</v>
      </c>
      <c r="O553" s="1762">
        <f>N553*E553/1000</f>
        <v/>
      </c>
      <c r="P553" s="1763">
        <f>O553/32</f>
        <v/>
      </c>
      <c r="Q553" s="1764">
        <f>N553*I553/1000</f>
        <v/>
      </c>
    </row>
    <row r="554" ht="15.75" customHeight="1">
      <c r="A554" s="719" t="inlineStr">
        <is>
          <t>FO23080056</t>
        </is>
      </c>
      <c r="B554" s="720" t="n">
        <v>45161</v>
      </c>
      <c r="C554" s="721" t="inlineStr">
        <is>
          <t>มัลติแบกซ์</t>
        </is>
      </c>
      <c r="D554" s="721" t="inlineStr">
        <is>
          <t>ท่าเรือแหลมฉบัง</t>
        </is>
      </c>
      <c r="E554" s="722" t="n">
        <v>7.1</v>
      </c>
      <c r="F554" s="719" t="inlineStr">
        <is>
          <t>Km</t>
        </is>
      </c>
      <c r="G554" s="719" t="inlineStr">
        <is>
          <t>รถเทรลเลอร์</t>
        </is>
      </c>
      <c r="H554" s="719" t="inlineStr">
        <is>
          <t>GUANGZHOU, CHINA</t>
        </is>
      </c>
      <c r="I554" s="724" t="n">
        <v>2597</v>
      </c>
      <c r="J554" s="723" t="inlineStr">
        <is>
          <t>Km</t>
        </is>
      </c>
      <c r="K554" s="725" t="n">
        <v>2100</v>
      </c>
      <c r="L554" s="740">
        <f>M554-K554</f>
        <v/>
      </c>
      <c r="M554" s="738" t="n">
        <v>8918</v>
      </c>
      <c r="N554" s="1773" t="n">
        <v>5613</v>
      </c>
      <c r="O554" s="1762">
        <f>N554*E554/1000</f>
        <v/>
      </c>
      <c r="P554" s="1763">
        <f>O554/32</f>
        <v/>
      </c>
      <c r="Q554" s="1764">
        <f>N554*I554/1000</f>
        <v/>
      </c>
    </row>
    <row r="555" ht="15.75" customHeight="1">
      <c r="A555" s="728" t="inlineStr">
        <is>
          <t>FO23080057</t>
        </is>
      </c>
      <c r="B555" s="729" t="n">
        <v>45163</v>
      </c>
      <c r="C555" s="730" t="inlineStr">
        <is>
          <t>มัลติแบกซ์</t>
        </is>
      </c>
      <c r="D555" s="730" t="inlineStr">
        <is>
          <t>ท่าเรือแหลมฉบัง</t>
        </is>
      </c>
      <c r="E555" s="731" t="n">
        <v>5.3</v>
      </c>
      <c r="F555" s="728" t="inlineStr">
        <is>
          <t>Km</t>
        </is>
      </c>
      <c r="G555" s="728" t="inlineStr">
        <is>
          <t>รถเทรลเลอร์</t>
        </is>
      </c>
      <c r="H555" s="728" t="inlineStr">
        <is>
          <t>HONG KONG</t>
        </is>
      </c>
      <c r="I555" s="733" t="n">
        <v>1734</v>
      </c>
      <c r="J555" s="732" t="inlineStr">
        <is>
          <t>Km</t>
        </is>
      </c>
      <c r="K555" s="734" t="n">
        <v>3640</v>
      </c>
      <c r="L555" s="741">
        <f>M555-K555</f>
        <v/>
      </c>
      <c r="M555" s="739" t="n">
        <v>16500.2</v>
      </c>
      <c r="N555" s="1772" t="n">
        <v>10106.6</v>
      </c>
      <c r="O555" s="1762">
        <f>N555*E555/1000</f>
        <v/>
      </c>
      <c r="P555" s="1763">
        <f>O555/32</f>
        <v/>
      </c>
      <c r="Q555" s="1764">
        <f>N555*I555/1000</f>
        <v/>
      </c>
    </row>
    <row r="556" ht="15.75" customHeight="1">
      <c r="A556" s="719" t="inlineStr">
        <is>
          <t>FO23080058</t>
        </is>
      </c>
      <c r="B556" s="720" t="n">
        <v>45162</v>
      </c>
      <c r="C556" s="721" t="inlineStr">
        <is>
          <t>มัลติแบกซ์</t>
        </is>
      </c>
      <c r="D556" s="721" t="inlineStr">
        <is>
          <t>ท่าเรือแหลมฉบัง</t>
        </is>
      </c>
      <c r="E556" s="722" t="n">
        <v>5.2</v>
      </c>
      <c r="F556" s="719" t="inlineStr">
        <is>
          <t>Km</t>
        </is>
      </c>
      <c r="G556" s="719" t="inlineStr">
        <is>
          <t>รถเทรลเลอร์</t>
        </is>
      </c>
      <c r="H556" s="719" t="inlineStr">
        <is>
          <t>APPLETON WI , USA</t>
        </is>
      </c>
      <c r="I556" s="724" t="n">
        <v>13558</v>
      </c>
      <c r="J556" s="723" t="inlineStr">
        <is>
          <t>Km</t>
        </is>
      </c>
      <c r="K556" s="725" t="n">
        <v>3760</v>
      </c>
      <c r="L556" s="740">
        <f>M556-K556</f>
        <v/>
      </c>
      <c r="M556" s="738" t="n">
        <v>14708.4</v>
      </c>
      <c r="N556" s="1773" t="n">
        <v>7650.4</v>
      </c>
      <c r="O556" s="1762">
        <f>N556*E556/1000</f>
        <v/>
      </c>
      <c r="P556" s="1763">
        <f>O556/32</f>
        <v/>
      </c>
      <c r="Q556" s="1764">
        <f>N556*I556/1000</f>
        <v/>
      </c>
    </row>
    <row r="557" ht="15.75" customHeight="1">
      <c r="A557" s="728" t="inlineStr">
        <is>
          <t>FO23080059</t>
        </is>
      </c>
      <c r="B557" s="729" t="n">
        <v>45156</v>
      </c>
      <c r="C557" s="730" t="inlineStr">
        <is>
          <t>มัลติแบกซ์</t>
        </is>
      </c>
      <c r="D557" s="730" t="inlineStr">
        <is>
          <t>ท่าเรือแหลมฉบัง</t>
        </is>
      </c>
      <c r="E557" s="731" t="n">
        <v>7.1</v>
      </c>
      <c r="F557" s="728" t="inlineStr">
        <is>
          <t>Km</t>
        </is>
      </c>
      <c r="G557" s="728" t="inlineStr">
        <is>
          <t>รถเทรลเลอร์</t>
        </is>
      </c>
      <c r="H557" s="728" t="inlineStr">
        <is>
          <t>MANILA, PHILIPPINES</t>
        </is>
      </c>
      <c r="I557" s="733" t="n">
        <v>2167</v>
      </c>
      <c r="J557" s="732" t="inlineStr">
        <is>
          <t>Km</t>
        </is>
      </c>
      <c r="K557" s="734" t="n">
        <v>2180</v>
      </c>
      <c r="L557" s="741">
        <f>M557-K557</f>
        <v/>
      </c>
      <c r="M557" s="739" t="n">
        <v>6578.66</v>
      </c>
      <c r="N557" s="1772" t="n">
        <v>3294.44</v>
      </c>
      <c r="O557" s="1762">
        <f>N557*E557/1000</f>
        <v/>
      </c>
      <c r="P557" s="1763">
        <f>O557/32</f>
        <v/>
      </c>
      <c r="Q557" s="1764">
        <f>N557*I557/1000</f>
        <v/>
      </c>
    </row>
    <row r="558" ht="15.75" customHeight="1">
      <c r="A558" s="719" t="inlineStr">
        <is>
          <t>FO23080060</t>
        </is>
      </c>
      <c r="B558" s="720" t="n">
        <v>45161</v>
      </c>
      <c r="C558" s="721" t="inlineStr">
        <is>
          <t>มัลติแบกซ์</t>
        </is>
      </c>
      <c r="D558" s="721" t="inlineStr">
        <is>
          <t>ท่าเรือแหลมฉบัง</t>
        </is>
      </c>
      <c r="E558" s="722" t="n">
        <v>11.7</v>
      </c>
      <c r="F558" s="719" t="inlineStr">
        <is>
          <t>Km</t>
        </is>
      </c>
      <c r="G558" s="719" t="inlineStr">
        <is>
          <t>รถเทรลเลอร์</t>
        </is>
      </c>
      <c r="H558" s="719" t="inlineStr">
        <is>
          <t>COLUMBUS OHIO, USA</t>
        </is>
      </c>
      <c r="I558" s="724" t="n">
        <v>14000</v>
      </c>
      <c r="J558" s="723" t="inlineStr">
        <is>
          <t>Km</t>
        </is>
      </c>
      <c r="K558" s="725" t="n">
        <v>3720</v>
      </c>
      <c r="L558" s="740">
        <f>M558-K558</f>
        <v/>
      </c>
      <c r="M558" s="738" t="n">
        <v>21248.92</v>
      </c>
      <c r="N558" s="1773" t="n">
        <v>15277.46</v>
      </c>
      <c r="O558" s="1762">
        <f>N558*E558/1000</f>
        <v/>
      </c>
      <c r="P558" s="1763">
        <f>O558/32</f>
        <v/>
      </c>
      <c r="Q558" s="1764">
        <f>N558*I558/1000</f>
        <v/>
      </c>
    </row>
    <row r="559" ht="15.75" customHeight="1">
      <c r="A559" s="728" t="inlineStr">
        <is>
          <t>FO23080061</t>
        </is>
      </c>
      <c r="B559" s="729" t="n">
        <v>45162</v>
      </c>
      <c r="C559" s="730" t="inlineStr">
        <is>
          <t>มัลติแบกซ์</t>
        </is>
      </c>
      <c r="D559" s="730" t="inlineStr">
        <is>
          <t>ท่าเรือแหลมฉบัง</t>
        </is>
      </c>
      <c r="E559" s="731" t="n">
        <v>6.5</v>
      </c>
      <c r="F559" s="728" t="inlineStr">
        <is>
          <t>Km</t>
        </is>
      </c>
      <c r="G559" s="728" t="inlineStr">
        <is>
          <t>รถเทรลเลอร์</t>
        </is>
      </c>
      <c r="H559" s="728" t="inlineStr">
        <is>
          <t>SOUTH BOSTON VA, USA</t>
        </is>
      </c>
      <c r="I559" s="733" t="n">
        <v>13787</v>
      </c>
      <c r="J559" s="732" t="inlineStr">
        <is>
          <t>Km</t>
        </is>
      </c>
      <c r="K559" s="734" t="n">
        <v>3880</v>
      </c>
      <c r="L559" s="741">
        <f>M559-K559</f>
        <v/>
      </c>
      <c r="M559" s="739" t="n">
        <v>22846</v>
      </c>
      <c r="N559" s="1772" t="n">
        <v>15477</v>
      </c>
      <c r="O559" s="1762">
        <f>N559*E559/1000</f>
        <v/>
      </c>
      <c r="P559" s="1763">
        <f>O559/32</f>
        <v/>
      </c>
      <c r="Q559" s="1764">
        <f>N559*I559/1000</f>
        <v/>
      </c>
    </row>
    <row r="560" ht="15.75" customHeight="1">
      <c r="A560" s="719" t="inlineStr">
        <is>
          <t>FO23080062</t>
        </is>
      </c>
      <c r="B560" s="720" t="n">
        <v>45159</v>
      </c>
      <c r="C560" s="721" t="inlineStr">
        <is>
          <t>มัลติแบกซ์</t>
        </is>
      </c>
      <c r="D560" s="721" t="inlineStr">
        <is>
          <t>ท่าเรือแหลมฉบัง</t>
        </is>
      </c>
      <c r="E560" s="722" t="n">
        <v>7.1</v>
      </c>
      <c r="F560" s="719" t="inlineStr">
        <is>
          <t>Km</t>
        </is>
      </c>
      <c r="G560" s="719" t="inlineStr">
        <is>
          <t>รถเทรลเลอร์</t>
        </is>
      </c>
      <c r="H560" s="719" t="inlineStr">
        <is>
          <t>APPLETON WI , USA</t>
        </is>
      </c>
      <c r="I560" s="724" t="n">
        <v>13558</v>
      </c>
      <c r="J560" s="723" t="inlineStr">
        <is>
          <t>Km</t>
        </is>
      </c>
      <c r="K560" s="725" t="n">
        <v>3830</v>
      </c>
      <c r="L560" s="740">
        <f>M560-K560</f>
        <v/>
      </c>
      <c r="M560" s="738" t="n">
        <v>22291</v>
      </c>
      <c r="N560" s="1773" t="n">
        <v>15081</v>
      </c>
      <c r="O560" s="1762">
        <f>N560*E560/1000</f>
        <v/>
      </c>
      <c r="P560" s="1763">
        <f>O560/32</f>
        <v/>
      </c>
      <c r="Q560" s="1764">
        <f>N560*I560/1000</f>
        <v/>
      </c>
    </row>
    <row r="561" ht="15.75" customHeight="1">
      <c r="A561" s="728" t="inlineStr">
        <is>
          <t>FO23080063</t>
        </is>
      </c>
      <c r="B561" s="729" t="n">
        <v>45161</v>
      </c>
      <c r="C561" s="730" t="inlineStr">
        <is>
          <t>มัลติแบกซ์</t>
        </is>
      </c>
      <c r="D561" s="730" t="inlineStr">
        <is>
          <t>ท่าเรือแหลมฉบัง</t>
        </is>
      </c>
      <c r="E561" s="731" t="n">
        <v>6.2</v>
      </c>
      <c r="F561" s="728" t="inlineStr">
        <is>
          <t>Km</t>
        </is>
      </c>
      <c r="G561" s="728" t="inlineStr">
        <is>
          <t>รถเทรลเลอร์</t>
        </is>
      </c>
      <c r="H561" s="728" t="inlineStr">
        <is>
          <t>PERRIS CA, USA</t>
        </is>
      </c>
      <c r="I561" s="733" t="n">
        <v>13413</v>
      </c>
      <c r="J561" s="732" t="inlineStr">
        <is>
          <t>Km</t>
        </is>
      </c>
      <c r="K561" s="734" t="n">
        <v>3870</v>
      </c>
      <c r="L561" s="741">
        <f>M561-K561</f>
        <v/>
      </c>
      <c r="M561" s="739" t="n">
        <v>19373</v>
      </c>
      <c r="N561" s="1772" t="n">
        <v>15501</v>
      </c>
      <c r="O561" s="1762">
        <f>N561*E561/1000</f>
        <v/>
      </c>
      <c r="P561" s="1763">
        <f>O561/32</f>
        <v/>
      </c>
      <c r="Q561" s="1764">
        <f>N561*I561/1000</f>
        <v/>
      </c>
    </row>
    <row r="562" ht="15.75" customHeight="1">
      <c r="A562" s="719" t="inlineStr">
        <is>
          <t>FO23080064</t>
        </is>
      </c>
      <c r="B562" s="720" t="n">
        <v>45166</v>
      </c>
      <c r="C562" s="721" t="inlineStr">
        <is>
          <t>มัลติแบกซ์</t>
        </is>
      </c>
      <c r="D562" s="721" t="inlineStr">
        <is>
          <t>ท่าเรือแหลมฉบัง</t>
        </is>
      </c>
      <c r="E562" s="722" t="n">
        <v>5.2</v>
      </c>
      <c r="F562" s="719" t="inlineStr">
        <is>
          <t>Km</t>
        </is>
      </c>
      <c r="G562" s="719" t="inlineStr">
        <is>
          <t>รถเทรลเลอร์</t>
        </is>
      </c>
      <c r="H562" s="719" t="inlineStr">
        <is>
          <t>MANILA, PHILIPPINES</t>
        </is>
      </c>
      <c r="I562" s="724" t="n">
        <v>2167</v>
      </c>
      <c r="J562" s="723" t="inlineStr">
        <is>
          <t>Km</t>
        </is>
      </c>
      <c r="K562" s="725" t="n">
        <v>2190</v>
      </c>
      <c r="L562" s="740">
        <f>M562-K562</f>
        <v/>
      </c>
      <c r="M562" s="738" t="n">
        <v>6323.5</v>
      </c>
      <c r="N562" s="1773" t="n">
        <v>2706.5</v>
      </c>
      <c r="O562" s="1762">
        <f>N562*E562/1000</f>
        <v/>
      </c>
      <c r="P562" s="1763">
        <f>O562/32</f>
        <v/>
      </c>
      <c r="Q562" s="1764">
        <f>N562*I562/1000</f>
        <v/>
      </c>
    </row>
    <row r="563" ht="15.75" customHeight="1">
      <c r="A563" s="728" t="inlineStr">
        <is>
          <t>FO23080065</t>
        </is>
      </c>
      <c r="B563" s="729" t="n">
        <v>45162</v>
      </c>
      <c r="C563" s="730" t="inlineStr">
        <is>
          <t>มัลติแบกซ์</t>
        </is>
      </c>
      <c r="D563" s="730" t="inlineStr">
        <is>
          <t>ท่าเรือแหลมฉบัง</t>
        </is>
      </c>
      <c r="E563" s="731" t="n">
        <v>6.2</v>
      </c>
      <c r="F563" s="728" t="inlineStr">
        <is>
          <t>Km</t>
        </is>
      </c>
      <c r="G563" s="728" t="inlineStr">
        <is>
          <t>รถเทรลเลอร์</t>
        </is>
      </c>
      <c r="H563" s="728" t="inlineStr">
        <is>
          <t>APPLETON WI , USA</t>
        </is>
      </c>
      <c r="I563" s="733" t="n">
        <v>13558</v>
      </c>
      <c r="J563" s="732" t="inlineStr">
        <is>
          <t>Km</t>
        </is>
      </c>
      <c r="K563" s="734" t="n">
        <v>3900</v>
      </c>
      <c r="L563" s="741">
        <f>M563-K563</f>
        <v/>
      </c>
      <c r="M563" s="739" t="n">
        <v>17839</v>
      </c>
      <c r="N563" s="1772" t="n">
        <v>10930.5</v>
      </c>
      <c r="O563" s="1762">
        <f>N563*E563/1000</f>
        <v/>
      </c>
      <c r="P563" s="1763">
        <f>O563/32</f>
        <v/>
      </c>
      <c r="Q563" s="1764">
        <f>N563*I563/1000</f>
        <v/>
      </c>
    </row>
    <row r="564" ht="15.75" customHeight="1">
      <c r="A564" s="719" t="inlineStr">
        <is>
          <t>FO23080066</t>
        </is>
      </c>
      <c r="B564" s="720" t="n">
        <v>45166</v>
      </c>
      <c r="C564" s="721" t="inlineStr">
        <is>
          <t>มัลติแบกซ์</t>
        </is>
      </c>
      <c r="D564" s="721" t="inlineStr">
        <is>
          <t>ท่าเรือแหลมฉบัง</t>
        </is>
      </c>
      <c r="E564" s="722" t="n">
        <v>7.1</v>
      </c>
      <c r="F564" s="719" t="inlineStr">
        <is>
          <t>Km</t>
        </is>
      </c>
      <c r="G564" s="719" t="inlineStr">
        <is>
          <t>รถเทรลเลอร์</t>
        </is>
      </c>
      <c r="H564" s="719" t="inlineStr">
        <is>
          <t>CARROLLTON TX, USA</t>
        </is>
      </c>
      <c r="I564" s="724" t="n">
        <v>14544</v>
      </c>
      <c r="J564" s="723" t="inlineStr">
        <is>
          <t>Km</t>
        </is>
      </c>
      <c r="K564" s="725" t="n">
        <v>3800</v>
      </c>
      <c r="L564" s="740">
        <f>M564-K564</f>
        <v/>
      </c>
      <c r="M564" s="738" t="n">
        <v>16315</v>
      </c>
      <c r="N564" s="1773" t="n">
        <v>9835</v>
      </c>
      <c r="O564" s="1762">
        <f>N564*E564/1000</f>
        <v/>
      </c>
      <c r="P564" s="1763">
        <f>O564/32</f>
        <v/>
      </c>
      <c r="Q564" s="1764">
        <f>N564*I564/1000</f>
        <v/>
      </c>
    </row>
    <row r="565" ht="15.75" customHeight="1">
      <c r="A565" s="728" t="inlineStr">
        <is>
          <t>FO23080067</t>
        </is>
      </c>
      <c r="B565" s="729" t="n">
        <v>45167</v>
      </c>
      <c r="C565" s="710" t="inlineStr">
        <is>
          <t>มัลติแบกซ์</t>
        </is>
      </c>
      <c r="D565" s="710" t="inlineStr">
        <is>
          <t>ท่าเรือแหลมฉบัง</t>
        </is>
      </c>
      <c r="E565" s="712" t="n">
        <v>7.1</v>
      </c>
      <c r="F565" s="710" t="inlineStr">
        <is>
          <t>Km</t>
        </is>
      </c>
      <c r="G565" s="710" t="inlineStr">
        <is>
          <t>รถเทรลเลอร์</t>
        </is>
      </c>
      <c r="H565" s="728" t="inlineStr">
        <is>
          <t>SINGAPORE</t>
        </is>
      </c>
      <c r="I565" s="733" t="n">
        <v>1931</v>
      </c>
      <c r="J565" s="715" t="inlineStr">
        <is>
          <t>Km</t>
        </is>
      </c>
      <c r="K565" s="716" t="n">
        <v>5096.93</v>
      </c>
      <c r="L565" s="742" t="n">
        <v>1292.72</v>
      </c>
      <c r="M565" s="743" t="n">
        <v>6389.65</v>
      </c>
      <c r="N565" s="1772" t="n">
        <v>5096.93</v>
      </c>
      <c r="O565" s="1762">
        <f>N565*E565/1000</f>
        <v/>
      </c>
      <c r="P565" s="1763">
        <f>O565/32</f>
        <v/>
      </c>
      <c r="Q565" s="1764">
        <f>N565*I565/1000</f>
        <v/>
      </c>
    </row>
    <row r="566" ht="15.75" customHeight="1">
      <c r="A566" s="719" t="inlineStr">
        <is>
          <t>FO23080068</t>
        </is>
      </c>
      <c r="B566" s="720" t="n">
        <v>45166</v>
      </c>
      <c r="C566" s="721" t="inlineStr">
        <is>
          <t>มัลติแบกซ์</t>
        </is>
      </c>
      <c r="D566" s="721" t="inlineStr">
        <is>
          <t>ท่าเรือแหลมฉบัง</t>
        </is>
      </c>
      <c r="E566" s="722" t="n">
        <v>6.5</v>
      </c>
      <c r="F566" s="719" t="inlineStr">
        <is>
          <t>Km</t>
        </is>
      </c>
      <c r="G566" s="719" t="inlineStr">
        <is>
          <t>รถเทรลเลอร์</t>
        </is>
      </c>
      <c r="H566" s="719" t="inlineStr">
        <is>
          <t>PERRIS CA, USA</t>
        </is>
      </c>
      <c r="I566" s="724" t="n">
        <v>13413</v>
      </c>
      <c r="J566" s="723" t="inlineStr">
        <is>
          <t>Km</t>
        </is>
      </c>
      <c r="K566" s="725" t="n">
        <v>3810</v>
      </c>
      <c r="L566" s="740">
        <f>M566-K566</f>
        <v/>
      </c>
      <c r="M566" s="738" t="n">
        <v>18604.1</v>
      </c>
      <c r="N566" s="1773" t="n">
        <v>12135.55</v>
      </c>
      <c r="O566" s="1762">
        <f>N566*E566/1000</f>
        <v/>
      </c>
      <c r="P566" s="1763">
        <f>O566/32</f>
        <v/>
      </c>
      <c r="Q566" s="1764">
        <f>N566*I566/1000</f>
        <v/>
      </c>
    </row>
    <row r="567" ht="15.75" customHeight="1">
      <c r="A567" s="728" t="inlineStr">
        <is>
          <t>FO23080069</t>
        </is>
      </c>
      <c r="B567" s="729" t="n">
        <v>45167</v>
      </c>
      <c r="C567" s="730" t="inlineStr">
        <is>
          <t>มัลติแบกซ์</t>
        </is>
      </c>
      <c r="D567" s="730" t="inlineStr">
        <is>
          <t>ท่าเรือแหลมฉบัง</t>
        </is>
      </c>
      <c r="E567" s="731" t="n">
        <v>5.2</v>
      </c>
      <c r="F567" s="728" t="inlineStr">
        <is>
          <t>Km</t>
        </is>
      </c>
      <c r="G567" s="728" t="inlineStr">
        <is>
          <t>รถเทรลเลอร์</t>
        </is>
      </c>
      <c r="H567" s="728" t="inlineStr">
        <is>
          <t>APPLETON WI , USA</t>
        </is>
      </c>
      <c r="I567" s="733" t="n">
        <v>13558</v>
      </c>
      <c r="J567" s="732" t="inlineStr">
        <is>
          <t>Km</t>
        </is>
      </c>
      <c r="K567" s="734" t="n">
        <v>3890</v>
      </c>
      <c r="L567" s="741">
        <f>M567-K567</f>
        <v/>
      </c>
      <c r="M567" s="739" t="n">
        <v>13604.5</v>
      </c>
      <c r="N567" s="1772" t="n">
        <v>6937.5</v>
      </c>
      <c r="O567" s="1762">
        <f>N567*E567/1000</f>
        <v/>
      </c>
      <c r="P567" s="1763">
        <f>O567/32</f>
        <v/>
      </c>
      <c r="Q567" s="1764">
        <f>N567*I567/1000</f>
        <v/>
      </c>
    </row>
    <row r="568" ht="15.75" customHeight="1">
      <c r="A568" s="719" t="inlineStr">
        <is>
          <t>FO23080070</t>
        </is>
      </c>
      <c r="B568" s="720" t="n">
        <v>45168</v>
      </c>
      <c r="C568" s="721" t="inlineStr">
        <is>
          <t>มัลติแบกซ์</t>
        </is>
      </c>
      <c r="D568" s="721" t="inlineStr">
        <is>
          <t>ท่าเรือแหลมฉบัง</t>
        </is>
      </c>
      <c r="E568" s="722" t="n">
        <v>6.2</v>
      </c>
      <c r="F568" s="719" t="inlineStr">
        <is>
          <t>Km</t>
        </is>
      </c>
      <c r="G568" s="719" t="inlineStr">
        <is>
          <t>รถเทรลเลอร์</t>
        </is>
      </c>
      <c r="H568" s="719" t="inlineStr">
        <is>
          <t>CARROLLTON TX, USA</t>
        </is>
      </c>
      <c r="I568" s="724" t="n">
        <v>14544</v>
      </c>
      <c r="J568" s="723" t="inlineStr">
        <is>
          <t>Km</t>
        </is>
      </c>
      <c r="K568" s="725" t="n">
        <v>3890</v>
      </c>
      <c r="L568" s="740">
        <f>M568-K568</f>
        <v/>
      </c>
      <c r="M568" s="738" t="n">
        <v>13604.5</v>
      </c>
      <c r="N568" s="1773" t="n">
        <v>6937.5</v>
      </c>
      <c r="O568" s="1762">
        <f>N568*E568/1000</f>
        <v/>
      </c>
      <c r="P568" s="1763">
        <f>O568/32</f>
        <v/>
      </c>
      <c r="Q568" s="1764">
        <f>N568*I568/1000</f>
        <v/>
      </c>
    </row>
    <row r="569" ht="15.75" customHeight="1">
      <c r="A569" s="728" t="inlineStr">
        <is>
          <t>FO23080071</t>
        </is>
      </c>
      <c r="B569" s="729" t="n">
        <v>45166</v>
      </c>
      <c r="C569" s="730" t="inlineStr">
        <is>
          <t>มัลติแบกซ์</t>
        </is>
      </c>
      <c r="D569" s="730" t="inlineStr">
        <is>
          <t>ท่าเรือแหลมฉบัง</t>
        </is>
      </c>
      <c r="E569" s="731" t="n">
        <v>6.5</v>
      </c>
      <c r="F569" s="728" t="inlineStr">
        <is>
          <t>Km</t>
        </is>
      </c>
      <c r="G569" s="728" t="inlineStr">
        <is>
          <t>รถเทรลเลอร์</t>
        </is>
      </c>
      <c r="H569" s="728" t="inlineStr">
        <is>
          <t>UNIVERSITY PARK IL, USA</t>
        </is>
      </c>
      <c r="I569" s="733" t="n">
        <v>13877</v>
      </c>
      <c r="J569" s="732" t="inlineStr">
        <is>
          <t>Km</t>
        </is>
      </c>
      <c r="K569" s="734" t="n">
        <v>3900</v>
      </c>
      <c r="L569" s="741">
        <f>M569-K569</f>
        <v/>
      </c>
      <c r="M569" s="739" t="n">
        <v>15914</v>
      </c>
      <c r="N569" s="1772" t="n">
        <v>8988</v>
      </c>
      <c r="O569" s="1762">
        <f>N569*E569/1000</f>
        <v/>
      </c>
      <c r="P569" s="1763">
        <f>O569/32</f>
        <v/>
      </c>
      <c r="Q569" s="1764">
        <f>N569*I569/1000</f>
        <v/>
      </c>
    </row>
    <row r="570" ht="15.75" customHeight="1">
      <c r="A570" s="719" t="inlineStr">
        <is>
          <t>FO23080072</t>
        </is>
      </c>
      <c r="B570" s="720" t="n">
        <v>45166</v>
      </c>
      <c r="C570" s="721" t="inlineStr">
        <is>
          <t>มัลติแบกซ์</t>
        </is>
      </c>
      <c r="D570" s="721" t="inlineStr">
        <is>
          <t>ท่าเรือแหลมฉบัง</t>
        </is>
      </c>
      <c r="E570" s="722" t="n">
        <v>6.5</v>
      </c>
      <c r="F570" s="719" t="inlineStr">
        <is>
          <t>Km</t>
        </is>
      </c>
      <c r="G570" s="719" t="inlineStr">
        <is>
          <t>รถเทรลเลอร์</t>
        </is>
      </c>
      <c r="H570" s="719" t="inlineStr">
        <is>
          <t>UNIVERSITY PARK IL, USA</t>
        </is>
      </c>
      <c r="I570" s="724" t="n">
        <v>13877</v>
      </c>
      <c r="J570" s="723" t="inlineStr">
        <is>
          <t>Km</t>
        </is>
      </c>
      <c r="K570" s="725" t="n">
        <v>3830</v>
      </c>
      <c r="L570" s="740">
        <f>M570-K570</f>
        <v/>
      </c>
      <c r="M570" s="1769" t="n">
        <v>14019.8</v>
      </c>
      <c r="N570" s="1773" t="n">
        <v>7660</v>
      </c>
      <c r="O570" s="1762">
        <f>N570*E570/1000</f>
        <v/>
      </c>
      <c r="P570" s="1763">
        <f>O570/32</f>
        <v/>
      </c>
      <c r="Q570" s="1764">
        <f>N570*I570/1000</f>
        <v/>
      </c>
    </row>
    <row r="571" ht="15.75" customHeight="1">
      <c r="A571" s="728" t="inlineStr">
        <is>
          <t>FO23080073</t>
        </is>
      </c>
      <c r="B571" s="729" t="n">
        <v>45166</v>
      </c>
      <c r="C571" s="730" t="inlineStr">
        <is>
          <t>มัลติแบกซ์</t>
        </is>
      </c>
      <c r="D571" s="730" t="inlineStr">
        <is>
          <t>ท่าเรือแหลมฉบัง</t>
        </is>
      </c>
      <c r="E571" s="731" t="n">
        <v>6.5</v>
      </c>
      <c r="F571" s="728" t="inlineStr">
        <is>
          <t>Km</t>
        </is>
      </c>
      <c r="G571" s="728" t="inlineStr">
        <is>
          <t>รถเทรลเลอร์</t>
        </is>
      </c>
      <c r="H571" s="728" t="inlineStr">
        <is>
          <t>UNIVERSITY PARK IL, USA</t>
        </is>
      </c>
      <c r="I571" s="733" t="n">
        <v>13877</v>
      </c>
      <c r="J571" s="732" t="inlineStr">
        <is>
          <t>Km</t>
        </is>
      </c>
      <c r="K571" s="734" t="n">
        <v>3830</v>
      </c>
      <c r="L571" s="741">
        <f>M571-K571</f>
        <v/>
      </c>
      <c r="M571" s="739" t="n">
        <v>15844</v>
      </c>
      <c r="N571" s="1772" t="n">
        <v>8988</v>
      </c>
      <c r="O571" s="1762">
        <f>N571*E571/1000</f>
        <v/>
      </c>
      <c r="P571" s="1763">
        <f>O571/32</f>
        <v/>
      </c>
      <c r="Q571" s="1764">
        <f>N571*I571/1000</f>
        <v/>
      </c>
    </row>
    <row r="572" ht="15.75" customHeight="1">
      <c r="A572" s="719" t="inlineStr">
        <is>
          <t>FO23080074</t>
        </is>
      </c>
      <c r="B572" s="720" t="n">
        <v>45166</v>
      </c>
      <c r="C572" s="721" t="inlineStr">
        <is>
          <t>มัลติแบกซ์</t>
        </is>
      </c>
      <c r="D572" s="721" t="inlineStr">
        <is>
          <t>ท่าเรือแหลมฉบัง</t>
        </is>
      </c>
      <c r="E572" s="722" t="n">
        <v>6.5</v>
      </c>
      <c r="F572" s="719" t="inlineStr">
        <is>
          <t>Km</t>
        </is>
      </c>
      <c r="G572" s="719" t="inlineStr">
        <is>
          <t>รถเทรลเลอร์</t>
        </is>
      </c>
      <c r="H572" s="719" t="inlineStr">
        <is>
          <t>UNIVERSITY PARK IL, USA</t>
        </is>
      </c>
      <c r="I572" s="724" t="n">
        <v>13877</v>
      </c>
      <c r="J572" s="723" t="inlineStr">
        <is>
          <t>Km</t>
        </is>
      </c>
      <c r="K572" s="725" t="n">
        <v>3810</v>
      </c>
      <c r="L572" s="740">
        <f>M572-K572</f>
        <v/>
      </c>
      <c r="M572" s="738" t="n">
        <v>13584.2</v>
      </c>
      <c r="N572" s="1773" t="n">
        <v>6917.4</v>
      </c>
      <c r="O572" s="1762">
        <f>N572*E572/1000</f>
        <v/>
      </c>
      <c r="P572" s="1763">
        <f>O572/32</f>
        <v/>
      </c>
      <c r="Q572" s="1764">
        <f>N572*I572/1000</f>
        <v/>
      </c>
    </row>
    <row r="573" ht="15.75" customHeight="1">
      <c r="A573" s="728" t="inlineStr">
        <is>
          <t>FO23080075</t>
        </is>
      </c>
      <c r="B573" s="729" t="n">
        <v>45166</v>
      </c>
      <c r="C573" s="730" t="inlineStr">
        <is>
          <t>มัลติแบกซ์</t>
        </is>
      </c>
      <c r="D573" s="730" t="inlineStr">
        <is>
          <t>ท่าเรือแหลมฉบัง</t>
        </is>
      </c>
      <c r="E573" s="731" t="n">
        <v>6.5</v>
      </c>
      <c r="F573" s="728" t="inlineStr">
        <is>
          <t>Km</t>
        </is>
      </c>
      <c r="G573" s="728" t="inlineStr">
        <is>
          <t>รถเทรลเลอร์</t>
        </is>
      </c>
      <c r="H573" s="728" t="inlineStr">
        <is>
          <t>UNIVERSITY PARK IL, USA</t>
        </is>
      </c>
      <c r="I573" s="733" t="n">
        <v>13877</v>
      </c>
      <c r="J573" s="732" t="inlineStr">
        <is>
          <t>Km</t>
        </is>
      </c>
      <c r="K573" s="734" t="n">
        <v>3840</v>
      </c>
      <c r="L573" s="741">
        <f>M573-K573</f>
        <v/>
      </c>
      <c r="M573" s="739" t="n">
        <v>15854</v>
      </c>
      <c r="N573" s="1772" t="n">
        <v>10758.84</v>
      </c>
      <c r="O573" s="1762">
        <f>N573*E573/1000</f>
        <v/>
      </c>
      <c r="P573" s="1763">
        <f>O573/32</f>
        <v/>
      </c>
      <c r="Q573" s="1764">
        <f>N573*I573/1000</f>
        <v/>
      </c>
    </row>
    <row r="574" ht="15.75" customHeight="1">
      <c r="A574" s="719" t="inlineStr">
        <is>
          <t>FO23080076</t>
        </is>
      </c>
      <c r="B574" s="720" t="n">
        <v>45167</v>
      </c>
      <c r="C574" s="721" t="inlineStr">
        <is>
          <t>มัลติแบกซ์</t>
        </is>
      </c>
      <c r="D574" s="721" t="inlineStr">
        <is>
          <t>ท่าเรือแหลมฉบัง</t>
        </is>
      </c>
      <c r="E574" s="722" t="n">
        <v>7.1</v>
      </c>
      <c r="F574" s="719" t="inlineStr">
        <is>
          <t>Km</t>
        </is>
      </c>
      <c r="G574" s="719" t="inlineStr">
        <is>
          <t>รถเทรลเลอร์</t>
        </is>
      </c>
      <c r="H574" s="719" t="inlineStr">
        <is>
          <t>CARROLLTON TX, USA</t>
        </is>
      </c>
      <c r="I574" s="724" t="n">
        <v>14544</v>
      </c>
      <c r="J574" s="723" t="inlineStr">
        <is>
          <t>Km</t>
        </is>
      </c>
      <c r="K574" s="725" t="n">
        <v>3700</v>
      </c>
      <c r="L574" s="740">
        <f>M574-K574</f>
        <v/>
      </c>
      <c r="M574" s="738" t="n">
        <v>21957.8</v>
      </c>
      <c r="N574" s="1773" t="n">
        <v>4481.9</v>
      </c>
      <c r="O574" s="1762">
        <f>N574*E574/1000</f>
        <v/>
      </c>
      <c r="P574" s="1763">
        <f>O574/32</f>
        <v/>
      </c>
      <c r="Q574" s="1764">
        <f>N574*I574/1000</f>
        <v/>
      </c>
    </row>
    <row r="575" ht="15.75" customHeight="1">
      <c r="A575" s="728" t="inlineStr">
        <is>
          <t>FO23080077</t>
        </is>
      </c>
      <c r="B575" s="729" t="n">
        <v>45169</v>
      </c>
      <c r="C575" s="730" t="inlineStr">
        <is>
          <t>มัลติแบกซ์</t>
        </is>
      </c>
      <c r="D575" s="730" t="inlineStr">
        <is>
          <t>ท่าเรือแหลมฉบัง</t>
        </is>
      </c>
      <c r="E575" s="731" t="n">
        <v>11.9</v>
      </c>
      <c r="F575" s="728" t="inlineStr">
        <is>
          <t>Km</t>
        </is>
      </c>
      <c r="G575" s="728" t="inlineStr">
        <is>
          <t>รถเทรลเลอร์</t>
        </is>
      </c>
      <c r="H575" s="728" t="inlineStr">
        <is>
          <t>AJMAN PORT, UAE</t>
        </is>
      </c>
      <c r="I575" s="733" t="n">
        <v>4929</v>
      </c>
      <c r="J575" s="732" t="inlineStr">
        <is>
          <t>Km</t>
        </is>
      </c>
      <c r="K575" s="734" t="n">
        <v>3745</v>
      </c>
      <c r="L575" s="741">
        <f>M575-K575</f>
        <v/>
      </c>
      <c r="M575" s="739" t="n">
        <v>19951.15</v>
      </c>
      <c r="N575" s="1772" t="n">
        <v>14572.03</v>
      </c>
      <c r="O575" s="1762">
        <f>N575*E575/1000</f>
        <v/>
      </c>
      <c r="P575" s="1763">
        <f>O575/32</f>
        <v/>
      </c>
      <c r="Q575" s="1764">
        <f>N575*I575/1000</f>
        <v/>
      </c>
    </row>
    <row r="576" ht="15.75" customHeight="1">
      <c r="A576" s="719" t="inlineStr">
        <is>
          <t>FO23080078</t>
        </is>
      </c>
      <c r="B576" s="720" t="n">
        <v>45169</v>
      </c>
      <c r="C576" s="721" t="inlineStr">
        <is>
          <t>มัลติแบกซ์</t>
        </is>
      </c>
      <c r="D576" s="721" t="inlineStr">
        <is>
          <t>ท่าเรือแหลมฉบัง</t>
        </is>
      </c>
      <c r="E576" s="722" t="n">
        <v>11.9</v>
      </c>
      <c r="F576" s="719" t="inlineStr">
        <is>
          <t>Km</t>
        </is>
      </c>
      <c r="G576" s="719" t="inlineStr">
        <is>
          <t>รถเทรลเลอร์</t>
        </is>
      </c>
      <c r="H576" s="719" t="inlineStr">
        <is>
          <t>AJMAN PORT, UAE</t>
        </is>
      </c>
      <c r="I576" s="724" t="n">
        <v>4929</v>
      </c>
      <c r="J576" s="723" t="inlineStr">
        <is>
          <t>Km</t>
        </is>
      </c>
      <c r="K576" s="725" t="n">
        <v>3540</v>
      </c>
      <c r="L576" s="740">
        <f>M576-K576</f>
        <v/>
      </c>
      <c r="M576" s="738" t="n">
        <v>15633.68</v>
      </c>
      <c r="N576" s="1773" t="n">
        <v>9764.120000000001</v>
      </c>
      <c r="O576" s="1762">
        <f>N576*E576/1000</f>
        <v/>
      </c>
      <c r="P576" s="1763">
        <f>O576/32</f>
        <v/>
      </c>
      <c r="Q576" s="1764">
        <f>N576*I576/1000</f>
        <v/>
      </c>
    </row>
    <row r="577" ht="15.75" customHeight="1">
      <c r="A577" s="728" t="inlineStr">
        <is>
          <t>FO23080079</t>
        </is>
      </c>
      <c r="B577" s="729" t="n">
        <v>45169</v>
      </c>
      <c r="C577" s="730" t="inlineStr">
        <is>
          <t>มัลติแบกซ์</t>
        </is>
      </c>
      <c r="D577" s="730" t="inlineStr">
        <is>
          <t>ท่าเรือแหลมฉบัง</t>
        </is>
      </c>
      <c r="E577" s="731" t="n">
        <v>11.9</v>
      </c>
      <c r="F577" s="728" t="inlineStr">
        <is>
          <t>Km</t>
        </is>
      </c>
      <c r="G577" s="728" t="inlineStr">
        <is>
          <t>รถเทรลเลอร์</t>
        </is>
      </c>
      <c r="H577" s="728" t="inlineStr">
        <is>
          <t>AJMAN PORT, UAE</t>
        </is>
      </c>
      <c r="I577" s="733" t="n">
        <v>4929</v>
      </c>
      <c r="J577" s="732" t="inlineStr">
        <is>
          <t>Km</t>
        </is>
      </c>
      <c r="K577" s="734" t="n">
        <v>2280</v>
      </c>
      <c r="L577" s="741">
        <f>M577-K577</f>
        <v/>
      </c>
      <c r="M577" s="739" t="n">
        <v>8893.200000000001</v>
      </c>
      <c r="N577" s="1772" t="n">
        <v>5488</v>
      </c>
      <c r="O577" s="1762">
        <f>N577*E577/1000</f>
        <v/>
      </c>
      <c r="P577" s="1763">
        <f>O577/32</f>
        <v/>
      </c>
      <c r="Q577" s="1764">
        <f>N577*I577/1000</f>
        <v/>
      </c>
    </row>
    <row r="578" ht="15.75" customHeight="1">
      <c r="A578" s="756" t="inlineStr">
        <is>
          <t>FO23090001</t>
        </is>
      </c>
      <c r="B578" s="720" t="n">
        <v>45171</v>
      </c>
      <c r="C578" s="721" t="inlineStr">
        <is>
          <t>มัลติแบกซ์</t>
        </is>
      </c>
      <c r="D578" s="721" t="inlineStr">
        <is>
          <t>ท่าเรือแหลมฉบัง</t>
        </is>
      </c>
      <c r="E578" s="722" t="n">
        <v>4.1</v>
      </c>
      <c r="F578" s="721" t="inlineStr">
        <is>
          <t>Km</t>
        </is>
      </c>
      <c r="G578" s="721" t="inlineStr">
        <is>
          <t>รถเทรลเลอร์</t>
        </is>
      </c>
      <c r="H578" s="719" t="inlineStr">
        <is>
          <t>UK PORT</t>
        </is>
      </c>
      <c r="I578" s="724" t="n">
        <v>9687</v>
      </c>
      <c r="J578" s="750" t="inlineStr">
        <is>
          <t>Km</t>
        </is>
      </c>
      <c r="K578" s="725" t="n">
        <v>2200</v>
      </c>
      <c r="L578" s="740">
        <f>M578-K578</f>
        <v/>
      </c>
      <c r="M578" s="1769" t="n">
        <v>7977</v>
      </c>
      <c r="N578" s="1773" t="n">
        <v>4550</v>
      </c>
      <c r="O578" s="1762">
        <f>N578*E578/1000</f>
        <v/>
      </c>
      <c r="P578" s="1763">
        <f>O578/32</f>
        <v/>
      </c>
      <c r="Q578" s="1764">
        <f>N578*I578/1000</f>
        <v/>
      </c>
    </row>
    <row r="579" ht="15.75" customHeight="1">
      <c r="A579" s="757" t="inlineStr">
        <is>
          <t>FO23090002</t>
        </is>
      </c>
      <c r="B579" s="729" t="n">
        <v>45171</v>
      </c>
      <c r="C579" s="730" t="inlineStr">
        <is>
          <t>มัลติแบกซ์</t>
        </is>
      </c>
      <c r="D579" s="730" t="inlineStr">
        <is>
          <t>ท่าเรือแหลมฉบัง</t>
        </is>
      </c>
      <c r="E579" s="731" t="n">
        <v>4.1</v>
      </c>
      <c r="F579" s="728" t="inlineStr">
        <is>
          <t>Km</t>
        </is>
      </c>
      <c r="G579" s="728" t="inlineStr">
        <is>
          <t>รถเทรลเลอร์</t>
        </is>
      </c>
      <c r="H579" s="728" t="inlineStr">
        <is>
          <t>UK PORT</t>
        </is>
      </c>
      <c r="I579" s="733" t="n">
        <v>9687</v>
      </c>
      <c r="J579" s="732" t="inlineStr">
        <is>
          <t>Km</t>
        </is>
      </c>
      <c r="K579" s="734" t="n">
        <v>2220</v>
      </c>
      <c r="L579" s="741">
        <f>M579-K579</f>
        <v/>
      </c>
      <c r="M579" s="739" t="n">
        <v>7977</v>
      </c>
      <c r="N579" s="1772" t="n">
        <v>4550</v>
      </c>
      <c r="O579" s="1762">
        <f>N579*E579/1000</f>
        <v/>
      </c>
      <c r="P579" s="1763">
        <f>O579/32</f>
        <v/>
      </c>
      <c r="Q579" s="1764">
        <f>N579*I579/1000</f>
        <v/>
      </c>
    </row>
    <row r="580" ht="15.75" customHeight="1">
      <c r="A580" s="756" t="inlineStr">
        <is>
          <t>FO23090003</t>
        </is>
      </c>
      <c r="B580" s="720" t="n">
        <v>45173</v>
      </c>
      <c r="C580" s="721" t="inlineStr">
        <is>
          <t>มัลติแบกซ์</t>
        </is>
      </c>
      <c r="D580" s="721" t="inlineStr">
        <is>
          <t>ท่าเรือแหลมฉบัง</t>
        </is>
      </c>
      <c r="E580" s="722" t="n">
        <v>7.1</v>
      </c>
      <c r="F580" s="719" t="inlineStr">
        <is>
          <t>Km</t>
        </is>
      </c>
      <c r="G580" s="719" t="inlineStr">
        <is>
          <t>รถเทรลเลอร์</t>
        </is>
      </c>
      <c r="H580" s="719" t="inlineStr">
        <is>
          <t>SYDNEY, AUSTRALIA</t>
        </is>
      </c>
      <c r="I580" s="724" t="n">
        <v>7448</v>
      </c>
      <c r="J580" s="723" t="inlineStr">
        <is>
          <t>Km</t>
        </is>
      </c>
      <c r="K580" s="725" t="n">
        <v>3700</v>
      </c>
      <c r="L580" s="740">
        <f>M580-K580</f>
        <v/>
      </c>
      <c r="M580" s="1769" t="n">
        <v>27852</v>
      </c>
      <c r="N580" s="1773" t="n">
        <v>20406</v>
      </c>
      <c r="O580" s="1762">
        <f>N580*E580/1000</f>
        <v/>
      </c>
      <c r="P580" s="1763">
        <f>O580/32</f>
        <v/>
      </c>
      <c r="Q580" s="1764">
        <f>N580*I580/1000</f>
        <v/>
      </c>
    </row>
    <row r="581" ht="15.75" customHeight="1">
      <c r="A581" s="757" t="inlineStr">
        <is>
          <t>FO23090004</t>
        </is>
      </c>
      <c r="B581" s="729" t="n">
        <v>45173</v>
      </c>
      <c r="C581" s="730" t="inlineStr">
        <is>
          <t>มัลติแบกซ์</t>
        </is>
      </c>
      <c r="D581" s="730" t="inlineStr">
        <is>
          <t>ท่าเรือแหลมฉบัง</t>
        </is>
      </c>
      <c r="E581" s="731" t="n">
        <v>5.3</v>
      </c>
      <c r="F581" s="728" t="inlineStr">
        <is>
          <t>Km</t>
        </is>
      </c>
      <c r="G581" s="728" t="inlineStr">
        <is>
          <t>รถเทรลเลอร์</t>
        </is>
      </c>
      <c r="H581" s="728" t="inlineStr">
        <is>
          <t>HONG KONG</t>
        </is>
      </c>
      <c r="I581" s="733" t="n">
        <v>1734</v>
      </c>
      <c r="J581" s="732" t="inlineStr">
        <is>
          <t>Km</t>
        </is>
      </c>
      <c r="K581" s="734" t="n">
        <v>3650</v>
      </c>
      <c r="L581" s="741">
        <f>M581-K581</f>
        <v/>
      </c>
      <c r="M581" s="1771" t="n">
        <v>15743</v>
      </c>
      <c r="N581" s="1772" t="n">
        <v>12091</v>
      </c>
      <c r="O581" s="1762">
        <f>N581*E581/1000</f>
        <v/>
      </c>
      <c r="P581" s="1763">
        <f>O581/32</f>
        <v/>
      </c>
      <c r="Q581" s="1764">
        <f>N581*I581/1000</f>
        <v/>
      </c>
    </row>
    <row r="582" ht="15.75" customHeight="1">
      <c r="A582" s="756" t="inlineStr">
        <is>
          <t>FO23090005</t>
        </is>
      </c>
      <c r="B582" s="720" t="n">
        <v>45174</v>
      </c>
      <c r="C582" s="721" t="inlineStr">
        <is>
          <t>มัลติแบกซ์</t>
        </is>
      </c>
      <c r="D582" s="721" t="inlineStr">
        <is>
          <t>ท่าเรือแหลมฉบัง</t>
        </is>
      </c>
      <c r="E582" s="722" t="n">
        <v>3.6</v>
      </c>
      <c r="F582" s="719" t="inlineStr">
        <is>
          <t>Km</t>
        </is>
      </c>
      <c r="G582" s="719" t="inlineStr">
        <is>
          <t>รถเทรลเลอร์</t>
        </is>
      </c>
      <c r="H582" s="719" t="inlineStr">
        <is>
          <t>TOMAKOMAI, JAPAN</t>
        </is>
      </c>
      <c r="I582" s="724" t="n">
        <v>5092</v>
      </c>
      <c r="J582" s="723" t="inlineStr">
        <is>
          <t>Km</t>
        </is>
      </c>
      <c r="K582" s="725" t="n">
        <v>3700</v>
      </c>
      <c r="L582" s="740">
        <f>M582-K582</f>
        <v/>
      </c>
      <c r="M582" s="1769" t="n">
        <v>15170.25</v>
      </c>
      <c r="N582" s="1773" t="n">
        <v>9167.51</v>
      </c>
      <c r="O582" s="1762">
        <f>N582*E582/1000</f>
        <v/>
      </c>
      <c r="P582" s="1763">
        <f>O582/32</f>
        <v/>
      </c>
      <c r="Q582" s="1764">
        <f>N582*I582/1000</f>
        <v/>
      </c>
    </row>
    <row r="583" ht="15.75" customHeight="1">
      <c r="A583" s="757" t="inlineStr">
        <is>
          <t>FO23090006</t>
        </is>
      </c>
      <c r="B583" s="729" t="n">
        <v>45175</v>
      </c>
      <c r="C583" s="730" t="inlineStr">
        <is>
          <t>มัลติแบกซ์</t>
        </is>
      </c>
      <c r="D583" s="730" t="inlineStr">
        <is>
          <t>ท่าเรือแหลมฉบัง</t>
        </is>
      </c>
      <c r="E583" s="731" t="n">
        <v>11.7</v>
      </c>
      <c r="F583" s="728" t="inlineStr">
        <is>
          <t>Km</t>
        </is>
      </c>
      <c r="G583" s="728" t="inlineStr">
        <is>
          <t>รถเทรลเลอร์</t>
        </is>
      </c>
      <c r="H583" s="728" t="inlineStr">
        <is>
          <t>SHIMIZU, JAPAN</t>
        </is>
      </c>
      <c r="I583" s="733" t="n">
        <v>4482</v>
      </c>
      <c r="J583" s="732" t="inlineStr">
        <is>
          <t>Km</t>
        </is>
      </c>
      <c r="K583" s="734" t="n">
        <v>2185</v>
      </c>
      <c r="L583" s="741">
        <f>M583-K583</f>
        <v/>
      </c>
      <c r="M583" s="1771" t="n">
        <v>7627.5</v>
      </c>
      <c r="N583" s="1772" t="n">
        <v>4321.54</v>
      </c>
      <c r="O583" s="1762">
        <f>N583*E583/1000</f>
        <v/>
      </c>
      <c r="P583" s="1763">
        <f>O583/32</f>
        <v/>
      </c>
      <c r="Q583" s="1764">
        <f>N583*I583/1000</f>
        <v/>
      </c>
    </row>
    <row r="584" ht="15.75" customHeight="1">
      <c r="A584" s="756" t="inlineStr">
        <is>
          <t>FO23090007</t>
        </is>
      </c>
      <c r="B584" s="720" t="n">
        <v>45173</v>
      </c>
      <c r="C584" s="721" t="inlineStr">
        <is>
          <t>มัลติแบกซ์</t>
        </is>
      </c>
      <c r="D584" s="721" t="inlineStr">
        <is>
          <t>ท่าเรือแหลมฉบัง</t>
        </is>
      </c>
      <c r="E584" s="722" t="n">
        <v>7.1</v>
      </c>
      <c r="F584" s="719" t="inlineStr">
        <is>
          <t>Km</t>
        </is>
      </c>
      <c r="G584" s="719" t="inlineStr">
        <is>
          <t>รถเทรลเลอร์</t>
        </is>
      </c>
      <c r="H584" s="719" t="inlineStr">
        <is>
          <t>UNIVERSITY PARK IL, USA</t>
        </is>
      </c>
      <c r="I584" s="724" t="n">
        <v>13877</v>
      </c>
      <c r="J584" s="723" t="inlineStr">
        <is>
          <t>Km</t>
        </is>
      </c>
      <c r="K584" s="725" t="n">
        <v>3800</v>
      </c>
      <c r="L584" s="740">
        <f>M584-K584</f>
        <v/>
      </c>
      <c r="M584" s="1769" t="n">
        <v>13989.8</v>
      </c>
      <c r="N584" s="1773" t="n">
        <v>7660</v>
      </c>
      <c r="O584" s="1762">
        <f>N584*E584/1000</f>
        <v/>
      </c>
      <c r="P584" s="1763">
        <f>O584/32</f>
        <v/>
      </c>
      <c r="Q584" s="1764">
        <f>N584*I584/1000</f>
        <v/>
      </c>
    </row>
    <row r="585" ht="15.75" customHeight="1">
      <c r="A585" s="757" t="inlineStr">
        <is>
          <t>FO23090008</t>
        </is>
      </c>
      <c r="B585" s="729" t="n">
        <v>45173</v>
      </c>
      <c r="C585" s="730" t="inlineStr">
        <is>
          <t>มัลติแบกซ์</t>
        </is>
      </c>
      <c r="D585" s="730" t="inlineStr">
        <is>
          <t>ท่าเรือแหลมฉบัง</t>
        </is>
      </c>
      <c r="E585" s="731" t="n">
        <v>7.1</v>
      </c>
      <c r="F585" s="728" t="inlineStr">
        <is>
          <t>Km</t>
        </is>
      </c>
      <c r="G585" s="728" t="inlineStr">
        <is>
          <t>รถเทรลเลอร์</t>
        </is>
      </c>
      <c r="H585" s="728" t="inlineStr">
        <is>
          <t>UNIVERSITY PARK IL, USA</t>
        </is>
      </c>
      <c r="I585" s="733" t="n">
        <v>13877</v>
      </c>
      <c r="J585" s="732" t="inlineStr">
        <is>
          <t>Km</t>
        </is>
      </c>
      <c r="K585" s="734" t="n">
        <v>3700</v>
      </c>
      <c r="L585" s="741">
        <f>M585-K585</f>
        <v/>
      </c>
      <c r="M585" s="1771" t="n">
        <v>23299.5</v>
      </c>
      <c r="N585" s="1772" t="n">
        <v>15795</v>
      </c>
      <c r="O585" s="1762">
        <f>N585*E585/1000</f>
        <v/>
      </c>
      <c r="P585" s="1763">
        <f>O585/32</f>
        <v/>
      </c>
      <c r="Q585" s="1764">
        <f>N585*I585/1000</f>
        <v/>
      </c>
    </row>
    <row r="586" ht="15.75" customHeight="1">
      <c r="A586" s="756" t="inlineStr">
        <is>
          <t>FO23090009</t>
        </is>
      </c>
      <c r="B586" s="720" t="n">
        <v>45173</v>
      </c>
      <c r="C586" s="721" t="inlineStr">
        <is>
          <t>มัลติแบกซ์</t>
        </is>
      </c>
      <c r="D586" s="721" t="inlineStr">
        <is>
          <t>ท่าเรือแหลมฉบัง</t>
        </is>
      </c>
      <c r="E586" s="722" t="n">
        <v>7.1</v>
      </c>
      <c r="F586" s="719" t="inlineStr">
        <is>
          <t>Km</t>
        </is>
      </c>
      <c r="G586" s="719" t="inlineStr">
        <is>
          <t>รถเทรลเลอร์</t>
        </is>
      </c>
      <c r="H586" s="719" t="inlineStr">
        <is>
          <t>UNIVERSITY PARK IL, USA</t>
        </is>
      </c>
      <c r="I586" s="724" t="n">
        <v>13877</v>
      </c>
      <c r="J586" s="723" t="inlineStr">
        <is>
          <t>Km</t>
        </is>
      </c>
      <c r="K586" s="725" t="n">
        <v>3810</v>
      </c>
      <c r="L586" s="740">
        <f>M586-K586</f>
        <v/>
      </c>
      <c r="M586" s="1769" t="n">
        <v>15824</v>
      </c>
      <c r="N586" s="1773" t="n">
        <v>8988</v>
      </c>
      <c r="O586" s="1762">
        <f>N586*E586/1000</f>
        <v/>
      </c>
      <c r="P586" s="1763">
        <f>O586/32</f>
        <v/>
      </c>
      <c r="Q586" s="1764">
        <f>N586*I586/1000</f>
        <v/>
      </c>
    </row>
    <row r="587" ht="15.75" customHeight="1">
      <c r="A587" s="757" t="inlineStr">
        <is>
          <t>FO23090010</t>
        </is>
      </c>
      <c r="B587" s="729" t="n">
        <v>45175</v>
      </c>
      <c r="C587" s="730" t="inlineStr">
        <is>
          <t>มัลติแบกซ์</t>
        </is>
      </c>
      <c r="D587" s="730" t="inlineStr">
        <is>
          <t>ท่าเรือแหลมฉบัง</t>
        </is>
      </c>
      <c r="E587" s="731" t="n">
        <v>7.1</v>
      </c>
      <c r="F587" s="728" t="inlineStr">
        <is>
          <t>Km</t>
        </is>
      </c>
      <c r="G587" s="728" t="inlineStr">
        <is>
          <t>รถเทรลเลอร์</t>
        </is>
      </c>
      <c r="H587" s="728" t="inlineStr">
        <is>
          <t>UNIVERSITY PARK IL, USA</t>
        </is>
      </c>
      <c r="I587" s="733" t="n">
        <v>13877</v>
      </c>
      <c r="J587" s="732" t="inlineStr">
        <is>
          <t>Km</t>
        </is>
      </c>
      <c r="K587" s="734" t="n">
        <v>3830</v>
      </c>
      <c r="L587" s="741">
        <f>M587-K587</f>
        <v/>
      </c>
      <c r="M587" s="1771" t="n">
        <v>14019.8</v>
      </c>
      <c r="N587" s="1772" t="n">
        <v>7660</v>
      </c>
      <c r="O587" s="1762">
        <f>N587*E587/1000</f>
        <v/>
      </c>
      <c r="P587" s="1763">
        <f>O587/32</f>
        <v/>
      </c>
      <c r="Q587" s="1764">
        <f>N587*I587/1000</f>
        <v/>
      </c>
    </row>
    <row r="588" ht="15.75" customHeight="1">
      <c r="A588" s="756" t="inlineStr">
        <is>
          <t>FO23090011</t>
        </is>
      </c>
      <c r="B588" s="720" t="n">
        <v>45176</v>
      </c>
      <c r="C588" s="721" t="inlineStr">
        <is>
          <t>มัลติแบกซ์</t>
        </is>
      </c>
      <c r="D588" s="721" t="inlineStr">
        <is>
          <t>ท่าเรือแหลมฉบัง</t>
        </is>
      </c>
      <c r="E588" s="722" t="n">
        <v>7.1</v>
      </c>
      <c r="F588" s="719" t="inlineStr">
        <is>
          <t>Km</t>
        </is>
      </c>
      <c r="G588" s="719" t="inlineStr">
        <is>
          <t>รถเทรลเลอร์</t>
        </is>
      </c>
      <c r="H588" s="719" t="inlineStr">
        <is>
          <t>UNIVERSITY PARK IL, USA</t>
        </is>
      </c>
      <c r="I588" s="724" t="n">
        <v>13877</v>
      </c>
      <c r="J588" s="723" t="inlineStr">
        <is>
          <t>Km</t>
        </is>
      </c>
      <c r="K588" s="725" t="n">
        <v>3830</v>
      </c>
      <c r="L588" s="740">
        <f>M588-K588</f>
        <v/>
      </c>
      <c r="M588" s="1769" t="n">
        <v>13604.2</v>
      </c>
      <c r="N588" s="1773" t="n">
        <v>6917.4</v>
      </c>
      <c r="O588" s="1762">
        <f>N588*E588/1000</f>
        <v/>
      </c>
      <c r="P588" s="1763">
        <f>O588/32</f>
        <v/>
      </c>
      <c r="Q588" s="1764">
        <f>N588*I588/1000</f>
        <v/>
      </c>
    </row>
    <row r="589" ht="15.75" customHeight="1">
      <c r="A589" s="757" t="inlineStr">
        <is>
          <t>FO23090012</t>
        </is>
      </c>
      <c r="B589" s="729" t="n">
        <v>45175</v>
      </c>
      <c r="C589" s="730" t="inlineStr">
        <is>
          <t>มัลติแบกซ์</t>
        </is>
      </c>
      <c r="D589" s="730" t="inlineStr">
        <is>
          <t>ท่าเรือแหลมฉบัง</t>
        </is>
      </c>
      <c r="E589" s="731" t="n">
        <v>11.9</v>
      </c>
      <c r="F589" s="728" t="inlineStr">
        <is>
          <t>Km</t>
        </is>
      </c>
      <c r="G589" s="728" t="inlineStr">
        <is>
          <t>รถเทรลเลอร์</t>
        </is>
      </c>
      <c r="H589" s="728" t="inlineStr">
        <is>
          <t>HONG KONG</t>
        </is>
      </c>
      <c r="I589" s="733" t="n">
        <v>1734</v>
      </c>
      <c r="J589" s="732" t="inlineStr">
        <is>
          <t>Km</t>
        </is>
      </c>
      <c r="K589" s="734" t="n">
        <v>3820</v>
      </c>
      <c r="L589" s="741">
        <f>M589-K589</f>
        <v/>
      </c>
      <c r="M589" s="1771" t="n">
        <v>15517.3</v>
      </c>
      <c r="N589" s="1772" t="n">
        <v>8899.299999999999</v>
      </c>
      <c r="O589" s="1762">
        <f>N589*E589/1000</f>
        <v/>
      </c>
      <c r="P589" s="1763">
        <f>O589/32</f>
        <v/>
      </c>
      <c r="Q589" s="1764">
        <f>N589*I589/1000</f>
        <v/>
      </c>
    </row>
    <row r="590" ht="15.75" customHeight="1">
      <c r="A590" s="756" t="inlineStr">
        <is>
          <t>FO23090013</t>
        </is>
      </c>
      <c r="B590" s="720" t="n">
        <v>45177</v>
      </c>
      <c r="C590" s="721" t="inlineStr">
        <is>
          <t>มัลติแบกซ์</t>
        </is>
      </c>
      <c r="D590" s="721" t="inlineStr">
        <is>
          <t>ท่าเรือแหลมฉบัง</t>
        </is>
      </c>
      <c r="E590" s="722" t="n">
        <v>6.3</v>
      </c>
      <c r="F590" s="719" t="inlineStr">
        <is>
          <t>Km</t>
        </is>
      </c>
      <c r="G590" s="719" t="inlineStr">
        <is>
          <t>รถเทรลเลอร์</t>
        </is>
      </c>
      <c r="H590" s="719" t="inlineStr">
        <is>
          <t>UK PORT</t>
        </is>
      </c>
      <c r="I590" s="724" t="n">
        <v>9687</v>
      </c>
      <c r="J590" s="723" t="inlineStr">
        <is>
          <t>Km</t>
        </is>
      </c>
      <c r="K590" s="725" t="n">
        <v>3630</v>
      </c>
      <c r="L590" s="740">
        <f>M590-K590</f>
        <v/>
      </c>
      <c r="M590" s="1769" t="n">
        <v>28657</v>
      </c>
      <c r="N590" s="1773" t="n">
        <v>23842</v>
      </c>
      <c r="O590" s="1762">
        <f>N590*E590/1000</f>
        <v/>
      </c>
      <c r="P590" s="1763">
        <f>O590/32</f>
        <v/>
      </c>
      <c r="Q590" s="1764">
        <f>N590*I590/1000</f>
        <v/>
      </c>
    </row>
    <row r="591" ht="15.75" customHeight="1">
      <c r="A591" s="757" t="inlineStr">
        <is>
          <t>FO23090014</t>
        </is>
      </c>
      <c r="B591" s="729" t="n">
        <v>45174</v>
      </c>
      <c r="C591" s="730" t="inlineStr">
        <is>
          <t>มัลติแบกซ์</t>
        </is>
      </c>
      <c r="D591" s="730" t="inlineStr">
        <is>
          <t>ท่าเรือแหลมฉบัง</t>
        </is>
      </c>
      <c r="E591" s="731" t="n">
        <v>11.9</v>
      </c>
      <c r="F591" s="728" t="inlineStr">
        <is>
          <t>Km</t>
        </is>
      </c>
      <c r="G591" s="728" t="inlineStr">
        <is>
          <t>รถเทรลเลอร์</t>
        </is>
      </c>
      <c r="H591" s="728" t="inlineStr">
        <is>
          <t>HAMAD, QATAR</t>
        </is>
      </c>
      <c r="I591" s="733" t="n">
        <v>5317</v>
      </c>
      <c r="J591" s="732" t="inlineStr">
        <is>
          <t>Km</t>
        </is>
      </c>
      <c r="K591" s="734" t="n">
        <v>3640</v>
      </c>
      <c r="L591" s="741">
        <f>M591-K591</f>
        <v/>
      </c>
      <c r="M591" s="1771" t="n">
        <v>17659.36</v>
      </c>
      <c r="N591" s="1772" t="n">
        <v>11742.08</v>
      </c>
      <c r="O591" s="1762">
        <f>N591*E591/1000</f>
        <v/>
      </c>
      <c r="P591" s="1763">
        <f>O591/32</f>
        <v/>
      </c>
      <c r="Q591" s="1764">
        <f>N591*I591/1000</f>
        <v/>
      </c>
    </row>
    <row r="592" ht="15.75" customHeight="1">
      <c r="A592" s="756" t="inlineStr">
        <is>
          <t>FO23090015</t>
        </is>
      </c>
      <c r="B592" s="720" t="n">
        <v>45177</v>
      </c>
      <c r="C592" s="721" t="inlineStr">
        <is>
          <t>มัลติแบกซ์</t>
        </is>
      </c>
      <c r="D592" s="721" t="inlineStr">
        <is>
          <t>ท่าเรือแหลมฉบัง</t>
        </is>
      </c>
      <c r="E592" s="722" t="n">
        <v>6</v>
      </c>
      <c r="F592" s="719" t="inlineStr">
        <is>
          <t>Km</t>
        </is>
      </c>
      <c r="G592" s="719" t="inlineStr">
        <is>
          <t>รถเทรลเลอร์</t>
        </is>
      </c>
      <c r="H592" s="719" t="inlineStr">
        <is>
          <t>HAMAD, QATAR</t>
        </is>
      </c>
      <c r="I592" s="724" t="n">
        <v>5317</v>
      </c>
      <c r="J592" s="723" t="inlineStr">
        <is>
          <t>Km</t>
        </is>
      </c>
      <c r="K592" s="725" t="n">
        <v>2200</v>
      </c>
      <c r="L592" s="740">
        <f>M592-K592</f>
        <v/>
      </c>
      <c r="M592" s="738" t="n">
        <v>6239.93</v>
      </c>
      <c r="N592" s="1773" t="n">
        <v>3003.57</v>
      </c>
      <c r="O592" s="1762">
        <f>N592*E592/1000</f>
        <v/>
      </c>
      <c r="P592" s="1763">
        <f>O592/32</f>
        <v/>
      </c>
      <c r="Q592" s="1764">
        <f>N592*I592/1000</f>
        <v/>
      </c>
    </row>
    <row r="593" ht="15.75" customHeight="1">
      <c r="A593" s="257" t="inlineStr">
        <is>
          <t>FO23090016</t>
        </is>
      </c>
      <c r="B593" s="748" t="n">
        <v>45173</v>
      </c>
      <c r="C593" s="1397" t="inlineStr">
        <is>
          <t>มัลติแบกซ์</t>
        </is>
      </c>
      <c r="D593" s="1397" t="n"/>
      <c r="E593" s="752" t="n"/>
      <c r="F593" s="257" t="n"/>
      <c r="G593" s="257" t="inlineStr">
        <is>
          <t>รถเทรลเลอร์</t>
        </is>
      </c>
      <c r="H593" s="257" t="inlineStr">
        <is>
          <t>SINGAPORE</t>
        </is>
      </c>
      <c r="I593" s="749" t="n">
        <v>1931</v>
      </c>
      <c r="J593" s="258" t="n"/>
      <c r="K593" s="753" t="n">
        <v>3876.1</v>
      </c>
      <c r="L593" s="754" t="n">
        <v>1445</v>
      </c>
      <c r="M593" s="1781" t="n">
        <v>5321.1</v>
      </c>
      <c r="N593" s="1674" t="n">
        <v>3876.1</v>
      </c>
      <c r="O593" s="1762">
        <f>N593*E593/1000</f>
        <v/>
      </c>
      <c r="P593" s="1763">
        <f>O593/32</f>
        <v/>
      </c>
      <c r="Q593" s="1764">
        <f>N593*I593/1000</f>
        <v/>
      </c>
    </row>
    <row r="594" ht="15.75" customHeight="1">
      <c r="A594" s="756" t="inlineStr">
        <is>
          <t>FO23090017</t>
        </is>
      </c>
      <c r="B594" s="720" t="n">
        <v>45184</v>
      </c>
      <c r="C594" s="721" t="inlineStr">
        <is>
          <t>มัลติแบกซ์</t>
        </is>
      </c>
      <c r="D594" s="721" t="inlineStr">
        <is>
          <t>ท่าเรือแหลมฉบัง</t>
        </is>
      </c>
      <c r="E594" s="722" t="n">
        <v>5.3</v>
      </c>
      <c r="F594" s="719" t="inlineStr">
        <is>
          <t>Km</t>
        </is>
      </c>
      <c r="G594" s="719" t="inlineStr">
        <is>
          <t>รถเทรลเลอร์</t>
        </is>
      </c>
      <c r="H594" s="719" t="inlineStr">
        <is>
          <t>HONG KONG</t>
        </is>
      </c>
      <c r="I594" s="724" t="n">
        <v>1734</v>
      </c>
      <c r="J594" s="723" t="inlineStr">
        <is>
          <t>Km</t>
        </is>
      </c>
      <c r="K594" s="725" t="n">
        <v>3650</v>
      </c>
      <c r="L594" s="740">
        <f>M594-K594</f>
        <v/>
      </c>
      <c r="M594" s="1769" t="n">
        <v>15101.6</v>
      </c>
      <c r="N594" s="1773" t="n">
        <v>8805.5</v>
      </c>
      <c r="O594" s="1762">
        <f>N594*E594/1000</f>
        <v/>
      </c>
      <c r="P594" s="1763">
        <f>O594/32</f>
        <v/>
      </c>
      <c r="Q594" s="1764">
        <f>N594*I594/1000</f>
        <v/>
      </c>
    </row>
    <row r="595" ht="15.75" customHeight="1">
      <c r="A595" s="757" t="inlineStr">
        <is>
          <t>FO23090018</t>
        </is>
      </c>
      <c r="B595" s="729" t="n">
        <v>45176</v>
      </c>
      <c r="C595" s="730" t="inlineStr">
        <is>
          <t>มัลติแบกซ์</t>
        </is>
      </c>
      <c r="D595" s="730" t="inlineStr">
        <is>
          <t>ท่าเรือแหลมฉบัง</t>
        </is>
      </c>
      <c r="E595" s="731" t="n">
        <v>11.9</v>
      </c>
      <c r="F595" s="728" t="inlineStr">
        <is>
          <t>Km</t>
        </is>
      </c>
      <c r="G595" s="728" t="inlineStr">
        <is>
          <t>รถเทรลเลอร์</t>
        </is>
      </c>
      <c r="H595" s="728" t="inlineStr">
        <is>
          <t>SINGAPORE</t>
        </is>
      </c>
      <c r="I595" s="733" t="n">
        <v>1931</v>
      </c>
      <c r="J595" s="732" t="inlineStr">
        <is>
          <t>Km</t>
        </is>
      </c>
      <c r="K595" s="734" t="n">
        <v>5239.8</v>
      </c>
      <c r="L595" s="741" t="n">
        <v>1007.6</v>
      </c>
      <c r="M595" s="1771" t="n">
        <v>6247.4</v>
      </c>
      <c r="N595" s="1772" t="n">
        <v>5239.8</v>
      </c>
      <c r="O595" s="1762">
        <f>N595*E595/1000</f>
        <v/>
      </c>
      <c r="P595" s="1763">
        <f>O595/32</f>
        <v/>
      </c>
      <c r="Q595" s="1764">
        <f>N595*I595/1000</f>
        <v/>
      </c>
    </row>
    <row r="596" ht="15.75" customHeight="1">
      <c r="A596" s="756" t="inlineStr">
        <is>
          <t>FO23090019</t>
        </is>
      </c>
      <c r="B596" s="720" t="n">
        <v>45183</v>
      </c>
      <c r="C596" s="721" t="inlineStr">
        <is>
          <t>มัลติแบกซ์</t>
        </is>
      </c>
      <c r="D596" s="721" t="inlineStr">
        <is>
          <t>ท่าเรือแหลมฉบัง</t>
        </is>
      </c>
      <c r="E596" s="722" t="n">
        <v>6.2</v>
      </c>
      <c r="F596" s="719" t="inlineStr">
        <is>
          <t>Km</t>
        </is>
      </c>
      <c r="G596" s="719" t="inlineStr">
        <is>
          <t>รถเทรลเลอร์</t>
        </is>
      </c>
      <c r="H596" s="719" t="inlineStr">
        <is>
          <t>SANTA TERESA, NM USA</t>
        </is>
      </c>
      <c r="I596" s="724" t="n">
        <v>17387</v>
      </c>
      <c r="J596" s="723" t="inlineStr">
        <is>
          <t>Km</t>
        </is>
      </c>
      <c r="K596" s="725" t="n">
        <v>3700</v>
      </c>
      <c r="L596" s="740">
        <f>M596-K596</f>
        <v/>
      </c>
      <c r="M596" s="738" t="n">
        <v>22054.6</v>
      </c>
      <c r="N596" s="1773" t="n">
        <v>15910.16</v>
      </c>
      <c r="O596" s="1762">
        <f>N596*E596/1000</f>
        <v/>
      </c>
      <c r="P596" s="1763">
        <f>O596/32</f>
        <v/>
      </c>
      <c r="Q596" s="1764">
        <f>N596*I596/1000</f>
        <v/>
      </c>
    </row>
    <row r="597" ht="15.75" customHeight="1">
      <c r="A597" s="757" t="inlineStr">
        <is>
          <t>FO23090020</t>
        </is>
      </c>
      <c r="B597" s="729" t="n">
        <v>45183</v>
      </c>
      <c r="C597" s="730" t="inlineStr">
        <is>
          <t>มัลติแบกซ์</t>
        </is>
      </c>
      <c r="D597" s="730" t="inlineStr">
        <is>
          <t>ท่าเรือแหลมฉบัง</t>
        </is>
      </c>
      <c r="E597" s="731" t="n">
        <v>6.2</v>
      </c>
      <c r="F597" s="728" t="inlineStr">
        <is>
          <t>Km</t>
        </is>
      </c>
      <c r="G597" s="728" t="inlineStr">
        <is>
          <t>รถเทรลเลอร์</t>
        </is>
      </c>
      <c r="H597" s="728" t="inlineStr">
        <is>
          <t>SANTA TERESA, NM USA</t>
        </is>
      </c>
      <c r="I597" s="733" t="n">
        <v>17387</v>
      </c>
      <c r="J597" s="732" t="inlineStr">
        <is>
          <t>Km</t>
        </is>
      </c>
      <c r="K597" s="734" t="n">
        <v>3870</v>
      </c>
      <c r="L597" s="741">
        <f>M597-K597</f>
        <v/>
      </c>
      <c r="M597" s="739" t="n">
        <v>21455.66</v>
      </c>
      <c r="N597" s="1772" t="n">
        <v>15099.2</v>
      </c>
      <c r="O597" s="1762">
        <f>N597*E597/1000</f>
        <v/>
      </c>
      <c r="P597" s="1763">
        <f>O597/32</f>
        <v/>
      </c>
      <c r="Q597" s="1764">
        <f>N597*I597/1000</f>
        <v/>
      </c>
    </row>
    <row r="598" ht="15.75" customHeight="1">
      <c r="A598" s="756" t="inlineStr">
        <is>
          <t>FO23090021</t>
        </is>
      </c>
      <c r="B598" s="720" t="n">
        <v>45183</v>
      </c>
      <c r="C598" s="721" t="inlineStr">
        <is>
          <t>มัลติแบกซ์</t>
        </is>
      </c>
      <c r="D598" s="721" t="inlineStr">
        <is>
          <t>ท่าเรือแหลมฉบัง</t>
        </is>
      </c>
      <c r="E598" s="722" t="n">
        <v>6.2</v>
      </c>
      <c r="F598" s="719" t="inlineStr">
        <is>
          <t>Km</t>
        </is>
      </c>
      <c r="G598" s="719" t="inlineStr">
        <is>
          <t>รถเทรลเลอร์</t>
        </is>
      </c>
      <c r="H598" s="719" t="inlineStr">
        <is>
          <t>SANTA TERESA, NM USA</t>
        </is>
      </c>
      <c r="I598" s="724" t="n">
        <v>17387</v>
      </c>
      <c r="J598" s="723" t="inlineStr">
        <is>
          <t>Km</t>
        </is>
      </c>
      <c r="K598" s="725" t="n">
        <v>3820</v>
      </c>
      <c r="L598" s="740">
        <f>M598-K598</f>
        <v/>
      </c>
      <c r="M598" s="738" t="n">
        <v>22096.4</v>
      </c>
      <c r="N598" s="1773" t="n">
        <v>15834.67</v>
      </c>
      <c r="O598" s="1762">
        <f>N598*E598/1000</f>
        <v/>
      </c>
      <c r="P598" s="1763">
        <f>O598/32</f>
        <v/>
      </c>
      <c r="Q598" s="1764">
        <f>N598*I598/1000</f>
        <v/>
      </c>
    </row>
    <row r="599" ht="15.75" customHeight="1">
      <c r="A599" s="757" t="inlineStr">
        <is>
          <t>FO23090022</t>
        </is>
      </c>
      <c r="B599" s="729" t="n">
        <v>45183</v>
      </c>
      <c r="C599" s="730" t="inlineStr">
        <is>
          <t>มัลติแบกซ์</t>
        </is>
      </c>
      <c r="D599" s="730" t="inlineStr">
        <is>
          <t>ท่าเรือแหลมฉบัง</t>
        </is>
      </c>
      <c r="E599" s="731" t="n">
        <v>6.2</v>
      </c>
      <c r="F599" s="728" t="inlineStr">
        <is>
          <t>Km</t>
        </is>
      </c>
      <c r="G599" s="728" t="inlineStr">
        <is>
          <t>รถเทรลเลอร์</t>
        </is>
      </c>
      <c r="H599" s="728" t="inlineStr">
        <is>
          <t>APPLETON WI , USA</t>
        </is>
      </c>
      <c r="I599" s="733" t="n">
        <v>13558</v>
      </c>
      <c r="J599" s="732" t="inlineStr">
        <is>
          <t>Km</t>
        </is>
      </c>
      <c r="K599" s="734" t="n">
        <v>3900</v>
      </c>
      <c r="L599" s="741">
        <f>M599-K599</f>
        <v/>
      </c>
      <c r="M599" s="739" t="n">
        <v>18378.85</v>
      </c>
      <c r="N599" s="1772" t="n">
        <v>12306.45</v>
      </c>
      <c r="O599" s="1762">
        <f>N599*E599/1000</f>
        <v/>
      </c>
      <c r="P599" s="1763">
        <f>O599/32</f>
        <v/>
      </c>
      <c r="Q599" s="1764">
        <f>N599*I599/1000</f>
        <v/>
      </c>
    </row>
    <row r="600" ht="15.75" customHeight="1">
      <c r="A600" s="756" t="inlineStr">
        <is>
          <t>FO23090023</t>
        </is>
      </c>
      <c r="B600" s="720" t="n">
        <v>45181</v>
      </c>
      <c r="C600" s="721" t="inlineStr">
        <is>
          <t>มัลติแบกซ์</t>
        </is>
      </c>
      <c r="D600" s="721" t="inlineStr">
        <is>
          <t>ท่าเรือแหลมฉบัง</t>
        </is>
      </c>
      <c r="E600" s="722" t="n">
        <v>7.1</v>
      </c>
      <c r="F600" s="719" t="inlineStr">
        <is>
          <t>Km</t>
        </is>
      </c>
      <c r="G600" s="719" t="inlineStr">
        <is>
          <t>รถเทรลเลอร์</t>
        </is>
      </c>
      <c r="H600" s="719" t="inlineStr">
        <is>
          <t>UNIVERSITY PARK IL, USA</t>
        </is>
      </c>
      <c r="I600" s="724" t="n">
        <v>13877</v>
      </c>
      <c r="J600" s="723" t="inlineStr">
        <is>
          <t>Km</t>
        </is>
      </c>
      <c r="K600" s="725" t="n">
        <v>3830</v>
      </c>
      <c r="L600" s="740">
        <f>M600-K600</f>
        <v/>
      </c>
      <c r="M600" s="738" t="n">
        <v>154844</v>
      </c>
      <c r="N600" s="1773" t="n">
        <v>8988</v>
      </c>
      <c r="O600" s="1762">
        <f>N600*E600/1000</f>
        <v/>
      </c>
      <c r="P600" s="1763">
        <f>O600/32</f>
        <v/>
      </c>
      <c r="Q600" s="1764">
        <f>N600*I600/1000</f>
        <v/>
      </c>
    </row>
    <row r="601" ht="15.75" customHeight="1">
      <c r="A601" s="757" t="inlineStr">
        <is>
          <t>FO23090024</t>
        </is>
      </c>
      <c r="B601" s="729" t="n">
        <v>45182</v>
      </c>
      <c r="C601" s="730" t="inlineStr">
        <is>
          <t>มัลติแบกซ์</t>
        </is>
      </c>
      <c r="D601" s="730" t="inlineStr">
        <is>
          <t>ท่าเรือแหลมฉบัง</t>
        </is>
      </c>
      <c r="E601" s="731" t="n">
        <v>7.1</v>
      </c>
      <c r="F601" s="728" t="inlineStr">
        <is>
          <t>Km</t>
        </is>
      </c>
      <c r="G601" s="728" t="inlineStr">
        <is>
          <t>รถเทรลเลอร์</t>
        </is>
      </c>
      <c r="H601" s="728" t="inlineStr">
        <is>
          <t>UNIVERSITY PARK IL, USA</t>
        </is>
      </c>
      <c r="I601" s="733" t="n">
        <v>13877</v>
      </c>
      <c r="J601" s="732" t="inlineStr">
        <is>
          <t>Km</t>
        </is>
      </c>
      <c r="K601" s="734" t="n">
        <v>3840</v>
      </c>
      <c r="L601" s="741">
        <f>M601-K601</f>
        <v/>
      </c>
      <c r="M601" s="739" t="n">
        <v>14029.8</v>
      </c>
      <c r="N601" s="1772" t="n">
        <v>7660</v>
      </c>
      <c r="O601" s="1762">
        <f>N601*E601/1000</f>
        <v/>
      </c>
      <c r="P601" s="1763">
        <f>O601/32</f>
        <v/>
      </c>
      <c r="Q601" s="1764">
        <f>N601*I601/1000</f>
        <v/>
      </c>
    </row>
    <row r="602" ht="15.75" customHeight="1">
      <c r="A602" s="756" t="inlineStr">
        <is>
          <t>FO23090025</t>
        </is>
      </c>
      <c r="B602" s="720" t="n">
        <v>45182</v>
      </c>
      <c r="C602" s="721" t="inlineStr">
        <is>
          <t>มัลติแบกซ์</t>
        </is>
      </c>
      <c r="D602" s="721" t="inlineStr">
        <is>
          <t>ท่าเรือแหลมฉบัง</t>
        </is>
      </c>
      <c r="E602" s="722" t="n">
        <v>7.1</v>
      </c>
      <c r="F602" s="719" t="inlineStr">
        <is>
          <t>Km</t>
        </is>
      </c>
      <c r="G602" s="719" t="inlineStr">
        <is>
          <t>รถเทรลเลอร์</t>
        </is>
      </c>
      <c r="H602" s="719" t="inlineStr">
        <is>
          <t>UNIVERSITY PARK IL, USA</t>
        </is>
      </c>
      <c r="I602" s="724" t="n">
        <v>13877</v>
      </c>
      <c r="J602" s="723" t="inlineStr">
        <is>
          <t>Km</t>
        </is>
      </c>
      <c r="K602" s="725" t="n">
        <v>3830</v>
      </c>
      <c r="L602" s="740">
        <f>M602-K602</f>
        <v/>
      </c>
      <c r="M602" s="738" t="n">
        <v>15844</v>
      </c>
      <c r="N602" s="1773" t="n">
        <v>8988</v>
      </c>
      <c r="O602" s="1762">
        <f>N602*E602/1000</f>
        <v/>
      </c>
      <c r="P602" s="1763">
        <f>O602/32</f>
        <v/>
      </c>
      <c r="Q602" s="1764">
        <f>N602*I602/1000</f>
        <v/>
      </c>
    </row>
    <row r="603" ht="15.75" customHeight="1">
      <c r="A603" s="759" t="inlineStr">
        <is>
          <t>FO23090026</t>
        </is>
      </c>
      <c r="B603" s="760" t="n">
        <v>45183</v>
      </c>
      <c r="C603" s="761" t="inlineStr">
        <is>
          <t>มัลติแบกซ์</t>
        </is>
      </c>
      <c r="D603" s="761" t="inlineStr">
        <is>
          <t>ท่าเรือแหลมฉบัง</t>
        </is>
      </c>
      <c r="E603" s="762" t="n">
        <v>7.1</v>
      </c>
      <c r="F603" s="759" t="n"/>
      <c r="G603" s="759" t="inlineStr">
        <is>
          <t>รถเทรลเลอร์</t>
        </is>
      </c>
      <c r="H603" s="759" t="inlineStr">
        <is>
          <t>SOUTH BOSTON VA, USA</t>
        </is>
      </c>
      <c r="I603" s="763" t="n">
        <v>13787</v>
      </c>
      <c r="J603" s="764" t="n"/>
      <c r="K603" s="765" t="n">
        <v>14556</v>
      </c>
      <c r="L603" s="766" t="n">
        <v>3176</v>
      </c>
      <c r="M603" s="1782" t="n">
        <v>17732</v>
      </c>
      <c r="N603" s="1783" t="n">
        <v>14556</v>
      </c>
      <c r="O603" s="1762">
        <f>N603*E603/1000</f>
        <v/>
      </c>
      <c r="P603" s="1763">
        <f>O603/32</f>
        <v/>
      </c>
      <c r="Q603" s="1764">
        <f>N603*I603/1000</f>
        <v/>
      </c>
    </row>
    <row r="604" ht="15.75" customHeight="1">
      <c r="A604" s="756" t="inlineStr">
        <is>
          <t>FO23090027</t>
        </is>
      </c>
      <c r="B604" s="720" t="n">
        <v>45189</v>
      </c>
      <c r="C604" s="721" t="inlineStr">
        <is>
          <t>มัลติแบกซ์</t>
        </is>
      </c>
      <c r="D604" s="721" t="inlineStr">
        <is>
          <t>ท่าเรือแหลมฉบัง</t>
        </is>
      </c>
      <c r="E604" s="722" t="n">
        <v>11.9</v>
      </c>
      <c r="F604" s="719" t="inlineStr">
        <is>
          <t>Km</t>
        </is>
      </c>
      <c r="G604" s="719" t="inlineStr">
        <is>
          <t>รถเทรลเลอร์</t>
        </is>
      </c>
      <c r="H604" s="719" t="inlineStr">
        <is>
          <t>MELBOURNE, AUSTRALIA</t>
        </is>
      </c>
      <c r="I604" s="724" t="n">
        <v>7283</v>
      </c>
      <c r="J604" s="723" t="inlineStr">
        <is>
          <t>Km</t>
        </is>
      </c>
      <c r="K604" s="725" t="n">
        <v>3640</v>
      </c>
      <c r="L604" s="740">
        <f>M604-K604</f>
        <v/>
      </c>
      <c r="M604" s="1769" t="n">
        <v>27669.5</v>
      </c>
      <c r="N604" s="1773" t="n">
        <v>19566.2</v>
      </c>
      <c r="O604" s="1762">
        <f>N604*E604/1000</f>
        <v/>
      </c>
      <c r="P604" s="1763">
        <f>O604/32</f>
        <v/>
      </c>
      <c r="Q604" s="1764">
        <f>N604*I604/1000</f>
        <v/>
      </c>
    </row>
    <row r="605" ht="15.75" customHeight="1">
      <c r="A605" s="757" t="inlineStr">
        <is>
          <t>FO23090028</t>
        </is>
      </c>
      <c r="B605" s="729" t="n">
        <v>45189</v>
      </c>
      <c r="C605" s="730" t="inlineStr">
        <is>
          <t>มัลติแบกซ์</t>
        </is>
      </c>
      <c r="D605" s="730" t="inlineStr">
        <is>
          <t>ท่าเรือแหลมฉบัง</t>
        </is>
      </c>
      <c r="E605" s="731" t="n">
        <v>11.9</v>
      </c>
      <c r="F605" s="728" t="inlineStr">
        <is>
          <t>Km</t>
        </is>
      </c>
      <c r="G605" s="728" t="inlineStr">
        <is>
          <t>รถเทรลเลอร์</t>
        </is>
      </c>
      <c r="H605" s="728" t="inlineStr">
        <is>
          <t>SYDNEY, AUSTRALIA</t>
        </is>
      </c>
      <c r="I605" s="733" t="n">
        <v>7448</v>
      </c>
      <c r="J605" s="732" t="inlineStr">
        <is>
          <t>Km</t>
        </is>
      </c>
      <c r="K605" s="734" t="n">
        <v>3890</v>
      </c>
      <c r="L605" s="741">
        <f>M605-K605</f>
        <v/>
      </c>
      <c r="M605" s="739" t="n">
        <v>25367</v>
      </c>
      <c r="N605" s="1772" t="n">
        <v>17318</v>
      </c>
      <c r="O605" s="1762">
        <f>N605*E605/1000</f>
        <v/>
      </c>
      <c r="P605" s="1763">
        <f>O605/32</f>
        <v/>
      </c>
      <c r="Q605" s="1764">
        <f>N605*I605/1000</f>
        <v/>
      </c>
    </row>
    <row r="606" ht="15.75" customHeight="1">
      <c r="A606" s="756" t="inlineStr">
        <is>
          <t>FO23090029</t>
        </is>
      </c>
      <c r="B606" s="720" t="n">
        <v>45189</v>
      </c>
      <c r="C606" s="721" t="inlineStr">
        <is>
          <t>มัลติแบกซ์</t>
        </is>
      </c>
      <c r="D606" s="721" t="inlineStr">
        <is>
          <t>ท่าเรือแหลมฉบัง</t>
        </is>
      </c>
      <c r="E606" s="722" t="n">
        <v>11.9</v>
      </c>
      <c r="F606" s="719" t="inlineStr">
        <is>
          <t>Km</t>
        </is>
      </c>
      <c r="G606" s="719" t="inlineStr">
        <is>
          <t>รถเทรลเลอร์</t>
        </is>
      </c>
      <c r="H606" s="719" t="inlineStr">
        <is>
          <t>SYDNEY, AUSTRALIA</t>
        </is>
      </c>
      <c r="I606" s="724" t="n">
        <v>7448</v>
      </c>
      <c r="J606" s="723" t="inlineStr">
        <is>
          <t>Km</t>
        </is>
      </c>
      <c r="K606" s="725" t="n">
        <v>3890</v>
      </c>
      <c r="L606" s="740">
        <f>M606-K606</f>
        <v/>
      </c>
      <c r="M606" s="725" t="n">
        <v>27872</v>
      </c>
      <c r="N606" s="1773" t="n">
        <v>18607.5</v>
      </c>
      <c r="O606" s="1762">
        <f>N606*E606/1000</f>
        <v/>
      </c>
      <c r="P606" s="1763">
        <f>O606/32</f>
        <v/>
      </c>
      <c r="Q606" s="1764">
        <f>N606*I606/1000</f>
        <v/>
      </c>
    </row>
    <row r="607" ht="15.75" customHeight="1">
      <c r="A607" s="757" t="inlineStr">
        <is>
          <t>FO23090030</t>
        </is>
      </c>
      <c r="B607" s="729" t="n">
        <v>45191</v>
      </c>
      <c r="C607" s="730" t="inlineStr">
        <is>
          <t>มัลติแบกซ์</t>
        </is>
      </c>
      <c r="D607" s="730" t="inlineStr">
        <is>
          <t>ท่าเรือแหลมฉบัง</t>
        </is>
      </c>
      <c r="E607" s="731" t="n">
        <v>11.9</v>
      </c>
      <c r="F607" s="728" t="inlineStr">
        <is>
          <t>Km</t>
        </is>
      </c>
      <c r="G607" s="728" t="inlineStr">
        <is>
          <t>รถเทรลเลอร์</t>
        </is>
      </c>
      <c r="H607" s="728" t="inlineStr">
        <is>
          <t>SYDNEY, AUSTRALIA</t>
        </is>
      </c>
      <c r="I607" s="733" t="n">
        <v>7448</v>
      </c>
      <c r="J607" s="732" t="inlineStr">
        <is>
          <t>Km</t>
        </is>
      </c>
      <c r="K607" s="734" t="n">
        <v>3640</v>
      </c>
      <c r="L607" s="741">
        <f>M607-K607</f>
        <v/>
      </c>
      <c r="M607" s="739" t="n">
        <v>37642</v>
      </c>
      <c r="N607" s="1772" t="n">
        <v>21280</v>
      </c>
      <c r="O607" s="1762">
        <f>N607*E607/1000</f>
        <v/>
      </c>
      <c r="P607" s="1763">
        <f>O607/32</f>
        <v/>
      </c>
      <c r="Q607" s="1764">
        <f>N607*I607/1000</f>
        <v/>
      </c>
    </row>
    <row r="608" ht="15.75" customHeight="1">
      <c r="A608" s="756" t="inlineStr">
        <is>
          <t>FO23090031</t>
        </is>
      </c>
      <c r="B608" s="720" t="n">
        <v>45189</v>
      </c>
      <c r="C608" s="721" t="inlineStr">
        <is>
          <t>มัลติแบกซ์</t>
        </is>
      </c>
      <c r="D608" s="721" t="inlineStr">
        <is>
          <t>ท่าเรือแหลมฉบัง</t>
        </is>
      </c>
      <c r="E608" s="722" t="n">
        <v>11.9</v>
      </c>
      <c r="F608" s="719" t="inlineStr">
        <is>
          <t>Km</t>
        </is>
      </c>
      <c r="G608" s="719" t="inlineStr">
        <is>
          <t>รถเทรลเลอร์</t>
        </is>
      </c>
      <c r="H608" s="719" t="inlineStr">
        <is>
          <t>SYDNEY, AUSTRALIA</t>
        </is>
      </c>
      <c r="I608" s="724" t="n">
        <v>7448</v>
      </c>
      <c r="J608" s="723" t="inlineStr">
        <is>
          <t>Km</t>
        </is>
      </c>
      <c r="K608" s="725" t="n">
        <v>3780</v>
      </c>
      <c r="L608" s="740">
        <f>M608-K608</f>
        <v/>
      </c>
      <c r="M608" s="725" t="n">
        <v>27732</v>
      </c>
      <c r="N608" s="1773" t="n">
        <v>18378</v>
      </c>
      <c r="O608" s="1762">
        <f>N608*E608/1000</f>
        <v/>
      </c>
      <c r="P608" s="1763">
        <f>O608/32</f>
        <v/>
      </c>
      <c r="Q608" s="1764">
        <f>N608*I608/1000</f>
        <v/>
      </c>
    </row>
    <row r="609" ht="15.75" customHeight="1">
      <c r="A609" s="757" t="inlineStr">
        <is>
          <t>FO23090032</t>
        </is>
      </c>
      <c r="B609" s="729" t="n">
        <v>45184</v>
      </c>
      <c r="C609" s="730" t="inlineStr">
        <is>
          <t>มัลติแบกซ์</t>
        </is>
      </c>
      <c r="D609" s="730" t="inlineStr">
        <is>
          <t>ท่าเรือแหลมฉบัง</t>
        </is>
      </c>
      <c r="E609" s="731" t="n">
        <v>4.1</v>
      </c>
      <c r="F609" s="728" t="inlineStr">
        <is>
          <t>Km</t>
        </is>
      </c>
      <c r="G609" s="728" t="inlineStr">
        <is>
          <t>รถเทรลเลอร์</t>
        </is>
      </c>
      <c r="H609" s="728" t="inlineStr">
        <is>
          <t>SOUTH BOSTON VA, USA</t>
        </is>
      </c>
      <c r="I609" s="733" t="n">
        <v>13787</v>
      </c>
      <c r="J609" s="732" t="inlineStr">
        <is>
          <t>Km</t>
        </is>
      </c>
      <c r="K609" s="734" t="n">
        <v>7815.5</v>
      </c>
      <c r="L609" s="741">
        <f>M609-K609</f>
        <v/>
      </c>
      <c r="M609" s="1771" t="n">
        <v>11546.5</v>
      </c>
      <c r="N609" s="1772" t="n">
        <v>7815.5</v>
      </c>
      <c r="O609" s="1762">
        <f>N609*E609/1000</f>
        <v/>
      </c>
      <c r="P609" s="1763">
        <f>O609/32</f>
        <v/>
      </c>
      <c r="Q609" s="1764">
        <f>N609*I609/1000</f>
        <v/>
      </c>
    </row>
    <row r="610" ht="15.75" customHeight="1">
      <c r="A610" s="756" t="inlineStr">
        <is>
          <t>FO23090033</t>
        </is>
      </c>
      <c r="B610" s="720" t="n">
        <v>45184</v>
      </c>
      <c r="C610" s="721" t="inlineStr">
        <is>
          <t>มัลติแบกซ์</t>
        </is>
      </c>
      <c r="D610" s="721" t="inlineStr">
        <is>
          <t>ท่าเรือแหลมฉบัง</t>
        </is>
      </c>
      <c r="E610" s="722" t="n">
        <v>7.1</v>
      </c>
      <c r="F610" s="719" t="inlineStr">
        <is>
          <t>Km</t>
        </is>
      </c>
      <c r="G610" s="719" t="inlineStr">
        <is>
          <t>รถเทรลเลอร์</t>
        </is>
      </c>
      <c r="H610" s="719" t="inlineStr">
        <is>
          <t>CARROLLTON TX, USA</t>
        </is>
      </c>
      <c r="I610" s="724" t="n">
        <v>14544</v>
      </c>
      <c r="J610" s="723" t="inlineStr">
        <is>
          <t>Km</t>
        </is>
      </c>
      <c r="K610" s="725" t="n">
        <v>3840</v>
      </c>
      <c r="L610" s="740">
        <f>M610-K610</f>
        <v/>
      </c>
      <c r="M610" s="1769" t="n">
        <v>22911.6</v>
      </c>
      <c r="N610" s="1773" t="n">
        <v>15602.4</v>
      </c>
      <c r="O610" s="1762">
        <f>N610*E610/1000</f>
        <v/>
      </c>
      <c r="P610" s="1763">
        <f>O610/32</f>
        <v/>
      </c>
      <c r="Q610" s="1764">
        <f>N610*I610/1000</f>
        <v/>
      </c>
    </row>
    <row r="611" ht="15.75" customHeight="1">
      <c r="A611" s="757" t="inlineStr">
        <is>
          <t>FO23090034</t>
        </is>
      </c>
      <c r="B611" s="729" t="n">
        <v>45196</v>
      </c>
      <c r="C611" s="730" t="inlineStr">
        <is>
          <t>มัลติแบกซ์</t>
        </is>
      </c>
      <c r="D611" s="730" t="inlineStr">
        <is>
          <t>ท่าเรือแหลมฉบัง</t>
        </is>
      </c>
      <c r="E611" s="731" t="n">
        <v>6.5</v>
      </c>
      <c r="F611" s="728" t="inlineStr">
        <is>
          <t>Km</t>
        </is>
      </c>
      <c r="G611" s="728" t="inlineStr">
        <is>
          <t>รถเทรลเลอร์</t>
        </is>
      </c>
      <c r="H611" s="728" t="inlineStr">
        <is>
          <t>HELSINGBORG, SWEDEN</t>
        </is>
      </c>
      <c r="I611" s="733" t="n">
        <v>8687</v>
      </c>
      <c r="J611" s="732" t="inlineStr">
        <is>
          <t>Km</t>
        </is>
      </c>
      <c r="K611" s="734" t="n">
        <v>3660</v>
      </c>
      <c r="L611" s="741">
        <f>M611-K611</f>
        <v/>
      </c>
      <c r="M611" s="739" t="n">
        <v>17377.9</v>
      </c>
      <c r="N611" s="1772" t="n">
        <v>11188.4</v>
      </c>
      <c r="O611" s="1762">
        <f>N611*E611/1000</f>
        <v/>
      </c>
      <c r="P611" s="1763">
        <f>O611/32</f>
        <v/>
      </c>
      <c r="Q611" s="1764">
        <f>N611*I611/1000</f>
        <v/>
      </c>
    </row>
    <row r="612" ht="15.75" customHeight="1">
      <c r="A612" s="756" t="inlineStr">
        <is>
          <t>FO23090035</t>
        </is>
      </c>
      <c r="B612" s="720" t="n">
        <v>45197</v>
      </c>
      <c r="C612" s="721" t="inlineStr">
        <is>
          <t>มัลติแบกซ์</t>
        </is>
      </c>
      <c r="D612" s="721" t="inlineStr">
        <is>
          <t>ท่าเรือแหลมฉบัง</t>
        </is>
      </c>
      <c r="E612" s="722" t="n">
        <v>6.5</v>
      </c>
      <c r="F612" s="719" t="inlineStr">
        <is>
          <t>Km</t>
        </is>
      </c>
      <c r="G612" s="719" t="inlineStr">
        <is>
          <t>รถเทรลเลอร์</t>
        </is>
      </c>
      <c r="H612" s="719" t="inlineStr">
        <is>
          <t>ROTTERDAM, NETHERLANDS</t>
        </is>
      </c>
      <c r="I612" s="724" t="n">
        <v>9292</v>
      </c>
      <c r="J612" s="723" t="inlineStr">
        <is>
          <t>Km</t>
        </is>
      </c>
      <c r="K612" s="725" t="n">
        <v>2080</v>
      </c>
      <c r="L612" s="740">
        <f>M612-K612</f>
        <v/>
      </c>
      <c r="M612" s="738" t="n">
        <v>16885</v>
      </c>
      <c r="N612" s="1773" t="n">
        <v>14226.6</v>
      </c>
      <c r="O612" s="1762">
        <f>N612*E612/1000</f>
        <v/>
      </c>
      <c r="P612" s="1763">
        <f>O612/32</f>
        <v/>
      </c>
      <c r="Q612" s="1764">
        <f>N612*I612/1000</f>
        <v/>
      </c>
    </row>
    <row r="613" ht="15.75" customHeight="1">
      <c r="A613" s="757" t="inlineStr">
        <is>
          <t>FO23090036</t>
        </is>
      </c>
      <c r="B613" s="729" t="n">
        <v>45197</v>
      </c>
      <c r="C613" s="730" t="inlineStr">
        <is>
          <t>มัลติแบกซ์</t>
        </is>
      </c>
      <c r="D613" s="730" t="inlineStr">
        <is>
          <t>ท่าเรือแหลมฉบัง</t>
        </is>
      </c>
      <c r="E613" s="731" t="n">
        <v>6.5</v>
      </c>
      <c r="F613" s="728" t="inlineStr">
        <is>
          <t>Km</t>
        </is>
      </c>
      <c r="G613" s="728" t="inlineStr">
        <is>
          <t>รถเทรลเลอร์</t>
        </is>
      </c>
      <c r="H613" s="728" t="inlineStr">
        <is>
          <t>UK PORT</t>
        </is>
      </c>
      <c r="I613" s="733" t="n">
        <v>9687</v>
      </c>
      <c r="J613" s="732" t="inlineStr">
        <is>
          <t>Km</t>
        </is>
      </c>
      <c r="K613" s="734" t="n">
        <v>2190</v>
      </c>
      <c r="L613" s="741">
        <f>M613-K613</f>
        <v/>
      </c>
      <c r="M613" s="739" t="n">
        <v>6342</v>
      </c>
      <c r="N613" s="1772" t="n">
        <v>3280</v>
      </c>
      <c r="O613" s="1762">
        <f>N613*E613/1000</f>
        <v/>
      </c>
      <c r="P613" s="1763">
        <f>O613/32</f>
        <v/>
      </c>
      <c r="Q613" s="1764">
        <f>N613*I613/1000</f>
        <v/>
      </c>
    </row>
    <row r="614" ht="15.75" customHeight="1">
      <c r="A614" s="756" t="inlineStr">
        <is>
          <t>FO23090037</t>
        </is>
      </c>
      <c r="B614" s="720" t="n">
        <v>45189</v>
      </c>
      <c r="C614" s="721" t="inlineStr">
        <is>
          <t>มัลติแบกซ์</t>
        </is>
      </c>
      <c r="D614" s="721" t="inlineStr">
        <is>
          <t>ท่าเรือแหลมฉบัง</t>
        </is>
      </c>
      <c r="E614" s="722" t="n">
        <v>6.2</v>
      </c>
      <c r="F614" s="719" t="inlineStr">
        <is>
          <t>Km</t>
        </is>
      </c>
      <c r="G614" s="719" t="inlineStr">
        <is>
          <t>รถเทรลเลอร์</t>
        </is>
      </c>
      <c r="H614" s="719" t="inlineStr">
        <is>
          <t>SANTA TERESA, NM USA</t>
        </is>
      </c>
      <c r="I614" s="724" t="n">
        <v>17387</v>
      </c>
      <c r="J614" s="723" t="inlineStr">
        <is>
          <t>Km</t>
        </is>
      </c>
      <c r="K614" s="725" t="n">
        <v>3700</v>
      </c>
      <c r="L614" s="740">
        <f>M614-K614</f>
        <v/>
      </c>
      <c r="M614" s="725" t="n">
        <v>21830.4</v>
      </c>
      <c r="N614" s="1773" t="n">
        <v>15851.52</v>
      </c>
      <c r="O614" s="1762">
        <f>N614*E614/1000</f>
        <v/>
      </c>
      <c r="P614" s="1763">
        <f>O614/32</f>
        <v/>
      </c>
      <c r="Q614" s="1764">
        <f>N614*I614/1000</f>
        <v/>
      </c>
    </row>
    <row r="615" ht="15.75" customHeight="1">
      <c r="A615" s="757" t="inlineStr">
        <is>
          <t>FO23090038</t>
        </is>
      </c>
      <c r="B615" s="729" t="n">
        <v>45187</v>
      </c>
      <c r="C615" s="730" t="inlineStr">
        <is>
          <t>มัลติแบกซ์</t>
        </is>
      </c>
      <c r="D615" s="730" t="inlineStr">
        <is>
          <t>ท่าเรือแหลมฉบัง</t>
        </is>
      </c>
      <c r="E615" s="731" t="n">
        <v>7.1</v>
      </c>
      <c r="F615" s="728" t="inlineStr">
        <is>
          <t>Km</t>
        </is>
      </c>
      <c r="G615" s="728" t="inlineStr">
        <is>
          <t>รถเทรลเลอร์</t>
        </is>
      </c>
      <c r="H615" s="728" t="inlineStr">
        <is>
          <t>APPLETON WI , USA</t>
        </is>
      </c>
      <c r="I615" s="733" t="n">
        <v>13558</v>
      </c>
      <c r="J615" s="732" t="inlineStr">
        <is>
          <t>Km</t>
        </is>
      </c>
      <c r="K615" s="734" t="n">
        <v>3780</v>
      </c>
      <c r="L615" s="741">
        <f>M615-K615</f>
        <v/>
      </c>
      <c r="M615" s="1771" t="n">
        <v>18655.2</v>
      </c>
      <c r="N615" s="1772" t="n">
        <v>12262.6</v>
      </c>
      <c r="O615" s="1762">
        <f>N615*E615/1000</f>
        <v/>
      </c>
      <c r="P615" s="1763">
        <f>O615/32</f>
        <v/>
      </c>
      <c r="Q615" s="1764">
        <f>N615*I615/1000</f>
        <v/>
      </c>
    </row>
    <row r="616" ht="15.75" customHeight="1">
      <c r="A616" s="756" t="inlineStr">
        <is>
          <t>FO23090039</t>
        </is>
      </c>
      <c r="B616" s="720" t="n">
        <v>45190</v>
      </c>
      <c r="C616" s="721" t="inlineStr">
        <is>
          <t>มัลติแบกซ์</t>
        </is>
      </c>
      <c r="D616" s="721" t="inlineStr">
        <is>
          <t>ท่าเรือแหลมฉบัง</t>
        </is>
      </c>
      <c r="E616" s="722" t="n">
        <v>6.5</v>
      </c>
      <c r="F616" s="719" t="inlineStr">
        <is>
          <t>Km</t>
        </is>
      </c>
      <c r="G616" s="719" t="inlineStr">
        <is>
          <t>รถเทรลเลอร์</t>
        </is>
      </c>
      <c r="H616" s="719" t="inlineStr">
        <is>
          <t>PERRIS CA, USA</t>
        </is>
      </c>
      <c r="I616" s="724" t="n">
        <v>13413</v>
      </c>
      <c r="J616" s="723" t="inlineStr">
        <is>
          <t>Km</t>
        </is>
      </c>
      <c r="K616" s="725" t="n">
        <v>3820</v>
      </c>
      <c r="L616" s="740">
        <f>M616-K616</f>
        <v/>
      </c>
      <c r="M616" s="738" t="n">
        <v>17922</v>
      </c>
      <c r="N616" s="1773" t="n">
        <v>11242</v>
      </c>
      <c r="O616" s="1762">
        <f>N616*E616/1000</f>
        <v/>
      </c>
      <c r="P616" s="1763">
        <f>O616/32</f>
        <v/>
      </c>
      <c r="Q616" s="1764">
        <f>N616*I616/1000</f>
        <v/>
      </c>
    </row>
    <row r="617" ht="15.75" customHeight="1">
      <c r="A617" s="757" t="inlineStr">
        <is>
          <t>FO23090040</t>
        </is>
      </c>
      <c r="B617" s="729" t="n">
        <v>45190</v>
      </c>
      <c r="C617" s="730" t="inlineStr">
        <is>
          <t>มัลติแบกซ์</t>
        </is>
      </c>
      <c r="D617" s="730" t="inlineStr">
        <is>
          <t>ท่าเรือแหลมฉบัง</t>
        </is>
      </c>
      <c r="E617" s="731" t="n">
        <v>6</v>
      </c>
      <c r="F617" s="728" t="inlineStr">
        <is>
          <t>Km</t>
        </is>
      </c>
      <c r="G617" s="728" t="inlineStr">
        <is>
          <t>รถเทรลเลอร์</t>
        </is>
      </c>
      <c r="H617" s="728" t="inlineStr">
        <is>
          <t>COLUMBUS OHIO, USA</t>
        </is>
      </c>
      <c r="I617" s="733" t="n">
        <v>14000</v>
      </c>
      <c r="J617" s="732" t="inlineStr">
        <is>
          <t>Km</t>
        </is>
      </c>
      <c r="K617" s="734" t="n">
        <v>3900</v>
      </c>
      <c r="L617" s="741">
        <f>M617-K617</f>
        <v/>
      </c>
      <c r="M617" s="739" t="n">
        <v>20535.46</v>
      </c>
      <c r="N617" s="1772" t="n">
        <v>14384.18</v>
      </c>
      <c r="O617" s="1762">
        <f>N617*E617/1000</f>
        <v/>
      </c>
      <c r="P617" s="1763">
        <f>O617/32</f>
        <v/>
      </c>
      <c r="Q617" s="1764">
        <f>N617*I617/1000</f>
        <v/>
      </c>
    </row>
    <row r="618" ht="15.75" customHeight="1">
      <c r="A618" s="756" t="inlineStr">
        <is>
          <t>FO23090041</t>
        </is>
      </c>
      <c r="B618" s="720" t="n">
        <v>45190</v>
      </c>
      <c r="C618" s="721" t="inlineStr">
        <is>
          <t>มัลติแบกซ์</t>
        </is>
      </c>
      <c r="D618" s="721" t="inlineStr">
        <is>
          <t>ท่าเรือแหลมฉบัง</t>
        </is>
      </c>
      <c r="E618" s="722" t="n">
        <v>6</v>
      </c>
      <c r="F618" s="719" t="inlineStr">
        <is>
          <t>Km</t>
        </is>
      </c>
      <c r="G618" s="719" t="inlineStr">
        <is>
          <t>รถเทรลเลอร์</t>
        </is>
      </c>
      <c r="H618" s="719" t="inlineStr">
        <is>
          <t>COLUMBUS OHIO, USA</t>
        </is>
      </c>
      <c r="I618" s="724" t="n">
        <v>14000</v>
      </c>
      <c r="J618" s="723" t="inlineStr">
        <is>
          <t>Km</t>
        </is>
      </c>
      <c r="K618" s="725" t="n">
        <v>3830</v>
      </c>
      <c r="L618" s="740">
        <f>M618-K618</f>
        <v/>
      </c>
      <c r="M618" s="738" t="n">
        <v>21655.22</v>
      </c>
      <c r="N618" s="1773" t="n">
        <v>15572.34</v>
      </c>
      <c r="O618" s="1762">
        <f>N618*E618/1000</f>
        <v/>
      </c>
      <c r="P618" s="1763">
        <f>O618/32</f>
        <v/>
      </c>
      <c r="Q618" s="1764">
        <f>N618*I618/1000</f>
        <v/>
      </c>
    </row>
    <row r="619" ht="15.75" customHeight="1">
      <c r="A619" s="757" t="inlineStr">
        <is>
          <t>FO23090042</t>
        </is>
      </c>
      <c r="B619" s="729" t="n">
        <v>45190</v>
      </c>
      <c r="C619" s="730" t="inlineStr">
        <is>
          <t>มัลติแบกซ์</t>
        </is>
      </c>
      <c r="D619" s="730" t="inlineStr">
        <is>
          <t>ท่าเรือแหลมฉบัง</t>
        </is>
      </c>
      <c r="E619" s="731" t="n">
        <v>6</v>
      </c>
      <c r="F619" s="728" t="inlineStr">
        <is>
          <t>Km</t>
        </is>
      </c>
      <c r="G619" s="728" t="inlineStr">
        <is>
          <t>รถเทรลเลอร์</t>
        </is>
      </c>
      <c r="H619" s="728" t="inlineStr">
        <is>
          <t>COLUMBUS OHIO, USA</t>
        </is>
      </c>
      <c r="I619" s="733" t="n">
        <v>14000</v>
      </c>
      <c r="J619" s="732" t="inlineStr">
        <is>
          <t>Km</t>
        </is>
      </c>
      <c r="K619" s="734" t="n">
        <v>3820</v>
      </c>
      <c r="L619" s="741">
        <f>M619-K619</f>
        <v/>
      </c>
      <c r="M619" s="739" t="n">
        <v>22109.38</v>
      </c>
      <c r="N619" s="1772" t="n">
        <v>16058.02</v>
      </c>
      <c r="O619" s="1762">
        <f>N619*E619/1000</f>
        <v/>
      </c>
      <c r="P619" s="1763">
        <f>O619/32</f>
        <v/>
      </c>
      <c r="Q619" s="1764">
        <f>N619*I619/1000</f>
        <v/>
      </c>
    </row>
    <row r="620" ht="15.75" customHeight="1">
      <c r="A620" s="756" t="inlineStr">
        <is>
          <t>FO23090043</t>
        </is>
      </c>
      <c r="B620" s="720" t="n">
        <v>45194</v>
      </c>
      <c r="C620" s="721" t="inlineStr">
        <is>
          <t>มัลติแบกซ์</t>
        </is>
      </c>
      <c r="D620" s="721" t="inlineStr">
        <is>
          <t>ท่าเรือแหลมฉบัง</t>
        </is>
      </c>
      <c r="E620" s="722" t="n">
        <v>11.9</v>
      </c>
      <c r="F620" s="719" t="inlineStr">
        <is>
          <t>Km</t>
        </is>
      </c>
      <c r="G620" s="719" t="inlineStr">
        <is>
          <t>รถเทรลเลอร์</t>
        </is>
      </c>
      <c r="H620" s="719" t="inlineStr">
        <is>
          <t>GUANGZHOU, CHINA</t>
        </is>
      </c>
      <c r="I620" s="724" t="n">
        <v>2597</v>
      </c>
      <c r="J620" s="723" t="inlineStr">
        <is>
          <t>Km</t>
        </is>
      </c>
      <c r="K620" s="725" t="n">
        <v>2100</v>
      </c>
      <c r="L620" s="740">
        <f>M620-K620</f>
        <v/>
      </c>
      <c r="M620" s="738" t="n">
        <v>8271</v>
      </c>
      <c r="N620" s="1773" t="n">
        <v>5029</v>
      </c>
      <c r="O620" s="1762">
        <f>N620*E620/1000</f>
        <v/>
      </c>
      <c r="P620" s="1763">
        <f>O620/32</f>
        <v/>
      </c>
      <c r="Q620" s="1764">
        <f>N620*I620/1000</f>
        <v/>
      </c>
    </row>
    <row r="621" ht="15.75" customHeight="1">
      <c r="A621" s="757" t="inlineStr">
        <is>
          <t>FO23090044</t>
        </is>
      </c>
      <c r="B621" s="729" t="n">
        <v>45188</v>
      </c>
      <c r="C621" s="730" t="inlineStr">
        <is>
          <t>มัลติแบกซ์</t>
        </is>
      </c>
      <c r="D621" s="730" t="inlineStr">
        <is>
          <t>ท่าเรือแหลมฉบัง</t>
        </is>
      </c>
      <c r="E621" s="731" t="n">
        <v>7.1</v>
      </c>
      <c r="F621" s="728" t="inlineStr">
        <is>
          <t>Km</t>
        </is>
      </c>
      <c r="G621" s="728" t="inlineStr">
        <is>
          <t>รถเทรลเลอร์</t>
        </is>
      </c>
      <c r="H621" s="728" t="inlineStr">
        <is>
          <t>UNIVERSITY PARK IL, USA</t>
        </is>
      </c>
      <c r="I621" s="733" t="n">
        <v>13877</v>
      </c>
      <c r="J621" s="732" t="inlineStr">
        <is>
          <t>Km</t>
        </is>
      </c>
      <c r="K621" s="734" t="n">
        <v>3840</v>
      </c>
      <c r="L621" s="741">
        <f>M621-K621</f>
        <v/>
      </c>
      <c r="M621" s="1771" t="n">
        <v>23439.5</v>
      </c>
      <c r="N621" s="1772" t="n">
        <v>15795</v>
      </c>
      <c r="O621" s="1762">
        <f>N621*E621/1000</f>
        <v/>
      </c>
      <c r="P621" s="1763">
        <f>O621/32</f>
        <v/>
      </c>
      <c r="Q621" s="1764">
        <f>N621*I621/1000</f>
        <v/>
      </c>
    </row>
    <row r="622" ht="15.75" customHeight="1">
      <c r="A622" s="756" t="inlineStr">
        <is>
          <t>FO23090045</t>
        </is>
      </c>
      <c r="B622" s="720" t="n">
        <v>45188</v>
      </c>
      <c r="C622" s="721" t="inlineStr">
        <is>
          <t>มัลติแบกซ์</t>
        </is>
      </c>
      <c r="D622" s="721" t="inlineStr">
        <is>
          <t>ท่าเรือแหลมฉบัง</t>
        </is>
      </c>
      <c r="E622" s="722" t="n">
        <v>7.1</v>
      </c>
      <c r="F622" s="719" t="inlineStr">
        <is>
          <t>Km</t>
        </is>
      </c>
      <c r="G622" s="719" t="inlineStr">
        <is>
          <t>รถเทรลเลอร์</t>
        </is>
      </c>
      <c r="H622" s="719" t="inlineStr">
        <is>
          <t>UNIVERSITY PARK IL, USA</t>
        </is>
      </c>
      <c r="I622" s="724" t="n">
        <v>13877</v>
      </c>
      <c r="J622" s="723" t="inlineStr">
        <is>
          <t>Km</t>
        </is>
      </c>
      <c r="K622" s="725" t="n">
        <v>3830</v>
      </c>
      <c r="L622" s="740">
        <f>M622-K622</f>
        <v/>
      </c>
      <c r="M622" s="725" t="n">
        <v>13604.2</v>
      </c>
      <c r="N622" s="1773" t="n">
        <v>6917.4</v>
      </c>
      <c r="O622" s="1762">
        <f>N622*E622/1000</f>
        <v/>
      </c>
      <c r="P622" s="1763">
        <f>O622/32</f>
        <v/>
      </c>
      <c r="Q622" s="1764">
        <f>N622*I622/1000</f>
        <v/>
      </c>
    </row>
    <row r="623" ht="15.75" customHeight="1">
      <c r="A623" s="757" t="inlineStr">
        <is>
          <t>FO23090046</t>
        </is>
      </c>
      <c r="B623" s="729" t="n">
        <v>45188</v>
      </c>
      <c r="C623" s="730" t="inlineStr">
        <is>
          <t>มัลติแบกซ์</t>
        </is>
      </c>
      <c r="D623" s="730" t="inlineStr">
        <is>
          <t>ท่าเรือแหลมฉบัง</t>
        </is>
      </c>
      <c r="E623" s="731" t="n">
        <v>7.1</v>
      </c>
      <c r="F623" s="728" t="inlineStr">
        <is>
          <t>Km</t>
        </is>
      </c>
      <c r="G623" s="728" t="inlineStr">
        <is>
          <t>รถเทรลเลอร์</t>
        </is>
      </c>
      <c r="H623" s="728" t="inlineStr">
        <is>
          <t>UNIVERSITY PARK IL, USA</t>
        </is>
      </c>
      <c r="I623" s="733" t="n">
        <v>13877</v>
      </c>
      <c r="J623" s="732" t="inlineStr">
        <is>
          <t>Km</t>
        </is>
      </c>
      <c r="K623" s="734" t="n">
        <v>3700</v>
      </c>
      <c r="L623" s="741">
        <f>M623-K623</f>
        <v/>
      </c>
      <c r="M623" s="739" t="n">
        <v>15714</v>
      </c>
      <c r="N623" s="1772" t="n">
        <v>8988</v>
      </c>
      <c r="O623" s="1762">
        <f>N623*E623/1000</f>
        <v/>
      </c>
      <c r="P623" s="1763">
        <f>O623/32</f>
        <v/>
      </c>
      <c r="Q623" s="1764">
        <f>N623*I623/1000</f>
        <v/>
      </c>
    </row>
    <row r="624" ht="15.75" customHeight="1">
      <c r="A624" s="756" t="inlineStr">
        <is>
          <t>FO23090047</t>
        </is>
      </c>
      <c r="B624" s="720" t="n">
        <v>45191</v>
      </c>
      <c r="C624" s="721" t="inlineStr">
        <is>
          <t>มัลติแบกซ์</t>
        </is>
      </c>
      <c r="D624" s="721" t="inlineStr">
        <is>
          <t>ท่าเรือแหลมฉบัง</t>
        </is>
      </c>
      <c r="E624" s="722" t="n">
        <v>7.1</v>
      </c>
      <c r="F624" s="719" t="inlineStr">
        <is>
          <t>Km</t>
        </is>
      </c>
      <c r="G624" s="719" t="inlineStr">
        <is>
          <t>รถเทรลเลอร์</t>
        </is>
      </c>
      <c r="H624" s="719" t="inlineStr">
        <is>
          <t>UNIVERSITY PARK IL, USA</t>
        </is>
      </c>
      <c r="I624" s="724" t="n">
        <v>13877</v>
      </c>
      <c r="J624" s="723" t="inlineStr">
        <is>
          <t>Km</t>
        </is>
      </c>
      <c r="K624" s="725" t="n">
        <v>3830</v>
      </c>
      <c r="L624" s="740">
        <f>M624-K624</f>
        <v/>
      </c>
      <c r="M624" s="738" t="n">
        <v>15844</v>
      </c>
      <c r="N624" s="1773" t="n">
        <v>8988</v>
      </c>
      <c r="O624" s="1762">
        <f>N624*E624/1000</f>
        <v/>
      </c>
      <c r="P624" s="1763">
        <f>O624/32</f>
        <v/>
      </c>
      <c r="Q624" s="1764">
        <f>N624*I624/1000</f>
        <v/>
      </c>
    </row>
    <row r="625" ht="15.75" customHeight="1">
      <c r="A625" s="757" t="inlineStr">
        <is>
          <t>FO23090048</t>
        </is>
      </c>
      <c r="B625" s="729" t="n">
        <v>45190</v>
      </c>
      <c r="C625" s="730" t="inlineStr">
        <is>
          <t>มัลติแบกซ์</t>
        </is>
      </c>
      <c r="D625" s="730" t="inlineStr">
        <is>
          <t>ท่าเรือแหลมฉบัง</t>
        </is>
      </c>
      <c r="E625" s="731" t="n">
        <v>7.1</v>
      </c>
      <c r="F625" s="728" t="inlineStr">
        <is>
          <t>Km</t>
        </is>
      </c>
      <c r="G625" s="728" t="inlineStr">
        <is>
          <t>รถเทรลเลอร์</t>
        </is>
      </c>
      <c r="H625" s="728" t="inlineStr">
        <is>
          <t>KLANG, MALAYSIA</t>
        </is>
      </c>
      <c r="I625" s="733" t="n">
        <v>1588</v>
      </c>
      <c r="J625" s="732" t="inlineStr">
        <is>
          <t>Km</t>
        </is>
      </c>
      <c r="K625" s="734" t="n">
        <v>2180</v>
      </c>
      <c r="L625" s="741">
        <f>M625-K625</f>
        <v/>
      </c>
      <c r="M625" s="739" t="n">
        <v>6205.72</v>
      </c>
      <c r="N625" s="1772" t="n">
        <v>2998.74</v>
      </c>
      <c r="O625" s="1762">
        <f>N625*E625/1000</f>
        <v/>
      </c>
      <c r="P625" s="1763">
        <f>O625/32</f>
        <v/>
      </c>
      <c r="Q625" s="1764">
        <f>N625*I625/1000</f>
        <v/>
      </c>
    </row>
    <row r="626" ht="15.75" customHeight="1">
      <c r="A626" s="756" t="inlineStr">
        <is>
          <t>FO23090049</t>
        </is>
      </c>
      <c r="B626" s="720" t="n">
        <v>45189</v>
      </c>
      <c r="C626" s="721" t="inlineStr">
        <is>
          <t>มัลติแบกซ์</t>
        </is>
      </c>
      <c r="D626" s="721" t="inlineStr">
        <is>
          <t>ท่าเรือแหลมฉบัง</t>
        </is>
      </c>
      <c r="E626" s="722" t="n">
        <v>6.5</v>
      </c>
      <c r="F626" s="719" t="inlineStr">
        <is>
          <t>Km</t>
        </is>
      </c>
      <c r="G626" s="719" t="inlineStr">
        <is>
          <t>รถเทรลเลอร์</t>
        </is>
      </c>
      <c r="H626" s="719" t="inlineStr">
        <is>
          <t>LOUISVILLE KY, USA</t>
        </is>
      </c>
      <c r="I626" s="724" t="n">
        <v>14253</v>
      </c>
      <c r="J626" s="723" t="inlineStr">
        <is>
          <t>Km</t>
        </is>
      </c>
      <c r="K626" s="725" t="n">
        <v>3700</v>
      </c>
      <c r="L626" s="740">
        <f>M626-K626</f>
        <v/>
      </c>
      <c r="M626" s="738" t="n">
        <v>15255.03</v>
      </c>
      <c r="N626" s="1773" t="n">
        <v>8234.73</v>
      </c>
      <c r="O626" s="1762">
        <f>N626*E626/1000</f>
        <v/>
      </c>
      <c r="P626" s="1763">
        <f>O626/32</f>
        <v/>
      </c>
      <c r="Q626" s="1764">
        <f>N626*I626/1000</f>
        <v/>
      </c>
    </row>
    <row r="627" ht="15.75" customHeight="1">
      <c r="A627" s="757" t="inlineStr">
        <is>
          <t>FO23090050</t>
        </is>
      </c>
      <c r="B627" s="729" t="n">
        <v>45189</v>
      </c>
      <c r="C627" s="730" t="inlineStr">
        <is>
          <t>มัลติแบกซ์</t>
        </is>
      </c>
      <c r="D627" s="730" t="inlineStr">
        <is>
          <t>ท่าเรือแหลมฉบัง</t>
        </is>
      </c>
      <c r="E627" s="731" t="n">
        <v>6.5</v>
      </c>
      <c r="F627" s="728" t="inlineStr">
        <is>
          <t>Km</t>
        </is>
      </c>
      <c r="G627" s="728" t="inlineStr">
        <is>
          <t>รถเทรลเลอร์</t>
        </is>
      </c>
      <c r="H627" s="728" t="inlineStr">
        <is>
          <t>SOUTH BOSTON VA, USA</t>
        </is>
      </c>
      <c r="I627" s="733" t="n">
        <v>13787</v>
      </c>
      <c r="J627" s="732" t="inlineStr">
        <is>
          <t>Km</t>
        </is>
      </c>
      <c r="K627" s="734" t="n">
        <v>8943.5</v>
      </c>
      <c r="L627" s="741">
        <f>M627-K627</f>
        <v/>
      </c>
      <c r="M627" s="739" t="n">
        <v>12218.5</v>
      </c>
      <c r="N627" s="1772" t="n">
        <v>8943.5</v>
      </c>
      <c r="O627" s="1762">
        <f>N627*E627/1000</f>
        <v/>
      </c>
      <c r="P627" s="1763">
        <f>O627/32</f>
        <v/>
      </c>
      <c r="Q627" s="1764">
        <f>N627*I627/1000</f>
        <v/>
      </c>
    </row>
    <row r="628" ht="15.75" customHeight="1">
      <c r="A628" s="257" t="inlineStr">
        <is>
          <t>FO23090051</t>
        </is>
      </c>
      <c r="B628" s="748" t="n">
        <v>45202</v>
      </c>
      <c r="C628" s="1397" t="inlineStr">
        <is>
          <t>มัลติแบกซ์</t>
        </is>
      </c>
      <c r="D628" s="1397" t="inlineStr">
        <is>
          <t>ท่าเรือแหลมฉบัง</t>
        </is>
      </c>
      <c r="E628" s="752" t="n">
        <v>5.8</v>
      </c>
      <c r="F628" s="257" t="inlineStr">
        <is>
          <t>Km</t>
        </is>
      </c>
      <c r="G628" s="257" t="inlineStr">
        <is>
          <t>รถเทรลเลอร์</t>
        </is>
      </c>
      <c r="H628" s="257" t="inlineStr">
        <is>
          <t>AUCKLAND, NEW ZEALAND</t>
        </is>
      </c>
      <c r="I628" s="749" t="n">
        <v>9486</v>
      </c>
      <c r="J628" s="258" t="inlineStr">
        <is>
          <t>Km</t>
        </is>
      </c>
      <c r="K628" s="753" t="n">
        <v>3770</v>
      </c>
      <c r="L628" s="754" t="n">
        <v>16726.45</v>
      </c>
      <c r="M628" s="1781" t="n">
        <v>20496.45</v>
      </c>
      <c r="N628" s="1674" t="n">
        <v>13407.1</v>
      </c>
      <c r="O628" s="1762">
        <f>N628*E628/1000</f>
        <v/>
      </c>
      <c r="P628" s="1763">
        <f>O628/32</f>
        <v/>
      </c>
      <c r="Q628" s="1764">
        <f>N628*I628/1000</f>
        <v/>
      </c>
    </row>
    <row r="629" ht="15.75" customHeight="1">
      <c r="A629" s="768" t="inlineStr">
        <is>
          <t>FO23090052</t>
        </is>
      </c>
      <c r="B629" s="748" t="n">
        <v>45189</v>
      </c>
      <c r="C629" s="1397" t="inlineStr">
        <is>
          <t>มัลติแบกซ์</t>
        </is>
      </c>
      <c r="D629" s="1397" t="inlineStr">
        <is>
          <t>ท่าเรือแหลมฉบัง</t>
        </is>
      </c>
      <c r="E629" s="752" t="n">
        <v>6.2</v>
      </c>
      <c r="F629" s="257" t="inlineStr">
        <is>
          <t>Km</t>
        </is>
      </c>
      <c r="G629" s="257" t="inlineStr">
        <is>
          <t>รถเทรลเลอร์</t>
        </is>
      </c>
      <c r="H629" s="257" t="inlineStr">
        <is>
          <t>CARROLLTON TX, USA</t>
        </is>
      </c>
      <c r="I629" s="749" t="n">
        <v>14544</v>
      </c>
      <c r="J629" s="258" t="inlineStr">
        <is>
          <t>Km</t>
        </is>
      </c>
      <c r="K629" s="753" t="n">
        <v>3840</v>
      </c>
      <c r="L629" s="754">
        <f>M629-K629</f>
        <v/>
      </c>
      <c r="M629" s="755" t="n">
        <v>17626</v>
      </c>
      <c r="N629" s="1674" t="n">
        <v>11230</v>
      </c>
      <c r="O629" s="1762">
        <f>N629*E629/1000</f>
        <v/>
      </c>
      <c r="P629" s="1763">
        <f>O629/32</f>
        <v/>
      </c>
      <c r="Q629" s="1764">
        <f>N629*I629/1000</f>
        <v/>
      </c>
    </row>
    <row r="630" ht="15.75" customHeight="1">
      <c r="A630" s="257" t="inlineStr">
        <is>
          <t>FO23090053</t>
        </is>
      </c>
      <c r="B630" s="748" t="n">
        <v>45202</v>
      </c>
      <c r="C630" s="1397" t="inlineStr">
        <is>
          <t>มัลติแบกซ์</t>
        </is>
      </c>
      <c r="D630" s="1397" t="inlineStr">
        <is>
          <t>ท่าเรือแหลมฉบัง</t>
        </is>
      </c>
      <c r="E630" s="752" t="n">
        <v>5.8</v>
      </c>
      <c r="F630" s="257" t="inlineStr">
        <is>
          <t>Km</t>
        </is>
      </c>
      <c r="G630" s="257" t="inlineStr">
        <is>
          <t>รถเทรลเลอร์</t>
        </is>
      </c>
      <c r="H630" s="257" t="inlineStr">
        <is>
          <t>AUCKLAND, NEW ZEALAND</t>
        </is>
      </c>
      <c r="I630" s="749" t="n">
        <v>9486</v>
      </c>
      <c r="J630" s="258" t="inlineStr">
        <is>
          <t>Km</t>
        </is>
      </c>
      <c r="K630" s="753" t="n">
        <v>3840</v>
      </c>
      <c r="L630" s="754" t="n">
        <v>15770.55</v>
      </c>
      <c r="M630" s="755" t="n">
        <v>19610.55</v>
      </c>
      <c r="N630" s="1674" t="n">
        <v>10973.5</v>
      </c>
      <c r="O630" s="1762">
        <f>N630*E630/1000</f>
        <v/>
      </c>
      <c r="P630" s="1763">
        <f>O630/32</f>
        <v/>
      </c>
      <c r="Q630" s="1764">
        <f>N630*I630/1000</f>
        <v/>
      </c>
    </row>
    <row r="631" ht="15.75" customHeight="1">
      <c r="A631" s="757" t="inlineStr">
        <is>
          <t>FO23090054</t>
        </is>
      </c>
      <c r="B631" s="729" t="n">
        <v>45189</v>
      </c>
      <c r="C631" s="730" t="inlineStr">
        <is>
          <t>มัลติแบกซ์</t>
        </is>
      </c>
      <c r="D631" s="730" t="inlineStr">
        <is>
          <t>ท่าเรือแหลมฉบัง</t>
        </is>
      </c>
      <c r="E631" s="731" t="n">
        <v>7.5</v>
      </c>
      <c r="F631" s="728" t="inlineStr">
        <is>
          <t>Km</t>
        </is>
      </c>
      <c r="G631" s="728" t="inlineStr">
        <is>
          <t>รถเทรลเลอร์</t>
        </is>
      </c>
      <c r="H631" s="728" t="inlineStr">
        <is>
          <t>KLANG, MALAYSIA</t>
        </is>
      </c>
      <c r="I631" s="733" t="n">
        <v>1588</v>
      </c>
      <c r="J631" s="732" t="inlineStr">
        <is>
          <t>Km</t>
        </is>
      </c>
      <c r="K631" s="734" t="n">
        <v>2120</v>
      </c>
      <c r="L631" s="741">
        <f>M631-K631</f>
        <v/>
      </c>
      <c r="M631" s="739" t="n">
        <v>6114.9</v>
      </c>
      <c r="N631" s="1772" t="n">
        <v>2748.9</v>
      </c>
      <c r="O631" s="1762">
        <f>N631*E631/1000</f>
        <v/>
      </c>
      <c r="P631" s="1763">
        <f>O631/32</f>
        <v/>
      </c>
      <c r="Q631" s="1764">
        <f>N631*I631/1000</f>
        <v/>
      </c>
    </row>
    <row r="632" ht="15.75" customHeight="1">
      <c r="A632" s="756" t="inlineStr">
        <is>
          <t>FO23090055</t>
        </is>
      </c>
      <c r="B632" s="720" t="n">
        <v>45197</v>
      </c>
      <c r="C632" s="721" t="inlineStr">
        <is>
          <t>มัลติแบกซ์</t>
        </is>
      </c>
      <c r="D632" s="721" t="inlineStr">
        <is>
          <t>ท่าเรือแหลมฉบัง</t>
        </is>
      </c>
      <c r="E632" s="722" t="n">
        <v>11.9</v>
      </c>
      <c r="F632" s="719" t="inlineStr">
        <is>
          <t>Km</t>
        </is>
      </c>
      <c r="G632" s="719" t="inlineStr">
        <is>
          <t>รถเทรลเลอร์</t>
        </is>
      </c>
      <c r="H632" s="719" t="inlineStr">
        <is>
          <t>SAN JUAN, PUERTO RICO</t>
        </is>
      </c>
      <c r="I632" s="724" t="n">
        <v>9292</v>
      </c>
      <c r="J632" s="723" t="inlineStr">
        <is>
          <t>Km</t>
        </is>
      </c>
      <c r="K632" s="725" t="n">
        <v>3750</v>
      </c>
      <c r="L632" s="740">
        <f>M632-K632</f>
        <v/>
      </c>
      <c r="M632" s="738" t="n">
        <v>15168</v>
      </c>
      <c r="N632" s="1773" t="n">
        <v>7386</v>
      </c>
      <c r="O632" s="1762">
        <f>N632*E632/1000</f>
        <v/>
      </c>
      <c r="P632" s="1763">
        <f>O632/32</f>
        <v/>
      </c>
      <c r="Q632" s="1764">
        <f>N632*I632/1000</f>
        <v/>
      </c>
    </row>
    <row r="633" ht="15.75" customHeight="1">
      <c r="A633" s="757" t="inlineStr">
        <is>
          <t>FO23090056</t>
        </is>
      </c>
      <c r="B633" s="729" t="n">
        <v>45194</v>
      </c>
      <c r="C633" s="730" t="inlineStr">
        <is>
          <t>มัลติแบกซ์</t>
        </is>
      </c>
      <c r="D633" s="730" t="inlineStr">
        <is>
          <t>ท่าเรือแหลมฉบัง</t>
        </is>
      </c>
      <c r="E633" s="731" t="n">
        <v>11.9</v>
      </c>
      <c r="F633" s="728" t="inlineStr">
        <is>
          <t>Km</t>
        </is>
      </c>
      <c r="G633" s="728" t="inlineStr">
        <is>
          <t>รถเทรลเลอร์</t>
        </is>
      </c>
      <c r="H633" s="728" t="inlineStr">
        <is>
          <t>HONG KONG</t>
        </is>
      </c>
      <c r="I633" s="733" t="n">
        <v>1734</v>
      </c>
      <c r="J633" s="732" t="inlineStr">
        <is>
          <t>Km</t>
        </is>
      </c>
      <c r="K633" s="734" t="n">
        <v>3600</v>
      </c>
      <c r="L633" s="741">
        <f>M633-K633</f>
        <v/>
      </c>
      <c r="M633" s="739" t="n">
        <v>15998.5</v>
      </c>
      <c r="N633" s="1772" t="n">
        <v>9594</v>
      </c>
      <c r="O633" s="1762">
        <f>N633*E633/1000</f>
        <v/>
      </c>
      <c r="P633" s="1763">
        <f>O633/32</f>
        <v/>
      </c>
      <c r="Q633" s="1764">
        <f>N633*I633/1000</f>
        <v/>
      </c>
    </row>
    <row r="634" ht="15.75" customHeight="1">
      <c r="A634" s="756" t="inlineStr">
        <is>
          <t>FO23090057</t>
        </is>
      </c>
      <c r="B634" s="720" t="n">
        <v>45195</v>
      </c>
      <c r="C634" s="721" t="inlineStr">
        <is>
          <t>มัลติแบกซ์</t>
        </is>
      </c>
      <c r="D634" s="721" t="inlineStr">
        <is>
          <t>ท่าเรือแหลมฉบัง</t>
        </is>
      </c>
      <c r="E634" s="722" t="n">
        <v>7.5</v>
      </c>
      <c r="F634" s="719" t="inlineStr">
        <is>
          <t>Km</t>
        </is>
      </c>
      <c r="G634" s="719" t="inlineStr">
        <is>
          <t>รถเทรลเลอร์</t>
        </is>
      </c>
      <c r="H634" s="719" t="inlineStr">
        <is>
          <t>SINGAPORE</t>
        </is>
      </c>
      <c r="I634" s="724" t="n">
        <v>1931</v>
      </c>
      <c r="J634" s="723" t="inlineStr">
        <is>
          <t>Km</t>
        </is>
      </c>
      <c r="K634" s="725" t="n">
        <v>5214</v>
      </c>
      <c r="L634" s="740">
        <f>M634-K634</f>
        <v/>
      </c>
      <c r="M634" s="738" t="n">
        <v>6126</v>
      </c>
      <c r="N634" s="1773" t="n">
        <v>5214</v>
      </c>
      <c r="O634" s="1762">
        <f>N634*E634/1000</f>
        <v/>
      </c>
      <c r="P634" s="1763">
        <f>O634/32</f>
        <v/>
      </c>
      <c r="Q634" s="1764">
        <f>N634*I634/1000</f>
        <v/>
      </c>
    </row>
    <row r="635" ht="15.75" customHeight="1">
      <c r="A635" s="757" t="inlineStr">
        <is>
          <t>FO23090058</t>
        </is>
      </c>
      <c r="B635" s="729" t="n">
        <v>45195</v>
      </c>
      <c r="C635" s="730" t="inlineStr">
        <is>
          <t>มัลติแบกซ์</t>
        </is>
      </c>
      <c r="D635" s="730" t="inlineStr">
        <is>
          <t>ท่าเรือแหลมฉบัง</t>
        </is>
      </c>
      <c r="E635" s="731" t="n">
        <v>11.9</v>
      </c>
      <c r="F635" s="728" t="inlineStr">
        <is>
          <t>Km</t>
        </is>
      </c>
      <c r="G635" s="728" t="inlineStr">
        <is>
          <t>รถเทรลเลอร์</t>
        </is>
      </c>
      <c r="H635" s="728" t="inlineStr">
        <is>
          <t>SHUWAIKH, KUWAIT</t>
        </is>
      </c>
      <c r="I635" s="733" t="n">
        <v>5727</v>
      </c>
      <c r="J635" s="732" t="inlineStr">
        <is>
          <t>Km</t>
        </is>
      </c>
      <c r="K635" s="734" t="n">
        <v>2280</v>
      </c>
      <c r="L635" s="741">
        <f>M635-K635</f>
        <v/>
      </c>
      <c r="M635" s="739" t="n">
        <v>9036.780000000001</v>
      </c>
      <c r="N635" s="1772" t="n">
        <v>5815.21</v>
      </c>
      <c r="O635" s="1762">
        <f>N635*E635/1000</f>
        <v/>
      </c>
      <c r="P635" s="1763">
        <f>O635/32</f>
        <v/>
      </c>
      <c r="Q635" s="1764">
        <f>N635*I635/1000</f>
        <v/>
      </c>
    </row>
    <row r="636" ht="15.75" customHeight="1">
      <c r="A636" s="756" t="inlineStr">
        <is>
          <t>FO23090059</t>
        </is>
      </c>
      <c r="B636" s="720" t="n">
        <v>45195</v>
      </c>
      <c r="C636" s="721" t="inlineStr">
        <is>
          <t>มัลติแบกซ์</t>
        </is>
      </c>
      <c r="D636" s="721" t="inlineStr">
        <is>
          <t>ท่าเรือแหลมฉบัง</t>
        </is>
      </c>
      <c r="E636" s="722" t="n">
        <v>11.9</v>
      </c>
      <c r="F636" s="719" t="inlineStr">
        <is>
          <t>Km</t>
        </is>
      </c>
      <c r="G636" s="719" t="inlineStr">
        <is>
          <t>รถเทรลเลอร์</t>
        </is>
      </c>
      <c r="H636" s="719" t="inlineStr">
        <is>
          <t>HAMAD, QATAR</t>
        </is>
      </c>
      <c r="I636" s="724" t="n">
        <v>5317</v>
      </c>
      <c r="J636" s="723" t="inlineStr">
        <is>
          <t>Km</t>
        </is>
      </c>
      <c r="K636" s="725" t="n">
        <v>2180</v>
      </c>
      <c r="L636" s="740">
        <f>M636-K636</f>
        <v/>
      </c>
      <c r="M636" s="738" t="n">
        <v>8897.799999999999</v>
      </c>
      <c r="N636" s="1773" t="n">
        <v>5665.63</v>
      </c>
      <c r="O636" s="1762">
        <f>N636*E636/1000</f>
        <v/>
      </c>
      <c r="P636" s="1763">
        <f>O636/32</f>
        <v/>
      </c>
      <c r="Q636" s="1764">
        <f>N636*I636/1000</f>
        <v/>
      </c>
    </row>
    <row r="637" ht="15.75" customHeight="1">
      <c r="A637" s="757" t="inlineStr">
        <is>
          <t>FO23090060</t>
        </is>
      </c>
      <c r="B637" s="729" t="n">
        <v>45194</v>
      </c>
      <c r="C637" s="730" t="inlineStr">
        <is>
          <t>มัลติแบกซ์</t>
        </is>
      </c>
      <c r="D637" s="730" t="inlineStr">
        <is>
          <t>ท่าเรือแหลมฉบัง</t>
        </is>
      </c>
      <c r="E637" s="731" t="n">
        <v>11.9</v>
      </c>
      <c r="F637" s="728" t="inlineStr">
        <is>
          <t>Km</t>
        </is>
      </c>
      <c r="G637" s="728" t="inlineStr">
        <is>
          <t>รถเทรลเลอร์</t>
        </is>
      </c>
      <c r="H637" s="728" t="inlineStr">
        <is>
          <t>AJMAN PORT, UAE</t>
        </is>
      </c>
      <c r="I637" s="733" t="n">
        <v>4929</v>
      </c>
      <c r="J637" s="732" t="inlineStr">
        <is>
          <t>Km</t>
        </is>
      </c>
      <c r="K637" s="734" t="n">
        <v>2220</v>
      </c>
      <c r="L637" s="741">
        <f>M637-K637</f>
        <v/>
      </c>
      <c r="M637" s="739" t="n">
        <v>9980.18</v>
      </c>
      <c r="N637" s="1772" t="n">
        <v>6845.63</v>
      </c>
      <c r="O637" s="1762">
        <f>N637*E637/1000</f>
        <v/>
      </c>
      <c r="P637" s="1763">
        <f>O637/32</f>
        <v/>
      </c>
      <c r="Q637" s="1764">
        <f>N637*I637/1000</f>
        <v/>
      </c>
    </row>
    <row r="638" ht="15.75" customHeight="1">
      <c r="A638" s="756" t="inlineStr">
        <is>
          <t>FO23090061</t>
        </is>
      </c>
      <c r="B638" s="720" t="n">
        <v>45197</v>
      </c>
      <c r="C638" s="721" t="inlineStr">
        <is>
          <t>มัลติแบกซ์</t>
        </is>
      </c>
      <c r="D638" s="721" t="inlineStr">
        <is>
          <t>ท่าเรือแหลมฉบัง</t>
        </is>
      </c>
      <c r="E638" s="722" t="n">
        <v>11.9</v>
      </c>
      <c r="F638" s="719" t="inlineStr">
        <is>
          <t>Km</t>
        </is>
      </c>
      <c r="G638" s="719" t="inlineStr">
        <is>
          <t>รถเทรลเลอร์</t>
        </is>
      </c>
      <c r="H638" s="719" t="inlineStr">
        <is>
          <t>AJMAN PORT, UAE</t>
        </is>
      </c>
      <c r="I638" s="724" t="n">
        <v>4929</v>
      </c>
      <c r="J638" s="723" t="inlineStr">
        <is>
          <t>Km</t>
        </is>
      </c>
      <c r="K638" s="725" t="n">
        <v>3690</v>
      </c>
      <c r="L638" s="740">
        <f>M638-K638</f>
        <v/>
      </c>
      <c r="M638" s="738" t="n">
        <v>17824.9</v>
      </c>
      <c r="N638" s="1773" t="n">
        <v>13767.9</v>
      </c>
      <c r="O638" s="1762">
        <f>N638*E638/1000</f>
        <v/>
      </c>
      <c r="P638" s="1763">
        <f>O638/32</f>
        <v/>
      </c>
      <c r="Q638" s="1764">
        <f>N638*I638/1000</f>
        <v/>
      </c>
    </row>
    <row r="639" ht="15.75" customHeight="1">
      <c r="A639" s="757" t="inlineStr">
        <is>
          <t>FO23090063</t>
        </is>
      </c>
      <c r="B639" s="729" t="n">
        <v>45197</v>
      </c>
      <c r="C639" s="730" t="inlineStr">
        <is>
          <t>มัลติแบกซ์</t>
        </is>
      </c>
      <c r="D639" s="730" t="inlineStr">
        <is>
          <t>ท่าเรือแหลมฉบัง</t>
        </is>
      </c>
      <c r="E639" s="731" t="n">
        <v>6</v>
      </c>
      <c r="F639" s="728" t="inlineStr">
        <is>
          <t>Km</t>
        </is>
      </c>
      <c r="G639" s="728" t="inlineStr">
        <is>
          <t>รถเทรลเลอร์</t>
        </is>
      </c>
      <c r="H639" s="728" t="inlineStr">
        <is>
          <t>COLUMBUS OHIO, USA</t>
        </is>
      </c>
      <c r="I639" s="733" t="n">
        <v>14000</v>
      </c>
      <c r="J639" s="732" t="inlineStr">
        <is>
          <t>Km</t>
        </is>
      </c>
      <c r="K639" s="734" t="n">
        <v>3820</v>
      </c>
      <c r="L639" s="741">
        <f>M639-K639</f>
        <v/>
      </c>
      <c r="M639" s="739" t="n">
        <v>21758.44</v>
      </c>
      <c r="N639" s="1772" t="n">
        <v>15296.18</v>
      </c>
      <c r="O639" s="1762">
        <f>N639*E639/1000</f>
        <v/>
      </c>
      <c r="P639" s="1763">
        <f>O639/32</f>
        <v/>
      </c>
      <c r="Q639" s="1764">
        <f>N639*I639/1000</f>
        <v/>
      </c>
    </row>
    <row r="640" ht="15.75" customHeight="1">
      <c r="A640" s="756" t="inlineStr">
        <is>
          <t>FO23090064</t>
        </is>
      </c>
      <c r="B640" s="720" t="n">
        <v>45196</v>
      </c>
      <c r="C640" s="721" t="inlineStr">
        <is>
          <t>มัลติแบกซ์</t>
        </is>
      </c>
      <c r="D640" s="721" t="inlineStr">
        <is>
          <t>ท่าเรือแหลมฉบัง</t>
        </is>
      </c>
      <c r="E640" s="722" t="n">
        <v>6.2</v>
      </c>
      <c r="F640" s="719" t="inlineStr">
        <is>
          <t>Km</t>
        </is>
      </c>
      <c r="G640" s="719" t="inlineStr">
        <is>
          <t>รถเทรลเลอร์</t>
        </is>
      </c>
      <c r="H640" s="719" t="inlineStr">
        <is>
          <t>PERRIS CA, USA</t>
        </is>
      </c>
      <c r="I640" s="724" t="n">
        <v>13413</v>
      </c>
      <c r="J640" s="723" t="inlineStr">
        <is>
          <t>Km</t>
        </is>
      </c>
      <c r="K640" s="725" t="n">
        <v>3860</v>
      </c>
      <c r="L640" s="740">
        <f>M640-K640</f>
        <v/>
      </c>
      <c r="M640" s="738" t="n">
        <v>15839</v>
      </c>
      <c r="N640" s="1773" t="n">
        <v>11977</v>
      </c>
      <c r="O640" s="1762">
        <f>N640*E640/1000</f>
        <v/>
      </c>
      <c r="P640" s="1763">
        <f>O640/32</f>
        <v/>
      </c>
      <c r="Q640" s="1764">
        <f>N640*I640/1000</f>
        <v/>
      </c>
    </row>
    <row r="641" ht="15.75" customHeight="1">
      <c r="A641" s="757" t="inlineStr">
        <is>
          <t>FO23090065</t>
        </is>
      </c>
      <c r="B641" s="729" t="n">
        <v>45197</v>
      </c>
      <c r="C641" s="730" t="inlineStr">
        <is>
          <t>มัลติแบกซ์</t>
        </is>
      </c>
      <c r="D641" s="730" t="inlineStr">
        <is>
          <t>ท่าเรือแหลมฉบัง</t>
        </is>
      </c>
      <c r="E641" s="731" t="n">
        <v>11.9</v>
      </c>
      <c r="F641" s="728" t="inlineStr">
        <is>
          <t>Km</t>
        </is>
      </c>
      <c r="G641" s="728" t="inlineStr">
        <is>
          <t>รถเทรลเลอร์</t>
        </is>
      </c>
      <c r="H641" s="728" t="inlineStr">
        <is>
          <t>SYDNEY, AUSTRALIA</t>
        </is>
      </c>
      <c r="I641" s="733" t="n">
        <v>7448</v>
      </c>
      <c r="J641" s="732" t="inlineStr">
        <is>
          <t>Km</t>
        </is>
      </c>
      <c r="K641" s="734" t="n">
        <v>3660</v>
      </c>
      <c r="L641" s="741">
        <f>M641-K641</f>
        <v/>
      </c>
      <c r="M641" s="739" t="n">
        <v>24437</v>
      </c>
      <c r="N641" s="1772" t="n">
        <v>18485</v>
      </c>
      <c r="O641" s="1762">
        <f>N641*E641/1000</f>
        <v/>
      </c>
      <c r="P641" s="1763">
        <f>O641/32</f>
        <v/>
      </c>
      <c r="Q641" s="1764">
        <f>N641*I641/1000</f>
        <v/>
      </c>
    </row>
    <row r="642" ht="15.75" customHeight="1">
      <c r="A642" s="756" t="inlineStr">
        <is>
          <t>FO23090066</t>
        </is>
      </c>
      <c r="B642" s="720" t="n">
        <v>45195</v>
      </c>
      <c r="C642" s="721" t="inlineStr">
        <is>
          <t>มัลติแบกซ์</t>
        </is>
      </c>
      <c r="D642" s="721" t="inlineStr">
        <is>
          <t>ท่าเรือแหลมฉบัง</t>
        </is>
      </c>
      <c r="E642" s="722" t="n">
        <v>7.1</v>
      </c>
      <c r="F642" s="719" t="inlineStr">
        <is>
          <t>Km</t>
        </is>
      </c>
      <c r="G642" s="719" t="inlineStr">
        <is>
          <t>รถเทรลเลอร์</t>
        </is>
      </c>
      <c r="H642" s="719" t="inlineStr">
        <is>
          <t>UNIVERSITY PARK IL, USA</t>
        </is>
      </c>
      <c r="I642" s="724" t="n">
        <v>13877</v>
      </c>
      <c r="J642" s="723" t="inlineStr">
        <is>
          <t>Km</t>
        </is>
      </c>
      <c r="K642" s="725" t="n">
        <v>3840</v>
      </c>
      <c r="L642" s="740">
        <f>M642-K642</f>
        <v/>
      </c>
      <c r="M642" s="738" t="n">
        <v>14029.8</v>
      </c>
      <c r="N642" s="1773" t="n">
        <v>7660</v>
      </c>
      <c r="O642" s="1762">
        <f>N642*E642/1000</f>
        <v/>
      </c>
      <c r="P642" s="1763">
        <f>O642/32</f>
        <v/>
      </c>
      <c r="Q642" s="1764">
        <f>N642*I642/1000</f>
        <v/>
      </c>
    </row>
    <row r="643" ht="15.75" customHeight="1">
      <c r="A643" s="757" t="inlineStr">
        <is>
          <t>FO23090067</t>
        </is>
      </c>
      <c r="B643" s="729" t="n">
        <v>45195</v>
      </c>
      <c r="C643" s="730" t="inlineStr">
        <is>
          <t>มัลติแบกซ์</t>
        </is>
      </c>
      <c r="D643" s="730" t="inlineStr">
        <is>
          <t>ท่าเรือแหลมฉบัง</t>
        </is>
      </c>
      <c r="E643" s="731" t="n">
        <v>7.1</v>
      </c>
      <c r="F643" s="728" t="inlineStr">
        <is>
          <t>Km</t>
        </is>
      </c>
      <c r="G643" s="728" t="inlineStr">
        <is>
          <t>รถเทรลเลอร์</t>
        </is>
      </c>
      <c r="H643" s="728" t="inlineStr">
        <is>
          <t>UNIVERSITY PARK IL, USA</t>
        </is>
      </c>
      <c r="I643" s="733" t="n">
        <v>13877</v>
      </c>
      <c r="J643" s="732" t="inlineStr">
        <is>
          <t>Km</t>
        </is>
      </c>
      <c r="K643" s="734" t="n">
        <v>3700</v>
      </c>
      <c r="L643" s="741">
        <f>M643-K643</f>
        <v/>
      </c>
      <c r="M643" s="739" t="n">
        <v>13474.2</v>
      </c>
      <c r="N643" s="1772" t="n">
        <v>6917.4</v>
      </c>
      <c r="O643" s="1762">
        <f>N643*E643/1000</f>
        <v/>
      </c>
      <c r="P643" s="1763">
        <f>O643/32</f>
        <v/>
      </c>
      <c r="Q643" s="1764">
        <f>N643*I643/1000</f>
        <v/>
      </c>
    </row>
    <row r="644" ht="15.75" customHeight="1">
      <c r="A644" s="756" t="inlineStr">
        <is>
          <t>FO23090068</t>
        </is>
      </c>
      <c r="B644" s="720" t="n">
        <v>45197</v>
      </c>
      <c r="C644" s="721" t="inlineStr">
        <is>
          <t>มัลติแบกซ์</t>
        </is>
      </c>
      <c r="D644" s="721" t="inlineStr">
        <is>
          <t>ท่าเรือแหลมฉบัง</t>
        </is>
      </c>
      <c r="E644" s="722" t="n">
        <v>7.1</v>
      </c>
      <c r="F644" s="719" t="inlineStr">
        <is>
          <t>Km</t>
        </is>
      </c>
      <c r="G644" s="719" t="inlineStr">
        <is>
          <t>รถเทรลเลอร์</t>
        </is>
      </c>
      <c r="H644" s="719" t="inlineStr">
        <is>
          <t>UNIVERSITY PARK IL, USA</t>
        </is>
      </c>
      <c r="I644" s="724" t="n">
        <v>13877</v>
      </c>
      <c r="J644" s="723" t="inlineStr">
        <is>
          <t>Km</t>
        </is>
      </c>
      <c r="K644" s="725" t="n">
        <v>3760</v>
      </c>
      <c r="L644" s="740">
        <f>M644-K644</f>
        <v/>
      </c>
      <c r="M644" s="738" t="n">
        <v>14486</v>
      </c>
      <c r="N644" s="1773" t="n">
        <v>8196.200000000001</v>
      </c>
      <c r="O644" s="1762">
        <f>N644*E644/1000</f>
        <v/>
      </c>
      <c r="P644" s="1763">
        <f>O644/32</f>
        <v/>
      </c>
      <c r="Q644" s="1764">
        <f>N644*I644/1000</f>
        <v/>
      </c>
    </row>
    <row r="645" ht="15.75" customHeight="1">
      <c r="A645" s="757" t="inlineStr">
        <is>
          <t>FO23090069</t>
        </is>
      </c>
      <c r="B645" s="729" t="n">
        <v>45195</v>
      </c>
      <c r="C645" s="730" t="inlineStr">
        <is>
          <t>มัลติแบกซ์</t>
        </is>
      </c>
      <c r="D645" s="730" t="inlineStr">
        <is>
          <t>ท่าเรือแหลมฉบัง</t>
        </is>
      </c>
      <c r="E645" s="731" t="n">
        <v>7.1</v>
      </c>
      <c r="F645" s="728" t="inlineStr">
        <is>
          <t>Km</t>
        </is>
      </c>
      <c r="G645" s="728" t="inlineStr">
        <is>
          <t>รถเทรลเลอร์</t>
        </is>
      </c>
      <c r="H645" s="728" t="inlineStr">
        <is>
          <t>UNIVERSITY PARK IL, USA</t>
        </is>
      </c>
      <c r="I645" s="733" t="n">
        <v>13877</v>
      </c>
      <c r="J645" s="732" t="inlineStr">
        <is>
          <t>Km</t>
        </is>
      </c>
      <c r="K645" s="734" t="n">
        <v>3900</v>
      </c>
      <c r="L645" s="741">
        <f>M645-K645</f>
        <v/>
      </c>
      <c r="M645" s="739" t="n">
        <v>15194</v>
      </c>
      <c r="N645" s="1772" t="n">
        <v>8988</v>
      </c>
      <c r="O645" s="1762">
        <f>N645*E645/1000</f>
        <v/>
      </c>
      <c r="P645" s="1763">
        <f>O645/32</f>
        <v/>
      </c>
      <c r="Q645" s="1764">
        <f>N645*I645/1000</f>
        <v/>
      </c>
    </row>
    <row r="646" ht="15.75" customHeight="1">
      <c r="A646" s="756" t="inlineStr">
        <is>
          <t>FO23090070</t>
        </is>
      </c>
      <c r="B646" s="720" t="n">
        <v>45195</v>
      </c>
      <c r="C646" s="721" t="inlineStr">
        <is>
          <t>มัลติแบกซ์</t>
        </is>
      </c>
      <c r="D646" s="721" t="inlineStr">
        <is>
          <t>ท่าเรือแหลมฉบัง</t>
        </is>
      </c>
      <c r="E646" s="722" t="n">
        <v>7.1</v>
      </c>
      <c r="F646" s="719" t="inlineStr">
        <is>
          <t>Km</t>
        </is>
      </c>
      <c r="G646" s="719" t="inlineStr">
        <is>
          <t>รถเทรลเลอร์</t>
        </is>
      </c>
      <c r="H646" s="719" t="inlineStr">
        <is>
          <t>UNIVERSITY PARK IL, USA</t>
        </is>
      </c>
      <c r="I646" s="724" t="n">
        <v>13877</v>
      </c>
      <c r="J646" s="723" t="inlineStr">
        <is>
          <t>Km</t>
        </is>
      </c>
      <c r="K646" s="725" t="n">
        <v>3770</v>
      </c>
      <c r="L646" s="740">
        <f>M646-K646</f>
        <v/>
      </c>
      <c r="M646" s="738" t="n">
        <v>13959.8</v>
      </c>
      <c r="N646" s="1773" t="n">
        <v>7660</v>
      </c>
      <c r="O646" s="1762">
        <f>N646*E646/1000</f>
        <v/>
      </c>
      <c r="P646" s="1763">
        <f>O646/32</f>
        <v/>
      </c>
      <c r="Q646" s="1764">
        <f>N646*I646/1000</f>
        <v/>
      </c>
    </row>
    <row r="647" ht="15.75" customHeight="1">
      <c r="A647" s="757" t="inlineStr">
        <is>
          <t>FO23090071</t>
        </is>
      </c>
      <c r="B647" s="729" t="n">
        <v>45196</v>
      </c>
      <c r="C647" s="730" t="inlineStr">
        <is>
          <t>มัลติแบกซ์</t>
        </is>
      </c>
      <c r="D647" s="730" t="inlineStr">
        <is>
          <t>ท่าเรือแหลมฉบัง</t>
        </is>
      </c>
      <c r="E647" s="731" t="n">
        <v>11.9</v>
      </c>
      <c r="F647" s="728" t="inlineStr">
        <is>
          <t>Km</t>
        </is>
      </c>
      <c r="G647" s="728" t="inlineStr">
        <is>
          <t>รถเทรลเลอร์</t>
        </is>
      </c>
      <c r="H647" s="728" t="inlineStr">
        <is>
          <t>MANZANILLO, MEXICO</t>
        </is>
      </c>
      <c r="I647" s="733" t="n">
        <v>15486</v>
      </c>
      <c r="J647" s="732" t="inlineStr">
        <is>
          <t>Km</t>
        </is>
      </c>
      <c r="K647" s="734" t="n">
        <v>3800</v>
      </c>
      <c r="L647" s="741">
        <f>M647-K647</f>
        <v/>
      </c>
      <c r="M647" s="739" t="n">
        <v>15162</v>
      </c>
      <c r="N647" s="1772" t="n">
        <v>8658</v>
      </c>
      <c r="O647" s="1762">
        <f>N647*E647/1000</f>
        <v/>
      </c>
      <c r="P647" s="1763">
        <f>O647/32</f>
        <v/>
      </c>
      <c r="Q647" s="1764">
        <f>N647*I647/1000</f>
        <v/>
      </c>
    </row>
    <row r="648" ht="15.75" customHeight="1">
      <c r="A648" s="756" t="inlineStr">
        <is>
          <t>FO23090072</t>
        </is>
      </c>
      <c r="B648" s="720" t="n">
        <v>45197</v>
      </c>
      <c r="C648" s="721" t="inlineStr">
        <is>
          <t>มัลติแบกซ์</t>
        </is>
      </c>
      <c r="D648" s="721" t="inlineStr">
        <is>
          <t>ท่าเรือแหลมฉบัง</t>
        </is>
      </c>
      <c r="E648" s="722" t="n">
        <v>6.2</v>
      </c>
      <c r="F648" s="719" t="inlineStr">
        <is>
          <t>Km</t>
        </is>
      </c>
      <c r="G648" s="719" t="inlineStr">
        <is>
          <t>รถเทรลเลอร์</t>
        </is>
      </c>
      <c r="H648" s="719" t="inlineStr">
        <is>
          <t>APPLETON WI , USA</t>
        </is>
      </c>
      <c r="I648" s="724" t="n">
        <v>13558</v>
      </c>
      <c r="J648" s="723" t="inlineStr">
        <is>
          <t>Km</t>
        </is>
      </c>
      <c r="K648" s="725" t="n">
        <v>3870</v>
      </c>
      <c r="L648" s="740">
        <f>M648-K648</f>
        <v/>
      </c>
      <c r="M648" s="738" t="n">
        <v>18384</v>
      </c>
      <c r="N648" s="1773" t="n">
        <v>10844</v>
      </c>
      <c r="O648" s="1762">
        <f>N648*E648/1000</f>
        <v/>
      </c>
      <c r="P648" s="1763">
        <f>O648/32</f>
        <v/>
      </c>
      <c r="Q648" s="1764">
        <f>N648*I648/1000</f>
        <v/>
      </c>
    </row>
    <row r="649" ht="15.75" customHeight="1">
      <c r="A649" s="757" t="inlineStr">
        <is>
          <t>FO23090073</t>
        </is>
      </c>
      <c r="B649" s="729" t="n">
        <v>45196</v>
      </c>
      <c r="C649" s="730" t="inlineStr">
        <is>
          <t>มัลติแบกซ์</t>
        </is>
      </c>
      <c r="D649" s="730" t="inlineStr">
        <is>
          <t>ท่าเรือแหลมฉบัง</t>
        </is>
      </c>
      <c r="E649" s="731" t="n">
        <v>6.5</v>
      </c>
      <c r="F649" s="728" t="inlineStr">
        <is>
          <t>Km</t>
        </is>
      </c>
      <c r="G649" s="728" t="inlineStr">
        <is>
          <t>รถเทรลเลอร์</t>
        </is>
      </c>
      <c r="H649" s="728" t="inlineStr">
        <is>
          <t>UK PORT</t>
        </is>
      </c>
      <c r="I649" s="733" t="n">
        <v>9687</v>
      </c>
      <c r="J649" s="732" t="inlineStr">
        <is>
          <t>Km</t>
        </is>
      </c>
      <c r="K649" s="734" t="n">
        <v>3570</v>
      </c>
      <c r="L649" s="741">
        <f>M649-K649</f>
        <v/>
      </c>
      <c r="M649" s="739" t="n">
        <v>23447.3</v>
      </c>
      <c r="N649" s="1772" t="n">
        <v>18582.3</v>
      </c>
      <c r="O649" s="1762">
        <f>N649*E649/1000</f>
        <v/>
      </c>
      <c r="P649" s="1763">
        <f>O649/32</f>
        <v/>
      </c>
      <c r="Q649" s="1764">
        <f>N649*I649/1000</f>
        <v/>
      </c>
    </row>
    <row r="650" ht="15.75" customHeight="1">
      <c r="A650" s="756" t="inlineStr">
        <is>
          <t>FO23090074</t>
        </is>
      </c>
      <c r="B650" s="720" t="n">
        <v>45196</v>
      </c>
      <c r="C650" s="721" t="inlineStr">
        <is>
          <t>มัลติแบกซ์</t>
        </is>
      </c>
      <c r="D650" s="721" t="inlineStr">
        <is>
          <t>ท่าเรือแหลมฉบัง</t>
        </is>
      </c>
      <c r="E650" s="722" t="n">
        <v>6.5</v>
      </c>
      <c r="F650" s="719" t="inlineStr">
        <is>
          <t>Km</t>
        </is>
      </c>
      <c r="G650" s="719" t="inlineStr">
        <is>
          <t>รถเทรลเลอร์</t>
        </is>
      </c>
      <c r="H650" s="719" t="inlineStr">
        <is>
          <t>UK PORT</t>
        </is>
      </c>
      <c r="I650" s="724" t="n">
        <v>9687</v>
      </c>
      <c r="J650" s="723" t="inlineStr">
        <is>
          <t>Km</t>
        </is>
      </c>
      <c r="K650" s="725" t="n">
        <v>3570</v>
      </c>
      <c r="L650" s="740">
        <f>M650-K650</f>
        <v/>
      </c>
      <c r="M650" s="738" t="n">
        <v>23467</v>
      </c>
      <c r="N650" s="1773" t="n">
        <v>18561</v>
      </c>
      <c r="O650" s="1762">
        <f>N650*E650/1000</f>
        <v/>
      </c>
      <c r="P650" s="1763">
        <f>O650/32</f>
        <v/>
      </c>
      <c r="Q650" s="1764">
        <f>N650*I650/1000</f>
        <v/>
      </c>
    </row>
    <row r="651" ht="15.75" customHeight="1">
      <c r="A651" s="757" t="inlineStr">
        <is>
          <t>FO23090075</t>
        </is>
      </c>
      <c r="B651" s="729" t="n">
        <v>45196</v>
      </c>
      <c r="C651" s="730" t="inlineStr">
        <is>
          <t>มัลติแบกซ์</t>
        </is>
      </c>
      <c r="D651" s="730" t="inlineStr">
        <is>
          <t>ท่าเรือแหลมฉบัง</t>
        </is>
      </c>
      <c r="E651" s="731" t="n">
        <v>6.5</v>
      </c>
      <c r="F651" s="728" t="inlineStr">
        <is>
          <t>Km</t>
        </is>
      </c>
      <c r="G651" s="728" t="inlineStr">
        <is>
          <t>รถเทรลเลอร์</t>
        </is>
      </c>
      <c r="H651" s="728" t="inlineStr">
        <is>
          <t>UK PORT</t>
        </is>
      </c>
      <c r="I651" s="733" t="n">
        <v>9687</v>
      </c>
      <c r="J651" s="732" t="inlineStr">
        <is>
          <t>Km</t>
        </is>
      </c>
      <c r="K651" s="734" t="n">
        <v>3640</v>
      </c>
      <c r="L651" s="741">
        <f>M651-K651</f>
        <v/>
      </c>
      <c r="M651" s="739" t="n">
        <v>23537</v>
      </c>
      <c r="N651" s="1772" t="n">
        <v>18561</v>
      </c>
      <c r="O651" s="1762">
        <f>N651*E651/1000</f>
        <v/>
      </c>
      <c r="P651" s="1763">
        <f>O651/32</f>
        <v/>
      </c>
      <c r="Q651" s="1764">
        <f>N651*I651/1000</f>
        <v/>
      </c>
    </row>
    <row r="652" ht="15.75" customHeight="1">
      <c r="A652" s="719" t="inlineStr">
        <is>
          <t>FO23100001</t>
        </is>
      </c>
      <c r="B652" s="720" t="n">
        <v>45204</v>
      </c>
      <c r="C652" s="721" t="inlineStr">
        <is>
          <t>มัลติแบกซ์</t>
        </is>
      </c>
      <c r="D652" s="721" t="inlineStr">
        <is>
          <t>ท่าเรือแหลมฉบัง</t>
        </is>
      </c>
      <c r="E652" s="722" t="n">
        <v>11.9</v>
      </c>
      <c r="F652" s="719" t="inlineStr">
        <is>
          <t>Km</t>
        </is>
      </c>
      <c r="G652" s="719" t="inlineStr">
        <is>
          <t>รถเทรลเลอร์</t>
        </is>
      </c>
      <c r="H652" s="719" t="inlineStr">
        <is>
          <t>MELBOURNE, AUSTRALIA</t>
        </is>
      </c>
      <c r="I652" s="724" t="n">
        <v>7283</v>
      </c>
      <c r="J652" s="723" t="inlineStr">
        <is>
          <t>Km</t>
        </is>
      </c>
      <c r="K652" s="725" t="n">
        <v>3540</v>
      </c>
      <c r="L652" s="740">
        <f>M652-K652</f>
        <v/>
      </c>
      <c r="M652" s="1769" t="n">
        <v>27442</v>
      </c>
      <c r="N652" s="1773" t="n">
        <v>20473</v>
      </c>
      <c r="O652" s="1762">
        <f>N652*E652/1000</f>
        <v/>
      </c>
      <c r="P652" s="1763">
        <f>O652/32</f>
        <v/>
      </c>
      <c r="Q652" s="1764">
        <f>N652*I652/1000</f>
        <v/>
      </c>
    </row>
    <row r="653" ht="15.75" customHeight="1">
      <c r="A653" s="728" t="inlineStr">
        <is>
          <t>FO23100002</t>
        </is>
      </c>
      <c r="B653" s="729" t="n">
        <v>45204</v>
      </c>
      <c r="C653" s="730" t="inlineStr">
        <is>
          <t>มัลติแบกซ์</t>
        </is>
      </c>
      <c r="D653" s="730" t="inlineStr">
        <is>
          <t>ท่าเรือแหลมฉบัง</t>
        </is>
      </c>
      <c r="E653" s="731" t="n">
        <v>11.9</v>
      </c>
      <c r="F653" s="728" t="inlineStr">
        <is>
          <t>Km</t>
        </is>
      </c>
      <c r="G653" s="728" t="inlineStr">
        <is>
          <t>รถเทรลเลอร์</t>
        </is>
      </c>
      <c r="H653" s="728" t="inlineStr">
        <is>
          <t>MELBOURNE, AUSTRALIA</t>
        </is>
      </c>
      <c r="I653" s="733" t="n">
        <v>7283</v>
      </c>
      <c r="J653" s="732" t="inlineStr">
        <is>
          <t>Km</t>
        </is>
      </c>
      <c r="K653" s="734" t="n">
        <v>3640</v>
      </c>
      <c r="L653" s="741">
        <f>M653-K653</f>
        <v/>
      </c>
      <c r="M653" s="1771" t="n">
        <v>27592</v>
      </c>
      <c r="N653" s="1772" t="n">
        <v>19071</v>
      </c>
      <c r="O653" s="1762">
        <f>N653*E653/1000</f>
        <v/>
      </c>
      <c r="P653" s="1763">
        <f>O653/32</f>
        <v/>
      </c>
      <c r="Q653" s="1764">
        <f>N653*I653/1000</f>
        <v/>
      </c>
    </row>
    <row r="654" ht="15.75" customHeight="1">
      <c r="A654" s="719" t="inlineStr">
        <is>
          <t>FO23100003</t>
        </is>
      </c>
      <c r="B654" s="720" t="n">
        <v>45204</v>
      </c>
      <c r="C654" s="721" t="inlineStr">
        <is>
          <t>มัลติแบกซ์</t>
        </is>
      </c>
      <c r="D654" s="721" t="inlineStr">
        <is>
          <t>ท่าเรือแหลมฉบัง</t>
        </is>
      </c>
      <c r="E654" s="722" t="n">
        <v>11.9</v>
      </c>
      <c r="F654" s="719" t="inlineStr">
        <is>
          <t>Km</t>
        </is>
      </c>
      <c r="G654" s="719" t="inlineStr">
        <is>
          <t>รถเทรลเลอร์</t>
        </is>
      </c>
      <c r="H654" s="719" t="inlineStr">
        <is>
          <t>MELBOURNE, AUSTRALIA</t>
        </is>
      </c>
      <c r="I654" s="724" t="n">
        <v>7283</v>
      </c>
      <c r="J654" s="723" t="inlineStr">
        <is>
          <t>Km</t>
        </is>
      </c>
      <c r="K654" s="725" t="n">
        <v>3540</v>
      </c>
      <c r="L654" s="740">
        <f>M654-K654</f>
        <v/>
      </c>
      <c r="M654" s="1769" t="n">
        <v>27492</v>
      </c>
      <c r="N654" s="1773" t="n">
        <v>20286</v>
      </c>
      <c r="O654" s="1762">
        <f>N654*E654/1000</f>
        <v/>
      </c>
      <c r="P654" s="1763">
        <f>O654/32</f>
        <v/>
      </c>
      <c r="Q654" s="1764">
        <f>N654*I654/1000</f>
        <v/>
      </c>
    </row>
    <row r="655" ht="15.75" customHeight="1">
      <c r="A655" s="728" t="inlineStr">
        <is>
          <t>FO23100004</t>
        </is>
      </c>
      <c r="B655" s="729" t="n">
        <v>45201</v>
      </c>
      <c r="C655" s="730" t="inlineStr">
        <is>
          <t>มัลติแบกซ์</t>
        </is>
      </c>
      <c r="D655" s="730" t="inlineStr">
        <is>
          <t>ท่าเรือแหลมฉบัง</t>
        </is>
      </c>
      <c r="E655" s="731" t="n">
        <v>7.1</v>
      </c>
      <c r="F655" s="728" t="inlineStr">
        <is>
          <t>Km</t>
        </is>
      </c>
      <c r="G655" s="728" t="inlineStr">
        <is>
          <t>รถเทรลเลอร์</t>
        </is>
      </c>
      <c r="H655" s="728" t="inlineStr">
        <is>
          <t>UNIVERSITY PARK IL, USA</t>
        </is>
      </c>
      <c r="I655" s="733" t="n">
        <v>13877</v>
      </c>
      <c r="J655" s="732" t="inlineStr">
        <is>
          <t>Km</t>
        </is>
      </c>
      <c r="K655" s="734" t="n">
        <v>3770</v>
      </c>
      <c r="L655" s="741">
        <f>M655-K655</f>
        <v/>
      </c>
      <c r="M655" s="1771" t="n">
        <v>13544.2</v>
      </c>
      <c r="N655" s="1772" t="n">
        <v>6917.4</v>
      </c>
      <c r="O655" s="1762">
        <f>N655*E655/1000</f>
        <v/>
      </c>
      <c r="P655" s="1763">
        <f>O655/32</f>
        <v/>
      </c>
      <c r="Q655" s="1764">
        <f>N655*I655/1000</f>
        <v/>
      </c>
    </row>
    <row r="656" ht="15.75" customHeight="1">
      <c r="A656" s="719" t="inlineStr">
        <is>
          <t>FO23100005</t>
        </is>
      </c>
      <c r="B656" s="720" t="n">
        <v>45201</v>
      </c>
      <c r="C656" s="721" t="inlineStr">
        <is>
          <t>มัลติแบกซ์</t>
        </is>
      </c>
      <c r="D656" s="721" t="inlineStr">
        <is>
          <t>ท่าเรือแหลมฉบัง</t>
        </is>
      </c>
      <c r="E656" s="722" t="n">
        <v>7.1</v>
      </c>
      <c r="F656" s="719" t="inlineStr">
        <is>
          <t>Km</t>
        </is>
      </c>
      <c r="G656" s="719" t="inlineStr">
        <is>
          <t>รถเทรลเลอร์</t>
        </is>
      </c>
      <c r="H656" s="719" t="inlineStr">
        <is>
          <t>UNIVERSITY PARK IL, USA</t>
        </is>
      </c>
      <c r="I656" s="724" t="n">
        <v>13877</v>
      </c>
      <c r="J656" s="723" t="inlineStr">
        <is>
          <t>Km</t>
        </is>
      </c>
      <c r="K656" s="725" t="n">
        <v>3820</v>
      </c>
      <c r="L656" s="740">
        <f>M656-K656</f>
        <v/>
      </c>
      <c r="M656" s="1769" t="n">
        <v>15834</v>
      </c>
      <c r="N656" s="1773" t="n">
        <v>8988</v>
      </c>
      <c r="O656" s="1762">
        <f>N656*E656/1000</f>
        <v/>
      </c>
      <c r="P656" s="1763">
        <f>O656/32</f>
        <v/>
      </c>
      <c r="Q656" s="1764">
        <f>N656*I656/1000</f>
        <v/>
      </c>
    </row>
    <row r="657" ht="15.75" customHeight="1">
      <c r="A657" s="728" t="inlineStr">
        <is>
          <t>FO23100006</t>
        </is>
      </c>
      <c r="B657" s="729" t="n">
        <v>45201</v>
      </c>
      <c r="C657" s="730" t="inlineStr">
        <is>
          <t>มัลติแบกซ์</t>
        </is>
      </c>
      <c r="D657" s="730" t="inlineStr">
        <is>
          <t>ท่าเรือแหลมฉบัง</t>
        </is>
      </c>
      <c r="E657" s="731" t="n">
        <v>6.5</v>
      </c>
      <c r="F657" s="728" t="inlineStr">
        <is>
          <t>Km</t>
        </is>
      </c>
      <c r="G657" s="728" t="inlineStr">
        <is>
          <t>รถเทรลเลอร์</t>
        </is>
      </c>
      <c r="H657" s="728" t="inlineStr">
        <is>
          <t>PERRIS CA, USA</t>
        </is>
      </c>
      <c r="I657" s="733" t="n">
        <v>13413</v>
      </c>
      <c r="J657" s="732" t="inlineStr">
        <is>
          <t>Km</t>
        </is>
      </c>
      <c r="K657" s="734" t="n">
        <v>3910</v>
      </c>
      <c r="L657" s="741">
        <f>M657-K657</f>
        <v/>
      </c>
      <c r="M657" s="1771" t="n">
        <v>16393</v>
      </c>
      <c r="N657" s="1772" t="n">
        <v>9027</v>
      </c>
      <c r="O657" s="1762">
        <f>N657*E657/1000</f>
        <v/>
      </c>
      <c r="P657" s="1763">
        <f>O657/32</f>
        <v/>
      </c>
      <c r="Q657" s="1764">
        <f>N657*I657/1000</f>
        <v/>
      </c>
    </row>
    <row r="658" ht="15.75" customHeight="1">
      <c r="A658" s="719" t="inlineStr">
        <is>
          <t>FO23100007</t>
        </is>
      </c>
      <c r="B658" s="720" t="n">
        <v>45201</v>
      </c>
      <c r="C658" s="721" t="inlineStr">
        <is>
          <t>มัลติแบกซ์</t>
        </is>
      </c>
      <c r="D658" s="721" t="inlineStr">
        <is>
          <t>ท่าเรือแหลมฉบัง</t>
        </is>
      </c>
      <c r="E658" s="722" t="n">
        <v>11.9</v>
      </c>
      <c r="F658" s="721" t="inlineStr">
        <is>
          <t>Km</t>
        </is>
      </c>
      <c r="G658" s="721" t="inlineStr">
        <is>
          <t>รถเทรลเลอร์</t>
        </is>
      </c>
      <c r="H658" s="719" t="inlineStr">
        <is>
          <t>HONG KONG</t>
        </is>
      </c>
      <c r="I658" s="724" t="n">
        <v>1734</v>
      </c>
      <c r="J658" s="750" t="inlineStr">
        <is>
          <t>Km</t>
        </is>
      </c>
      <c r="K658" s="725" t="n">
        <v>2140</v>
      </c>
      <c r="L658" s="740">
        <f>M658-K658</f>
        <v/>
      </c>
      <c r="M658" s="1769" t="n">
        <v>8204</v>
      </c>
      <c r="N658" s="1773" t="n">
        <v>4737</v>
      </c>
      <c r="O658" s="1762">
        <f>N658*E658/1000</f>
        <v/>
      </c>
      <c r="P658" s="1763">
        <f>O658/32</f>
        <v/>
      </c>
      <c r="Q658" s="1764">
        <f>N658*I658/1000</f>
        <v/>
      </c>
    </row>
    <row r="659" ht="15.75" customHeight="1">
      <c r="A659" s="728" t="inlineStr">
        <is>
          <t>FO23100008</t>
        </is>
      </c>
      <c r="B659" s="729" t="n">
        <v>45203</v>
      </c>
      <c r="C659" s="730" t="inlineStr">
        <is>
          <t>มัลติแบกซ์</t>
        </is>
      </c>
      <c r="D659" s="730" t="inlineStr">
        <is>
          <t>ท่าเรือแหลมฉบัง</t>
        </is>
      </c>
      <c r="E659" s="731" t="n">
        <v>6.2</v>
      </c>
      <c r="F659" s="728" t="inlineStr">
        <is>
          <t>Km</t>
        </is>
      </c>
      <c r="G659" s="728" t="inlineStr">
        <is>
          <t>รถเทรลเลอร์</t>
        </is>
      </c>
      <c r="H659" s="728" t="inlineStr">
        <is>
          <t>SANTA TERESA, NM USA</t>
        </is>
      </c>
      <c r="I659" s="733" t="n">
        <v>17387</v>
      </c>
      <c r="J659" s="732" t="inlineStr">
        <is>
          <t>Km</t>
        </is>
      </c>
      <c r="K659" s="734" t="n">
        <v>3700</v>
      </c>
      <c r="L659" s="741">
        <f>M659-K659</f>
        <v/>
      </c>
      <c r="M659" s="1771" t="n">
        <v>21799.28</v>
      </c>
      <c r="N659" s="1772" t="n">
        <v>15536</v>
      </c>
      <c r="O659" s="1762">
        <f>N659*E659/1000</f>
        <v/>
      </c>
      <c r="P659" s="1763">
        <f>O659/32</f>
        <v/>
      </c>
      <c r="Q659" s="1764">
        <f>N659*I659/1000</f>
        <v/>
      </c>
    </row>
    <row r="660" ht="15.75" customHeight="1">
      <c r="A660" s="719" t="inlineStr">
        <is>
          <t>FO23100009</t>
        </is>
      </c>
      <c r="B660" s="720" t="n">
        <v>45203</v>
      </c>
      <c r="C660" s="721" t="inlineStr">
        <is>
          <t>มัลติแบกซ์</t>
        </is>
      </c>
      <c r="D660" s="721" t="inlineStr">
        <is>
          <t>ท่าเรือแหลมฉบัง</t>
        </is>
      </c>
      <c r="E660" s="722" t="n">
        <v>6.2</v>
      </c>
      <c r="F660" s="719" t="inlineStr">
        <is>
          <t>Km</t>
        </is>
      </c>
      <c r="G660" s="719" t="inlineStr">
        <is>
          <t>รถเทรลเลอร์</t>
        </is>
      </c>
      <c r="H660" s="719" t="inlineStr">
        <is>
          <t>SANTA TERESA, NM USA</t>
        </is>
      </c>
      <c r="I660" s="724" t="n">
        <v>17387</v>
      </c>
      <c r="J660" s="723" t="inlineStr">
        <is>
          <t>Km</t>
        </is>
      </c>
      <c r="K660" s="725" t="n">
        <v>3900</v>
      </c>
      <c r="L660" s="740">
        <f>M660-K660</f>
        <v/>
      </c>
      <c r="M660" s="1769" t="n">
        <v>21863.48</v>
      </c>
      <c r="N660" s="1773" t="n">
        <v>15403.24</v>
      </c>
      <c r="O660" s="1762">
        <f>N660*E660/1000</f>
        <v/>
      </c>
      <c r="P660" s="1763">
        <f>O660/32</f>
        <v/>
      </c>
      <c r="Q660" s="1764">
        <f>N660*I660/1000</f>
        <v/>
      </c>
    </row>
    <row r="661" ht="15.75" customHeight="1">
      <c r="A661" s="728" t="inlineStr">
        <is>
          <t>FO23100010</t>
        </is>
      </c>
      <c r="B661" s="729" t="n">
        <v>45201</v>
      </c>
      <c r="C661" s="730" t="inlineStr">
        <is>
          <t>มัลติแบกซ์</t>
        </is>
      </c>
      <c r="D661" s="730" t="inlineStr">
        <is>
          <t>ท่าเรือแหลมฉบัง</t>
        </is>
      </c>
      <c r="E661" s="731" t="n">
        <v>11.9</v>
      </c>
      <c r="F661" s="728" t="inlineStr">
        <is>
          <t>Km</t>
        </is>
      </c>
      <c r="G661" s="728" t="inlineStr">
        <is>
          <t>รถเทรลเลอร์</t>
        </is>
      </c>
      <c r="H661" s="728" t="inlineStr">
        <is>
          <t>DURBAN, SOUTH AFRICA</t>
        </is>
      </c>
      <c r="I661" s="733" t="n">
        <v>8865</v>
      </c>
      <c r="J661" s="732" t="inlineStr">
        <is>
          <t>Km</t>
        </is>
      </c>
      <c r="K661" s="734" t="n">
        <v>2280</v>
      </c>
      <c r="L661" s="741">
        <f>M661-K661</f>
        <v/>
      </c>
      <c r="M661" s="1771" t="n">
        <v>14125.2</v>
      </c>
      <c r="N661" s="1772" t="n">
        <v>8398</v>
      </c>
      <c r="O661" s="1762">
        <f>N661*E661/1000</f>
        <v/>
      </c>
      <c r="P661" s="1763">
        <f>O661/32</f>
        <v/>
      </c>
      <c r="Q661" s="1764">
        <f>N661*I661/1000</f>
        <v/>
      </c>
    </row>
    <row r="662" ht="15.75" customHeight="1">
      <c r="A662" s="719" t="inlineStr">
        <is>
          <t>FO23100011</t>
        </is>
      </c>
      <c r="B662" s="720" t="n">
        <v>45204</v>
      </c>
      <c r="C662" s="721" t="inlineStr">
        <is>
          <t>มัลติแบกซ์</t>
        </is>
      </c>
      <c r="D662" s="721" t="inlineStr">
        <is>
          <t>ท่าเรือแหลมฉบัง</t>
        </is>
      </c>
      <c r="E662" s="722" t="n">
        <v>6.2</v>
      </c>
      <c r="F662" s="719" t="inlineStr">
        <is>
          <t>Km</t>
        </is>
      </c>
      <c r="G662" s="719" t="inlineStr">
        <is>
          <t>รถเทรลเลอร์</t>
        </is>
      </c>
      <c r="H662" s="719" t="inlineStr">
        <is>
          <t>APPLETON WI , USA</t>
        </is>
      </c>
      <c r="I662" s="724" t="n">
        <v>13558</v>
      </c>
      <c r="J662" s="723" t="inlineStr">
        <is>
          <t>Km</t>
        </is>
      </c>
      <c r="K662" s="725" t="n">
        <v>3840</v>
      </c>
      <c r="L662" s="740">
        <f>M662-K662</f>
        <v/>
      </c>
      <c r="M662" s="1769" t="n">
        <v>17272</v>
      </c>
      <c r="N662" s="1773" t="n">
        <v>10172</v>
      </c>
      <c r="O662" s="1762">
        <f>N662*E662/1000</f>
        <v/>
      </c>
      <c r="P662" s="1763">
        <f>O662/32</f>
        <v/>
      </c>
      <c r="Q662" s="1764">
        <f>N662*I662/1000</f>
        <v/>
      </c>
    </row>
    <row r="663" ht="15.75" customHeight="1">
      <c r="A663" s="728" t="inlineStr">
        <is>
          <t>FO23100012</t>
        </is>
      </c>
      <c r="B663" s="729" t="n">
        <v>45211</v>
      </c>
      <c r="C663" s="730" t="inlineStr">
        <is>
          <t>มัลติแบกซ์</t>
        </is>
      </c>
      <c r="D663" s="730" t="inlineStr">
        <is>
          <t>ท่าเรือแหลมฉบัง</t>
        </is>
      </c>
      <c r="E663" s="731" t="n">
        <v>11.9</v>
      </c>
      <c r="F663" s="728" t="inlineStr">
        <is>
          <t>Km</t>
        </is>
      </c>
      <c r="G663" s="728" t="inlineStr">
        <is>
          <t>รถเทรลเลอร์</t>
        </is>
      </c>
      <c r="H663" s="728" t="inlineStr">
        <is>
          <t>NINGBO, CHINA</t>
        </is>
      </c>
      <c r="I663" s="733" t="n">
        <v>3824</v>
      </c>
      <c r="J663" s="732" t="inlineStr">
        <is>
          <t>Km</t>
        </is>
      </c>
      <c r="K663" s="734" t="n">
        <v>3750</v>
      </c>
      <c r="L663" s="741">
        <f>M663-K663</f>
        <v/>
      </c>
      <c r="M663" s="1771" t="n">
        <v>14071.4</v>
      </c>
      <c r="N663" s="1772" t="n">
        <v>10319.4</v>
      </c>
      <c r="O663" s="1762">
        <f>N663*E663/1000</f>
        <v/>
      </c>
      <c r="P663" s="1763">
        <f>O663/32</f>
        <v/>
      </c>
      <c r="Q663" s="1764">
        <f>N663*I663/1000</f>
        <v/>
      </c>
    </row>
    <row r="664" ht="15.75" customHeight="1">
      <c r="A664" s="719" t="inlineStr">
        <is>
          <t>FO23100013</t>
        </is>
      </c>
      <c r="B664" s="720" t="n">
        <v>45208</v>
      </c>
      <c r="C664" s="721" t="inlineStr">
        <is>
          <t>มัลติแบกซ์</t>
        </is>
      </c>
      <c r="D664" s="721" t="inlineStr">
        <is>
          <t>ท่าเรือแหลมฉบัง</t>
        </is>
      </c>
      <c r="E664" s="722" t="n">
        <v>7.1</v>
      </c>
      <c r="F664" s="719" t="inlineStr">
        <is>
          <t>Km</t>
        </is>
      </c>
      <c r="G664" s="719" t="inlineStr">
        <is>
          <t>รถเทรลเลอร์</t>
        </is>
      </c>
      <c r="H664" s="719" t="inlineStr">
        <is>
          <t>SINGAPORE</t>
        </is>
      </c>
      <c r="I664" s="724" t="n">
        <v>1931</v>
      </c>
      <c r="J664" s="723" t="inlineStr">
        <is>
          <t>Km</t>
        </is>
      </c>
      <c r="K664" s="725" t="n">
        <v>4801.2</v>
      </c>
      <c r="L664" s="740">
        <f>M664-K664</f>
        <v/>
      </c>
      <c r="M664" s="1769" t="n">
        <v>5988</v>
      </c>
      <c r="N664" s="1773" t="n">
        <v>4801.2</v>
      </c>
      <c r="O664" s="1762">
        <f>N664*E664/1000</f>
        <v/>
      </c>
      <c r="P664" s="1763">
        <f>O664/32</f>
        <v/>
      </c>
      <c r="Q664" s="1764">
        <f>N664*I664/1000</f>
        <v/>
      </c>
    </row>
    <row r="665" ht="15.75" customHeight="1">
      <c r="A665" s="728" t="inlineStr">
        <is>
          <t>FO23100014</t>
        </is>
      </c>
      <c r="B665" s="729" t="n">
        <v>45208</v>
      </c>
      <c r="C665" s="730" t="inlineStr">
        <is>
          <t>มัลติแบกซ์</t>
        </is>
      </c>
      <c r="D665" s="730" t="inlineStr">
        <is>
          <t>ท่าเรือแหลมฉบัง</t>
        </is>
      </c>
      <c r="E665" s="731" t="n">
        <v>5.3</v>
      </c>
      <c r="F665" s="728" t="inlineStr">
        <is>
          <t>Km</t>
        </is>
      </c>
      <c r="G665" s="728" t="inlineStr">
        <is>
          <t>รถเทรลเลอร์</t>
        </is>
      </c>
      <c r="H665" s="728" t="inlineStr">
        <is>
          <t>SENDAI, JAPAN</t>
        </is>
      </c>
      <c r="I665" s="733" t="n">
        <v>4823</v>
      </c>
      <c r="J665" s="732" t="inlineStr">
        <is>
          <t>Km</t>
        </is>
      </c>
      <c r="K665" s="734" t="n">
        <v>2180</v>
      </c>
      <c r="L665" s="741">
        <f>M665-K665</f>
        <v/>
      </c>
      <c r="M665" s="1771" t="n">
        <v>7723.05</v>
      </c>
      <c r="N665" s="1772" t="n">
        <v>4472.85</v>
      </c>
      <c r="O665" s="1762">
        <f>N665*E665/1000</f>
        <v/>
      </c>
      <c r="P665" s="1763">
        <f>O665/32</f>
        <v/>
      </c>
      <c r="Q665" s="1764">
        <f>N665*I665/1000</f>
        <v/>
      </c>
    </row>
    <row r="666" ht="15.75" customHeight="1">
      <c r="A666" s="719" t="inlineStr">
        <is>
          <t>FO23100015</t>
        </is>
      </c>
      <c r="B666" s="720" t="n">
        <v>45215</v>
      </c>
      <c r="C666" s="721" t="inlineStr">
        <is>
          <t>มัลติแบกซ์</t>
        </is>
      </c>
      <c r="D666" s="721" t="inlineStr">
        <is>
          <t>ท่าเรือแหลมฉบัง</t>
        </is>
      </c>
      <c r="E666" s="722" t="n">
        <v>3.6</v>
      </c>
      <c r="F666" s="719" t="inlineStr">
        <is>
          <t>Km</t>
        </is>
      </c>
      <c r="G666" s="719" t="inlineStr">
        <is>
          <t>รถเทรลเลอร์</t>
        </is>
      </c>
      <c r="H666" s="719" t="inlineStr">
        <is>
          <t>TOMAKOMAI, JAPAN</t>
        </is>
      </c>
      <c r="I666" s="724" t="n">
        <v>5092</v>
      </c>
      <c r="J666" s="723" t="inlineStr">
        <is>
          <t>Km</t>
        </is>
      </c>
      <c r="K666" s="725" t="n">
        <v>2180</v>
      </c>
      <c r="L666" s="740">
        <f>M666-K666</f>
        <v/>
      </c>
      <c r="M666" s="1769" t="n">
        <v>7731.55</v>
      </c>
      <c r="N666" s="1773" t="n">
        <v>4482.51</v>
      </c>
      <c r="O666" s="1762">
        <f>N666*E666/1000</f>
        <v/>
      </c>
      <c r="P666" s="1763">
        <f>O666/32</f>
        <v/>
      </c>
      <c r="Q666" s="1764">
        <f>N666*I666/1000</f>
        <v/>
      </c>
    </row>
    <row r="667" ht="15.75" customHeight="1">
      <c r="A667" s="728" t="inlineStr">
        <is>
          <t>FO23100016</t>
        </is>
      </c>
      <c r="B667" s="729" t="n">
        <v>45213</v>
      </c>
      <c r="C667" s="730" t="inlineStr">
        <is>
          <t>มัลติแบกซ์</t>
        </is>
      </c>
      <c r="D667" s="730" t="inlineStr">
        <is>
          <t>ท่าเรือแหลมฉบัง</t>
        </is>
      </c>
      <c r="E667" s="731" t="n">
        <v>6</v>
      </c>
      <c r="F667" s="728" t="inlineStr">
        <is>
          <t>Km</t>
        </is>
      </c>
      <c r="G667" s="728" t="inlineStr">
        <is>
          <t>รถเทรลเลอร์</t>
        </is>
      </c>
      <c r="H667" s="728" t="inlineStr">
        <is>
          <t>COLUMBUS OHIO, USA</t>
        </is>
      </c>
      <c r="I667" s="733" t="n">
        <v>14000</v>
      </c>
      <c r="J667" s="732" t="inlineStr">
        <is>
          <t>Km</t>
        </is>
      </c>
      <c r="K667" s="734" t="n">
        <v>3750</v>
      </c>
      <c r="L667" s="741">
        <f>M667-K667</f>
        <v/>
      </c>
      <c r="M667" s="1771" t="n">
        <v>21819.56</v>
      </c>
      <c r="N667" s="1772" t="n">
        <v>15720.96</v>
      </c>
      <c r="O667" s="1762">
        <f>N667*E667/1000</f>
        <v/>
      </c>
      <c r="P667" s="1763">
        <f>O667/32</f>
        <v/>
      </c>
      <c r="Q667" s="1764">
        <f>N667*I667/1000</f>
        <v/>
      </c>
    </row>
    <row r="668" ht="15.75" customHeight="1">
      <c r="A668" s="719" t="inlineStr">
        <is>
          <t>FO23100017</t>
        </is>
      </c>
      <c r="B668" s="720" t="n">
        <v>45213</v>
      </c>
      <c r="C668" s="721" t="inlineStr">
        <is>
          <t>มัลติแบกซ์</t>
        </is>
      </c>
      <c r="D668" s="721" t="inlineStr">
        <is>
          <t>ท่าเรือแหลมฉบัง</t>
        </is>
      </c>
      <c r="E668" s="722" t="n">
        <v>6</v>
      </c>
      <c r="F668" s="719" t="inlineStr">
        <is>
          <t>Km</t>
        </is>
      </c>
      <c r="G668" s="719" t="inlineStr">
        <is>
          <t>รถเทรลเลอร์</t>
        </is>
      </c>
      <c r="H668" s="719" t="inlineStr">
        <is>
          <t>COLUMBUS OHIO, USA</t>
        </is>
      </c>
      <c r="I668" s="724" t="n">
        <v>14000</v>
      </c>
      <c r="J668" s="723" t="inlineStr">
        <is>
          <t>Km</t>
        </is>
      </c>
      <c r="K668" s="725" t="n">
        <v>3700</v>
      </c>
      <c r="L668" s="740">
        <f>M668-K668</f>
        <v/>
      </c>
      <c r="M668" s="1769" t="n">
        <v>21443.6</v>
      </c>
      <c r="N668" s="1773" t="n">
        <v>15139.84</v>
      </c>
      <c r="O668" s="1762">
        <f>N668*E668/1000</f>
        <v/>
      </c>
      <c r="P668" s="1763">
        <f>O668/32</f>
        <v/>
      </c>
      <c r="Q668" s="1764">
        <f>N668*I668/1000</f>
        <v/>
      </c>
    </row>
    <row r="669" ht="15.75" customHeight="1">
      <c r="A669" s="728" t="inlineStr">
        <is>
          <t>FO23100018</t>
        </is>
      </c>
      <c r="B669" s="729" t="n">
        <v>45213</v>
      </c>
      <c r="C669" s="730" t="inlineStr">
        <is>
          <t>มัลติแบกซ์</t>
        </is>
      </c>
      <c r="D669" s="730" t="inlineStr">
        <is>
          <t>ท่าเรือแหลมฉบัง</t>
        </is>
      </c>
      <c r="E669" s="731" t="n">
        <v>6</v>
      </c>
      <c r="F669" s="728" t="inlineStr">
        <is>
          <t>Km</t>
        </is>
      </c>
      <c r="G669" s="728" t="inlineStr">
        <is>
          <t>รถเทรลเลอร์</t>
        </is>
      </c>
      <c r="H669" s="728" t="inlineStr">
        <is>
          <t>COLUMBUS OHIO, USA</t>
        </is>
      </c>
      <c r="I669" s="733" t="n">
        <v>14000</v>
      </c>
      <c r="J669" s="732" t="inlineStr">
        <is>
          <t>Km</t>
        </is>
      </c>
      <c r="K669" s="734" t="n">
        <v>3820</v>
      </c>
      <c r="L669" s="741">
        <f>M669-K669</f>
        <v/>
      </c>
      <c r="M669" s="1771" t="n">
        <v>21796.3</v>
      </c>
      <c r="N669" s="1772" t="n">
        <v>15445.6</v>
      </c>
      <c r="O669" s="1762">
        <f>N669*E669/1000</f>
        <v/>
      </c>
      <c r="P669" s="1763">
        <f>O669/32</f>
        <v/>
      </c>
      <c r="Q669" s="1764">
        <f>N669*I669/1000</f>
        <v/>
      </c>
    </row>
    <row r="670" ht="15.75" customHeight="1">
      <c r="A670" s="719" t="inlineStr">
        <is>
          <t>FO23100019</t>
        </is>
      </c>
      <c r="B670" s="720" t="n">
        <v>45218</v>
      </c>
      <c r="C670" s="721" t="inlineStr">
        <is>
          <t>มัลติแบกซ์</t>
        </is>
      </c>
      <c r="D670" s="721" t="inlineStr">
        <is>
          <t>ท่าเรือแหลมฉบัง</t>
        </is>
      </c>
      <c r="E670" s="722" t="n">
        <v>6.5</v>
      </c>
      <c r="F670" s="719" t="inlineStr">
        <is>
          <t>Km</t>
        </is>
      </c>
      <c r="G670" s="719" t="inlineStr">
        <is>
          <t>รถเทรลเลอร์</t>
        </is>
      </c>
      <c r="H670" s="719" t="inlineStr">
        <is>
          <t>UK PORT</t>
        </is>
      </c>
      <c r="I670" s="724" t="n">
        <v>9687</v>
      </c>
      <c r="J670" s="723" t="inlineStr">
        <is>
          <t>Km</t>
        </is>
      </c>
      <c r="K670" s="725" t="n">
        <v>3670</v>
      </c>
      <c r="L670" s="740">
        <f>M670-K670</f>
        <v/>
      </c>
      <c r="M670" s="1769" t="n">
        <v>28697</v>
      </c>
      <c r="N670" s="1773" t="n">
        <v>23842</v>
      </c>
      <c r="O670" s="1762">
        <f>N670*E670/1000</f>
        <v/>
      </c>
      <c r="P670" s="1763">
        <f>O670/32</f>
        <v/>
      </c>
      <c r="Q670" s="1764">
        <f>N670*I670/1000</f>
        <v/>
      </c>
    </row>
    <row r="671" ht="15.75" customHeight="1">
      <c r="A671" s="728" t="inlineStr">
        <is>
          <t>FO23100044</t>
        </is>
      </c>
      <c r="B671" s="729" t="n">
        <v>45226</v>
      </c>
      <c r="C671" s="730" t="inlineStr">
        <is>
          <t>มัลติแบกซ์</t>
        </is>
      </c>
      <c r="D671" s="730" t="inlineStr">
        <is>
          <t>ท่าเรือแหลมฉบัง</t>
        </is>
      </c>
      <c r="E671" s="731" t="n">
        <v>7.1</v>
      </c>
      <c r="F671" s="728" t="inlineStr">
        <is>
          <t>Km</t>
        </is>
      </c>
      <c r="G671" s="728" t="inlineStr">
        <is>
          <t>รถเทรลเลอร์</t>
        </is>
      </c>
      <c r="H671" s="728" t="inlineStr">
        <is>
          <t>HAMAD, QATAR</t>
        </is>
      </c>
      <c r="I671" s="733" t="n">
        <v>5317</v>
      </c>
      <c r="J671" s="732" t="inlineStr">
        <is>
          <t>Km</t>
        </is>
      </c>
      <c r="K671" s="734" t="n">
        <v>2200</v>
      </c>
      <c r="L671" s="741">
        <f>M671-K671</f>
        <v/>
      </c>
      <c r="M671" s="1771" t="n">
        <v>6433.2</v>
      </c>
      <c r="N671" s="1772" t="n">
        <v>3230.64</v>
      </c>
      <c r="O671" s="1762">
        <f>N671*E671/1000</f>
        <v/>
      </c>
      <c r="P671" s="1763">
        <f>O671/32</f>
        <v/>
      </c>
      <c r="Q671" s="1764">
        <f>N671*I671/1000</f>
        <v/>
      </c>
    </row>
    <row r="672" ht="15.75" customHeight="1">
      <c r="A672" s="719" t="inlineStr">
        <is>
          <t>FO23100023</t>
        </is>
      </c>
      <c r="B672" s="720" t="n">
        <v>45215</v>
      </c>
      <c r="C672" s="721" t="inlineStr">
        <is>
          <t>มัลติแบกซ์</t>
        </is>
      </c>
      <c r="D672" s="721" t="inlineStr">
        <is>
          <t>ท่าเรือแหลมฉบัง</t>
        </is>
      </c>
      <c r="E672" s="722" t="n">
        <v>7.1</v>
      </c>
      <c r="F672" s="719" t="inlineStr">
        <is>
          <t>Km</t>
        </is>
      </c>
      <c r="G672" s="719" t="inlineStr">
        <is>
          <t>รถเทรลเลอร์</t>
        </is>
      </c>
      <c r="H672" s="719" t="inlineStr">
        <is>
          <t>HONG KONG</t>
        </is>
      </c>
      <c r="I672" s="724" t="n">
        <v>1734</v>
      </c>
      <c r="J672" s="723" t="inlineStr">
        <is>
          <t>Km</t>
        </is>
      </c>
      <c r="K672" s="725" t="n">
        <v>3600</v>
      </c>
      <c r="L672" s="740">
        <f>M672-K672</f>
        <v/>
      </c>
      <c r="M672" s="1769" t="n">
        <v>15371.8</v>
      </c>
      <c r="N672" s="1773" t="n">
        <v>9253.6</v>
      </c>
      <c r="O672" s="1762">
        <f>N672*E672/1000</f>
        <v/>
      </c>
      <c r="P672" s="1763">
        <f>O672/32</f>
        <v/>
      </c>
      <c r="Q672" s="1764">
        <f>N672*I672/1000</f>
        <v/>
      </c>
    </row>
    <row r="673" ht="15.75" customHeight="1">
      <c r="A673" s="728" t="inlineStr">
        <is>
          <t>FO23100046</t>
        </is>
      </c>
      <c r="B673" s="729" t="n">
        <v>45226</v>
      </c>
      <c r="C673" s="730" t="inlineStr">
        <is>
          <t>มัลติแบกซ์</t>
        </is>
      </c>
      <c r="D673" s="730" t="inlineStr">
        <is>
          <t>ท่าเรือแหลมฉบัง</t>
        </is>
      </c>
      <c r="E673" s="731" t="n">
        <v>6</v>
      </c>
      <c r="F673" s="728" t="inlineStr">
        <is>
          <t>Km</t>
        </is>
      </c>
      <c r="G673" s="728" t="inlineStr">
        <is>
          <t>รถเทรลเลอร์</t>
        </is>
      </c>
      <c r="H673" s="728" t="inlineStr">
        <is>
          <t>HAMAD, QATAR</t>
        </is>
      </c>
      <c r="I673" s="733" t="n">
        <v>5317</v>
      </c>
      <c r="J673" s="732" t="inlineStr">
        <is>
          <t>Km</t>
        </is>
      </c>
      <c r="K673" s="734" t="n">
        <v>2160</v>
      </c>
      <c r="L673" s="741">
        <f>M673-K673</f>
        <v/>
      </c>
      <c r="M673" s="1771" t="n">
        <v>9021.700000000001</v>
      </c>
      <c r="N673" s="1772" t="n">
        <v>5743.62</v>
      </c>
      <c r="O673" s="1762">
        <f>N673*E673/1000</f>
        <v/>
      </c>
      <c r="P673" s="1763">
        <f>O673/32</f>
        <v/>
      </c>
      <c r="Q673" s="1764">
        <f>N673*I673/1000</f>
        <v/>
      </c>
    </row>
    <row r="674" ht="15.75" customHeight="1">
      <c r="A674" s="719" t="inlineStr">
        <is>
          <t>FO23100032</t>
        </is>
      </c>
      <c r="B674" s="720" t="n">
        <v>45217</v>
      </c>
      <c r="C674" s="721" t="inlineStr">
        <is>
          <t>มัลติแบกซ์</t>
        </is>
      </c>
      <c r="D674" s="721" t="inlineStr">
        <is>
          <t>ท่าเรือแหลมฉบัง</t>
        </is>
      </c>
      <c r="E674" s="722" t="n">
        <v>6.2</v>
      </c>
      <c r="F674" s="719" t="inlineStr">
        <is>
          <t>Km</t>
        </is>
      </c>
      <c r="G674" s="719" t="inlineStr">
        <is>
          <t>รถเทรลเลอร์</t>
        </is>
      </c>
      <c r="H674" s="719" t="inlineStr">
        <is>
          <t>JACKSONVILLE IL, USA</t>
        </is>
      </c>
      <c r="I674" s="724" t="n">
        <v>15168</v>
      </c>
      <c r="J674" s="723" t="inlineStr">
        <is>
          <t>Km</t>
        </is>
      </c>
      <c r="K674" s="725" t="n">
        <v>3300</v>
      </c>
      <c r="L674" s="740">
        <f>M674-K674</f>
        <v/>
      </c>
      <c r="M674" s="1769" t="n">
        <v>24124.6</v>
      </c>
      <c r="N674" s="1773" t="n">
        <v>15523.2</v>
      </c>
      <c r="O674" s="1762">
        <f>N674*E674/1000</f>
        <v/>
      </c>
      <c r="P674" s="1763">
        <f>O674/32</f>
        <v/>
      </c>
      <c r="Q674" s="1764">
        <f>N674*I674/1000</f>
        <v/>
      </c>
    </row>
    <row r="675" ht="15.75" customHeight="1">
      <c r="A675" s="728" t="inlineStr">
        <is>
          <t>FO23100026</t>
        </is>
      </c>
      <c r="B675" s="729" t="n">
        <v>45213</v>
      </c>
      <c r="C675" s="730" t="inlineStr">
        <is>
          <t>มัลติแบกซ์</t>
        </is>
      </c>
      <c r="D675" s="730" t="inlineStr">
        <is>
          <t>ท่าเรือแหลมฉบัง</t>
        </is>
      </c>
      <c r="E675" s="731" t="n">
        <v>11.9</v>
      </c>
      <c r="F675" s="728" t="inlineStr">
        <is>
          <t>Km</t>
        </is>
      </c>
      <c r="G675" s="728" t="inlineStr">
        <is>
          <t>รถเทรลเลอร์</t>
        </is>
      </c>
      <c r="H675" s="728" t="inlineStr">
        <is>
          <t>DURBAN, SOUTH AFRICA</t>
        </is>
      </c>
      <c r="I675" s="733" t="n">
        <v>8865</v>
      </c>
      <c r="J675" s="732" t="inlineStr">
        <is>
          <t>Km</t>
        </is>
      </c>
      <c r="K675" s="734" t="n">
        <v>2160</v>
      </c>
      <c r="L675" s="741">
        <f>M675-K675</f>
        <v/>
      </c>
      <c r="M675" s="1771" t="n">
        <v>13267.25</v>
      </c>
      <c r="N675" s="1772" t="n">
        <v>10472.95</v>
      </c>
      <c r="O675" s="1762">
        <f>N675*E675/1000</f>
        <v/>
      </c>
      <c r="P675" s="1763">
        <f>O675/32</f>
        <v/>
      </c>
      <c r="Q675" s="1764">
        <f>N675*I675/1000</f>
        <v/>
      </c>
    </row>
    <row r="676" ht="15.75" customHeight="1">
      <c r="A676" s="719" t="inlineStr">
        <is>
          <t>FO23100051</t>
        </is>
      </c>
      <c r="B676" s="720" t="n">
        <v>45230</v>
      </c>
      <c r="C676" s="721" t="inlineStr">
        <is>
          <t>มัลติแบกซ์</t>
        </is>
      </c>
      <c r="D676" s="721" t="inlineStr">
        <is>
          <t>ท่าเรือแหลมฉบัง</t>
        </is>
      </c>
      <c r="E676" s="722" t="n">
        <v>7.1</v>
      </c>
      <c r="F676" s="719" t="inlineStr">
        <is>
          <t>Km</t>
        </is>
      </c>
      <c r="G676" s="719" t="inlineStr">
        <is>
          <t>รถเทรลเลอร์</t>
        </is>
      </c>
      <c r="H676" s="719" t="inlineStr">
        <is>
          <t>JACKSONVILLE IL, USA</t>
        </is>
      </c>
      <c r="I676" s="724" t="n">
        <v>15168</v>
      </c>
      <c r="J676" s="723" t="inlineStr">
        <is>
          <t>Km</t>
        </is>
      </c>
      <c r="K676" s="725" t="n">
        <v>3700</v>
      </c>
      <c r="L676" s="740">
        <f>M676-K676</f>
        <v/>
      </c>
      <c r="M676" s="1769" t="n">
        <v>24362.6</v>
      </c>
      <c r="N676" s="1773" t="n">
        <v>16464</v>
      </c>
      <c r="O676" s="1762">
        <f>N676*E676/1000</f>
        <v/>
      </c>
      <c r="P676" s="1763">
        <f>O676/32</f>
        <v/>
      </c>
      <c r="Q676" s="1764">
        <f>N676*I676/1000</f>
        <v/>
      </c>
    </row>
    <row r="677" ht="15.75" customHeight="1">
      <c r="A677" s="728" t="inlineStr">
        <is>
          <t>FO23100028</t>
        </is>
      </c>
      <c r="B677" s="729" t="n">
        <v>45219</v>
      </c>
      <c r="C677" s="730" t="inlineStr">
        <is>
          <t>มัลติแบกซ์</t>
        </is>
      </c>
      <c r="D677" s="730" t="inlineStr">
        <is>
          <t>ท่าเรือแหลมฉบัง</t>
        </is>
      </c>
      <c r="E677" s="731" t="n">
        <v>6</v>
      </c>
      <c r="F677" s="728" t="inlineStr">
        <is>
          <t>Km</t>
        </is>
      </c>
      <c r="G677" s="728" t="inlineStr">
        <is>
          <t>รถเทรลเลอร์</t>
        </is>
      </c>
      <c r="H677" s="728" t="inlineStr">
        <is>
          <t>COLUMBUS OHIO, USA</t>
        </is>
      </c>
      <c r="I677" s="733" t="n">
        <v>14000</v>
      </c>
      <c r="J677" s="732" t="inlineStr">
        <is>
          <t>Km</t>
        </is>
      </c>
      <c r="K677" s="734" t="n">
        <v>3900</v>
      </c>
      <c r="L677" s="741">
        <f>M677-K677</f>
        <v/>
      </c>
      <c r="M677" s="1771" t="n">
        <v>20638.49</v>
      </c>
      <c r="N677" s="1772" t="n">
        <v>14450.05</v>
      </c>
      <c r="O677" s="1762">
        <f>N677*E677/1000</f>
        <v/>
      </c>
      <c r="P677" s="1763">
        <f>O677/32</f>
        <v/>
      </c>
      <c r="Q677" s="1764">
        <f>N677*I677/1000</f>
        <v/>
      </c>
    </row>
    <row r="678" ht="15.75" customHeight="1">
      <c r="A678" s="719" t="inlineStr">
        <is>
          <t>FO23100029</t>
        </is>
      </c>
      <c r="B678" s="720" t="n">
        <v>45219</v>
      </c>
      <c r="C678" s="721" t="inlineStr">
        <is>
          <t>มัลติแบกซ์</t>
        </is>
      </c>
      <c r="D678" s="721" t="inlineStr">
        <is>
          <t>ท่าเรือแหลมฉบัง</t>
        </is>
      </c>
      <c r="E678" s="722" t="n">
        <v>6</v>
      </c>
      <c r="F678" s="719" t="inlineStr">
        <is>
          <t>Km</t>
        </is>
      </c>
      <c r="G678" s="719" t="inlineStr">
        <is>
          <t>รถเทรลเลอร์</t>
        </is>
      </c>
      <c r="H678" s="719" t="inlineStr">
        <is>
          <t>COLUMBUS OHIO, USA</t>
        </is>
      </c>
      <c r="I678" s="724" t="n">
        <v>14000</v>
      </c>
      <c r="J678" s="723" t="inlineStr">
        <is>
          <t>Km</t>
        </is>
      </c>
      <c r="K678" s="725" t="n">
        <v>3900</v>
      </c>
      <c r="L678" s="740">
        <f>M678-K678</f>
        <v/>
      </c>
      <c r="M678" s="1769" t="n">
        <v>22448.56</v>
      </c>
      <c r="N678" s="1773" t="n">
        <v>15930.62</v>
      </c>
      <c r="O678" s="1762">
        <f>N678*E678/1000</f>
        <v/>
      </c>
      <c r="P678" s="1763">
        <f>O678/32</f>
        <v/>
      </c>
      <c r="Q678" s="1764">
        <f>N678*I678/1000</f>
        <v/>
      </c>
    </row>
    <row r="679" ht="15.75" customHeight="1">
      <c r="A679" s="728" t="inlineStr">
        <is>
          <t>FO23100052</t>
        </is>
      </c>
      <c r="B679" s="729" t="n">
        <v>45230</v>
      </c>
      <c r="C679" s="730" t="inlineStr">
        <is>
          <t>มัลติแบกซ์</t>
        </is>
      </c>
      <c r="D679" s="730" t="inlineStr">
        <is>
          <t>ท่าเรือแหลมฉบัง</t>
        </is>
      </c>
      <c r="E679" s="731" t="n">
        <v>7.1</v>
      </c>
      <c r="F679" s="728" t="inlineStr">
        <is>
          <t>Km</t>
        </is>
      </c>
      <c r="G679" s="728" t="inlineStr">
        <is>
          <t>รถเทรลเลอร์</t>
        </is>
      </c>
      <c r="H679" s="728" t="inlineStr">
        <is>
          <t>JACKSONVILLE IL, USA</t>
        </is>
      </c>
      <c r="I679" s="733" t="n">
        <v>15168</v>
      </c>
      <c r="J679" s="732" t="inlineStr">
        <is>
          <t>Km</t>
        </is>
      </c>
      <c r="K679" s="734" t="n">
        <v>3840</v>
      </c>
      <c r="L679" s="741">
        <f>M679-K679</f>
        <v/>
      </c>
      <c r="M679" s="1771" t="n">
        <v>24502.6</v>
      </c>
      <c r="N679" s="1772" t="n">
        <v>16464</v>
      </c>
      <c r="O679" s="1762">
        <f>N679*E679/1000</f>
        <v/>
      </c>
      <c r="P679" s="1763">
        <f>O679/32</f>
        <v/>
      </c>
      <c r="Q679" s="1764">
        <f>N679*I679/1000</f>
        <v/>
      </c>
    </row>
    <row r="680" ht="15.75" customHeight="1">
      <c r="A680" s="719" t="inlineStr">
        <is>
          <t>FO23100031</t>
        </is>
      </c>
      <c r="B680" s="720" t="n">
        <v>45216</v>
      </c>
      <c r="C680" s="721" t="inlineStr">
        <is>
          <t>มัลติแบกซ์</t>
        </is>
      </c>
      <c r="D680" s="721" t="inlineStr">
        <is>
          <t>ท่าเรือแหลมฉบัง</t>
        </is>
      </c>
      <c r="E680" s="722" t="n">
        <v>7.1</v>
      </c>
      <c r="F680" s="719" t="inlineStr">
        <is>
          <t>Km</t>
        </is>
      </c>
      <c r="G680" s="719" t="inlineStr">
        <is>
          <t>รถเทรลเลอร์</t>
        </is>
      </c>
      <c r="H680" s="719" t="inlineStr">
        <is>
          <t>UNIVERSITY PARK IL, USA</t>
        </is>
      </c>
      <c r="I680" s="724" t="n">
        <v>13877</v>
      </c>
      <c r="J680" s="723" t="inlineStr">
        <is>
          <t>Km</t>
        </is>
      </c>
      <c r="K680" s="725" t="n">
        <v>3840</v>
      </c>
      <c r="L680" s="740">
        <f>M680-K680</f>
        <v/>
      </c>
      <c r="M680" s="1769" t="n">
        <v>23439.5</v>
      </c>
      <c r="N680" s="1773" t="n">
        <v>15795</v>
      </c>
      <c r="O680" s="1762">
        <f>N680*E680/1000</f>
        <v/>
      </c>
      <c r="P680" s="1763">
        <f>O680/32</f>
        <v/>
      </c>
      <c r="Q680" s="1764">
        <f>N680*I680/1000</f>
        <v/>
      </c>
    </row>
    <row r="681" ht="15.75" customHeight="1">
      <c r="A681" s="728" t="inlineStr">
        <is>
          <t>FO23100054</t>
        </is>
      </c>
      <c r="B681" s="729" t="n">
        <v>45230</v>
      </c>
      <c r="C681" s="730" t="inlineStr">
        <is>
          <t>มัลติแบกซ์</t>
        </is>
      </c>
      <c r="D681" s="730" t="inlineStr">
        <is>
          <t>ท่าเรือแหลมฉบัง</t>
        </is>
      </c>
      <c r="E681" s="731" t="n">
        <v>5.8</v>
      </c>
      <c r="F681" s="728" t="inlineStr">
        <is>
          <t>Km</t>
        </is>
      </c>
      <c r="G681" s="728" t="inlineStr">
        <is>
          <t>รถเทรลเลอร์</t>
        </is>
      </c>
      <c r="H681" s="728" t="inlineStr">
        <is>
          <t>KARACHI PORT , PAKISTAN</t>
        </is>
      </c>
      <c r="I681" s="733" t="n">
        <v>3782</v>
      </c>
      <c r="J681" s="732" t="inlineStr">
        <is>
          <t>Km</t>
        </is>
      </c>
      <c r="K681" s="731" t="n">
        <v>2220</v>
      </c>
      <c r="L681" s="741">
        <f>M681-K681</f>
        <v/>
      </c>
      <c r="M681" s="1771" t="n">
        <v>6660.5</v>
      </c>
      <c r="N681" s="1775" t="n">
        <v>12460.53</v>
      </c>
      <c r="O681" s="1762">
        <f>N681*E681/1000</f>
        <v/>
      </c>
      <c r="P681" s="1763">
        <f>O681/32</f>
        <v/>
      </c>
      <c r="Q681" s="1764">
        <f>N681*I681/1000</f>
        <v/>
      </c>
    </row>
    <row r="682" ht="15.75" customHeight="1">
      <c r="A682" s="719" t="inlineStr">
        <is>
          <t>FO23100049</t>
        </is>
      </c>
      <c r="B682" s="720" t="n">
        <v>45229</v>
      </c>
      <c r="C682" s="721" t="inlineStr">
        <is>
          <t>มัลติแบกซ์</t>
        </is>
      </c>
      <c r="D682" s="721" t="inlineStr">
        <is>
          <t>ท่าเรือแหลมฉบัง</t>
        </is>
      </c>
      <c r="E682" s="722" t="n">
        <v>7.1</v>
      </c>
      <c r="F682" s="719" t="inlineStr">
        <is>
          <t>Km</t>
        </is>
      </c>
      <c r="G682" s="719" t="inlineStr">
        <is>
          <t>รถเทรลเลอร์</t>
        </is>
      </c>
      <c r="H682" s="719" t="inlineStr">
        <is>
          <t>MANILA, PHILIPPINES</t>
        </is>
      </c>
      <c r="I682" s="724" t="n">
        <v>2167</v>
      </c>
      <c r="J682" s="723" t="inlineStr">
        <is>
          <t>Km</t>
        </is>
      </c>
      <c r="K682" s="725" t="n">
        <v>3640</v>
      </c>
      <c r="L682" s="740">
        <f>M682-K682</f>
        <v/>
      </c>
      <c r="M682" s="1769" t="n">
        <v>13132.3</v>
      </c>
      <c r="N682" s="1773" t="n">
        <v>7156.7</v>
      </c>
      <c r="O682" s="1762">
        <f>N682*E682/1000</f>
        <v/>
      </c>
      <c r="P682" s="1763">
        <f>O682/32</f>
        <v/>
      </c>
      <c r="Q682" s="1764">
        <f>N682*I682/1000</f>
        <v/>
      </c>
    </row>
    <row r="683" ht="15.75" customHeight="1">
      <c r="A683" s="728" t="inlineStr">
        <is>
          <t>FO23100034</t>
        </is>
      </c>
      <c r="B683" s="729" t="n">
        <v>45224</v>
      </c>
      <c r="C683" s="730" t="inlineStr">
        <is>
          <t>มัลติแบกซ์</t>
        </is>
      </c>
      <c r="D683" s="730" t="inlineStr">
        <is>
          <t>ท่าเรือแหลมฉบัง</t>
        </is>
      </c>
      <c r="E683" s="731" t="n">
        <v>6.2</v>
      </c>
      <c r="F683" s="728" t="inlineStr">
        <is>
          <t>Km</t>
        </is>
      </c>
      <c r="G683" s="728" t="inlineStr">
        <is>
          <t>รถเทรลเลอร์</t>
        </is>
      </c>
      <c r="H683" s="728" t="inlineStr">
        <is>
          <t>APPLETON WI , USA</t>
        </is>
      </c>
      <c r="I683" s="733" t="n">
        <v>13558</v>
      </c>
      <c r="J683" s="732" t="inlineStr">
        <is>
          <t>Km</t>
        </is>
      </c>
      <c r="K683" s="734" t="n">
        <v>3900</v>
      </c>
      <c r="L683" s="741">
        <f>M683-K683</f>
        <v/>
      </c>
      <c r="M683" s="1771" t="n">
        <v>13614.5</v>
      </c>
      <c r="N683" s="1772" t="n">
        <v>6937.5</v>
      </c>
      <c r="O683" s="1762">
        <f>N683*E683/1000</f>
        <v/>
      </c>
      <c r="P683" s="1763">
        <f>O683/32</f>
        <v/>
      </c>
      <c r="Q683" s="1764">
        <f>N683*I683/1000</f>
        <v/>
      </c>
    </row>
    <row r="684" ht="15.75" customHeight="1">
      <c r="A684" s="719" t="inlineStr">
        <is>
          <t>FO23100035</t>
        </is>
      </c>
      <c r="B684" s="720" t="n">
        <v>45224</v>
      </c>
      <c r="C684" s="721" t="inlineStr">
        <is>
          <t>มัลติแบกซ์</t>
        </is>
      </c>
      <c r="D684" s="721" t="inlineStr">
        <is>
          <t>ท่าเรือแหลมฉบัง</t>
        </is>
      </c>
      <c r="E684" s="722" t="n">
        <v>11.9</v>
      </c>
      <c r="F684" s="719" t="inlineStr">
        <is>
          <t>Km</t>
        </is>
      </c>
      <c r="G684" s="719" t="inlineStr">
        <is>
          <t>รถเทรลเลอร์</t>
        </is>
      </c>
      <c r="H684" s="719" t="inlineStr">
        <is>
          <t>SYDNEY, AUSTRALIA</t>
        </is>
      </c>
      <c r="I684" s="724" t="n">
        <v>7448</v>
      </c>
      <c r="J684" s="723" t="inlineStr">
        <is>
          <t>Km</t>
        </is>
      </c>
      <c r="K684" s="725" t="n">
        <v>3740</v>
      </c>
      <c r="L684" s="740">
        <f>M684-K684</f>
        <v/>
      </c>
      <c r="M684" s="1769" t="n">
        <v>27367</v>
      </c>
      <c r="N684" s="1773" t="n">
        <v>21681</v>
      </c>
      <c r="O684" s="1762">
        <f>N684*E684/1000</f>
        <v/>
      </c>
      <c r="P684" s="1763">
        <f>O684/32</f>
        <v/>
      </c>
      <c r="Q684" s="1764">
        <f>N684*I684/1000</f>
        <v/>
      </c>
    </row>
    <row r="685" ht="15.75" customHeight="1">
      <c r="A685" s="728" t="inlineStr">
        <is>
          <t>FO23100036</t>
        </is>
      </c>
      <c r="B685" s="729" t="n">
        <v>45224</v>
      </c>
      <c r="C685" s="730" t="inlineStr">
        <is>
          <t>มัลติแบกซ์</t>
        </is>
      </c>
      <c r="D685" s="730" t="inlineStr">
        <is>
          <t>ท่าเรือแหลมฉบัง</t>
        </is>
      </c>
      <c r="E685" s="731" t="n">
        <v>11.9</v>
      </c>
      <c r="F685" s="728" t="inlineStr">
        <is>
          <t>Km</t>
        </is>
      </c>
      <c r="G685" s="728" t="inlineStr">
        <is>
          <t>รถเทรลเลอร์</t>
        </is>
      </c>
      <c r="H685" s="728" t="inlineStr">
        <is>
          <t>SYDNEY, AUSTRALIA</t>
        </is>
      </c>
      <c r="I685" s="733" t="n">
        <v>7448</v>
      </c>
      <c r="J685" s="732" t="inlineStr">
        <is>
          <t>Km</t>
        </is>
      </c>
      <c r="K685" s="734" t="n">
        <v>2540</v>
      </c>
      <c r="L685" s="741">
        <f>M685-K685</f>
        <v/>
      </c>
      <c r="M685" s="1771" t="n">
        <v>27642</v>
      </c>
      <c r="N685" s="1772" t="n">
        <v>20794</v>
      </c>
      <c r="O685" s="1762">
        <f>N685*E685/1000</f>
        <v/>
      </c>
      <c r="P685" s="1763">
        <f>O685/32</f>
        <v/>
      </c>
      <c r="Q685" s="1764">
        <f>N685*I685/1000</f>
        <v/>
      </c>
    </row>
    <row r="686" ht="15.75" customHeight="1">
      <c r="A686" s="719" t="inlineStr">
        <is>
          <t>FO23100037</t>
        </is>
      </c>
      <c r="B686" s="720" t="n">
        <v>45224</v>
      </c>
      <c r="C686" s="721" t="inlineStr">
        <is>
          <t>มัลติแบกซ์</t>
        </is>
      </c>
      <c r="D686" s="721" t="inlineStr">
        <is>
          <t>ท่าเรือแหลมฉบัง</t>
        </is>
      </c>
      <c r="E686" s="722" t="n">
        <v>11.9</v>
      </c>
      <c r="F686" s="719" t="inlineStr">
        <is>
          <t>Km</t>
        </is>
      </c>
      <c r="G686" s="719" t="inlineStr">
        <is>
          <t>รถเทรลเลอร์</t>
        </is>
      </c>
      <c r="H686" s="719" t="inlineStr">
        <is>
          <t>SYDNEY, AUSTRALIA</t>
        </is>
      </c>
      <c r="I686" s="724" t="n">
        <v>7448</v>
      </c>
      <c r="J686" s="723" t="inlineStr">
        <is>
          <t>Km</t>
        </is>
      </c>
      <c r="K686" s="725" t="n">
        <v>3700</v>
      </c>
      <c r="L686" s="740">
        <f>M686-K686</f>
        <v/>
      </c>
      <c r="M686" s="1769" t="n">
        <v>27352</v>
      </c>
      <c r="N686" s="1773" t="n">
        <v>17565</v>
      </c>
      <c r="O686" s="1762">
        <f>N686*E686/1000</f>
        <v/>
      </c>
      <c r="P686" s="1763">
        <f>O686/32</f>
        <v/>
      </c>
      <c r="Q686" s="1764">
        <f>N686*I686/1000</f>
        <v/>
      </c>
    </row>
    <row r="687" ht="15.75" customHeight="1">
      <c r="A687" s="728" t="inlineStr">
        <is>
          <t>FO23100024</t>
        </is>
      </c>
      <c r="B687" s="729" t="n">
        <v>45209</v>
      </c>
      <c r="C687" s="730" t="inlineStr">
        <is>
          <t>มัลติแบกซ์</t>
        </is>
      </c>
      <c r="D687" s="730" t="inlineStr">
        <is>
          <t>ท่าเรือแหลมฉบัง</t>
        </is>
      </c>
      <c r="E687" s="731" t="n">
        <v>7.1</v>
      </c>
      <c r="F687" s="728" t="inlineStr">
        <is>
          <t>Km</t>
        </is>
      </c>
      <c r="G687" s="728" t="inlineStr">
        <is>
          <t>รถเทรลเลอร์</t>
        </is>
      </c>
      <c r="H687" s="728" t="inlineStr">
        <is>
          <t>MANZANILLO, MEXICO</t>
        </is>
      </c>
      <c r="I687" s="733" t="n">
        <v>15486</v>
      </c>
      <c r="J687" s="732" t="inlineStr">
        <is>
          <t>Km</t>
        </is>
      </c>
      <c r="K687" s="734" t="n">
        <v>3890</v>
      </c>
      <c r="L687" s="741">
        <f>M687-K687</f>
        <v/>
      </c>
      <c r="M687" s="1771" t="n">
        <v>14213.6</v>
      </c>
      <c r="N687" s="1772" t="n">
        <v>10472.95</v>
      </c>
      <c r="O687" s="1762">
        <f>N687*E687/1000</f>
        <v/>
      </c>
      <c r="P687" s="1763">
        <f>O687/32</f>
        <v/>
      </c>
      <c r="Q687" s="1764">
        <f>N687*I687/1000</f>
        <v/>
      </c>
    </row>
    <row r="688" ht="15.75" customHeight="1">
      <c r="A688" s="719" t="inlineStr">
        <is>
          <t>FO23100039</t>
        </is>
      </c>
      <c r="B688" s="720" t="n">
        <v>45224</v>
      </c>
      <c r="C688" s="721" t="inlineStr">
        <is>
          <t>มัลติแบกซ์</t>
        </is>
      </c>
      <c r="D688" s="721" t="inlineStr">
        <is>
          <t>ท่าเรือแหลมฉบัง</t>
        </is>
      </c>
      <c r="E688" s="722" t="n">
        <v>11.9</v>
      </c>
      <c r="F688" s="719" t="inlineStr">
        <is>
          <t>Km</t>
        </is>
      </c>
      <c r="G688" s="719" t="inlineStr">
        <is>
          <t>รถเทรลเลอร์</t>
        </is>
      </c>
      <c r="H688" s="719" t="inlineStr">
        <is>
          <t>SANTA TERESA, NM USA</t>
        </is>
      </c>
      <c r="I688" s="724" t="n">
        <v>17387</v>
      </c>
      <c r="J688" s="723" t="inlineStr">
        <is>
          <t>Km</t>
        </is>
      </c>
      <c r="K688" s="725" t="n">
        <v>3830</v>
      </c>
      <c r="L688" s="740">
        <f>M688-K688</f>
        <v/>
      </c>
      <c r="M688" s="1769" t="n">
        <v>21964.16</v>
      </c>
      <c r="N688" s="1773" t="n">
        <v>15814.32</v>
      </c>
      <c r="O688" s="1762">
        <f>N688*E688/1000</f>
        <v/>
      </c>
      <c r="P688" s="1763">
        <f>O688/32</f>
        <v/>
      </c>
      <c r="Q688" s="1764">
        <f>N688*I688/1000</f>
        <v/>
      </c>
    </row>
    <row r="689" ht="15.75" customHeight="1">
      <c r="A689" s="728" t="inlineStr">
        <is>
          <t>FO23100040</t>
        </is>
      </c>
      <c r="B689" s="729" t="n">
        <v>45224</v>
      </c>
      <c r="C689" s="730" t="inlineStr">
        <is>
          <t>มัลติแบกซ์</t>
        </is>
      </c>
      <c r="D689" s="730" t="inlineStr">
        <is>
          <t>ท่าเรือแหลมฉบัง</t>
        </is>
      </c>
      <c r="E689" s="731" t="n">
        <v>6.2</v>
      </c>
      <c r="F689" s="728" t="inlineStr">
        <is>
          <t>Km</t>
        </is>
      </c>
      <c r="G689" s="728" t="inlineStr">
        <is>
          <t>รถเทรลเลอร์</t>
        </is>
      </c>
      <c r="H689" s="728" t="inlineStr">
        <is>
          <t>SANTA TERESA, NM USA</t>
        </is>
      </c>
      <c r="I689" s="733" t="n">
        <v>17387</v>
      </c>
      <c r="J689" s="732" t="inlineStr">
        <is>
          <t>Km</t>
        </is>
      </c>
      <c r="K689" s="734" t="n">
        <v>3860</v>
      </c>
      <c r="L689" s="741">
        <f>M689-K689</f>
        <v/>
      </c>
      <c r="M689" s="1771" t="n">
        <v>22955.28</v>
      </c>
      <c r="N689" s="1772" t="n">
        <v>16791.82</v>
      </c>
      <c r="O689" s="1762">
        <f>N689*E689/1000</f>
        <v/>
      </c>
      <c r="P689" s="1763">
        <f>O689/32</f>
        <v/>
      </c>
      <c r="Q689" s="1764">
        <f>N689*I689/1000</f>
        <v/>
      </c>
    </row>
    <row r="690" ht="15.75" customHeight="1">
      <c r="A690" s="719" t="inlineStr">
        <is>
          <t>FO23100020</t>
        </is>
      </c>
      <c r="B690" s="720" t="n">
        <v>45215</v>
      </c>
      <c r="C690" s="721" t="inlineStr">
        <is>
          <t>มัลติแบกซ์</t>
        </is>
      </c>
      <c r="D690" s="721" t="inlineStr">
        <is>
          <t>ท่าเรือแหลมฉบัง</t>
        </is>
      </c>
      <c r="E690" s="722" t="n">
        <v>3.6</v>
      </c>
      <c r="F690" s="719" t="inlineStr">
        <is>
          <t>Km</t>
        </is>
      </c>
      <c r="G690" s="719" t="inlineStr">
        <is>
          <t>รถเทรลเลอร์</t>
        </is>
      </c>
      <c r="H690" s="719" t="inlineStr">
        <is>
          <t>OSAKA, JAPAN</t>
        </is>
      </c>
      <c r="I690" s="724" t="n">
        <v>4220</v>
      </c>
      <c r="J690" s="723" t="inlineStr">
        <is>
          <t>Km</t>
        </is>
      </c>
      <c r="K690" s="725" t="n">
        <v>2210</v>
      </c>
      <c r="L690" s="740">
        <f>M690-K690</f>
        <v/>
      </c>
      <c r="M690" s="1769" t="n">
        <v>7850</v>
      </c>
      <c r="N690" s="1773" t="n">
        <v>4491.64</v>
      </c>
      <c r="O690" s="1762">
        <f>N690*E690/1000</f>
        <v/>
      </c>
      <c r="P690" s="1763">
        <f>O690/32</f>
        <v/>
      </c>
      <c r="Q690" s="1764">
        <f>N690*I690/1000</f>
        <v/>
      </c>
    </row>
    <row r="691" ht="15.75" customHeight="1">
      <c r="A691" s="728" t="inlineStr">
        <is>
          <t>FO23100025</t>
        </is>
      </c>
      <c r="B691" s="729" t="n">
        <v>45218</v>
      </c>
      <c r="C691" s="730" t="inlineStr">
        <is>
          <t>มัลติแบกซ์</t>
        </is>
      </c>
      <c r="D691" s="730" t="inlineStr">
        <is>
          <t>ท่าเรือแหลมฉบัง</t>
        </is>
      </c>
      <c r="E691" s="731" t="n">
        <v>6.5</v>
      </c>
      <c r="F691" s="728" t="inlineStr">
        <is>
          <t>Km</t>
        </is>
      </c>
      <c r="G691" s="728" t="inlineStr">
        <is>
          <t>รถเทรลเลอร์</t>
        </is>
      </c>
      <c r="H691" s="728" t="inlineStr">
        <is>
          <t>ROTTERDAM, NETHERLANDS</t>
        </is>
      </c>
      <c r="I691" s="733" t="n">
        <v>9292</v>
      </c>
      <c r="J691" s="732" t="inlineStr">
        <is>
          <t>Km</t>
        </is>
      </c>
      <c r="K691" s="734" t="n">
        <v>2230</v>
      </c>
      <c r="L691" s="741">
        <f>M691-K691</f>
        <v/>
      </c>
      <c r="M691" s="1771" t="n">
        <v>17035</v>
      </c>
      <c r="N691" s="1772" t="n">
        <v>14226</v>
      </c>
      <c r="O691" s="1762">
        <f>N691*E691/1000</f>
        <v/>
      </c>
      <c r="P691" s="1763">
        <f>O691/32</f>
        <v/>
      </c>
      <c r="Q691" s="1764">
        <f>N691*I691/1000</f>
        <v/>
      </c>
    </row>
    <row r="692" ht="15.75" customHeight="1">
      <c r="A692" s="719" t="inlineStr">
        <is>
          <t>FO23100043</t>
        </is>
      </c>
      <c r="B692" s="720" t="n">
        <v>45226</v>
      </c>
      <c r="C692" s="721" t="inlineStr">
        <is>
          <t>มัลติแบกซ์</t>
        </is>
      </c>
      <c r="D692" s="721" t="inlineStr">
        <is>
          <t>ท่าเรือแหลมฉบัง</t>
        </is>
      </c>
      <c r="E692" s="722" t="n">
        <v>4.1</v>
      </c>
      <c r="F692" s="719" t="inlineStr">
        <is>
          <t>Km</t>
        </is>
      </c>
      <c r="G692" s="719" t="inlineStr">
        <is>
          <t>รถเทรลเลอร์</t>
        </is>
      </c>
      <c r="H692" s="719" t="inlineStr">
        <is>
          <t>UK PORT</t>
        </is>
      </c>
      <c r="I692" s="724" t="n">
        <v>9687</v>
      </c>
      <c r="J692" s="723" t="inlineStr">
        <is>
          <t>Km</t>
        </is>
      </c>
      <c r="K692" s="725" t="n">
        <v>2200</v>
      </c>
      <c r="L692" s="740">
        <f>M692-K692</f>
        <v/>
      </c>
      <c r="M692" s="1769" t="n">
        <v>7977</v>
      </c>
      <c r="N692" s="1773" t="n">
        <v>4550</v>
      </c>
      <c r="O692" s="1762">
        <f>N692*E692/1000</f>
        <v/>
      </c>
      <c r="P692" s="1763">
        <f>O692/32</f>
        <v/>
      </c>
      <c r="Q692" s="1764">
        <f>N692*I692/1000</f>
        <v/>
      </c>
    </row>
    <row r="693" ht="15.75" customHeight="1">
      <c r="A693" s="728" t="inlineStr">
        <is>
          <t>FO23100030</t>
        </is>
      </c>
      <c r="B693" s="729" t="n">
        <v>45216</v>
      </c>
      <c r="C693" s="730" t="inlineStr">
        <is>
          <t>มัลติแบกซ์</t>
        </is>
      </c>
      <c r="D693" s="730" t="inlineStr">
        <is>
          <t>ท่าเรือแหลมฉบัง</t>
        </is>
      </c>
      <c r="E693" s="731" t="n">
        <v>11.9</v>
      </c>
      <c r="F693" s="728" t="inlineStr">
        <is>
          <t>Km</t>
        </is>
      </c>
      <c r="G693" s="728" t="inlineStr">
        <is>
          <t>รถเทรลเลอร์</t>
        </is>
      </c>
      <c r="H693" s="728" t="inlineStr">
        <is>
          <t>SHANGHAI, CHINA</t>
        </is>
      </c>
      <c r="I693" s="733" t="n">
        <v>3943</v>
      </c>
      <c r="J693" s="732" t="inlineStr">
        <is>
          <t>Km</t>
        </is>
      </c>
      <c r="K693" s="734" t="n">
        <v>3900</v>
      </c>
      <c r="L693" s="741">
        <f>M693-K693</f>
        <v/>
      </c>
      <c r="M693" s="1771" t="n">
        <v>17392.6</v>
      </c>
      <c r="N693" s="1772" t="n">
        <v>10281.6</v>
      </c>
      <c r="O693" s="1762">
        <f>N693*E693/1000</f>
        <v/>
      </c>
      <c r="P693" s="1763">
        <f>O693/32</f>
        <v/>
      </c>
      <c r="Q693" s="1764">
        <f>N693*I693/1000</f>
        <v/>
      </c>
    </row>
    <row r="694" ht="15.75" customHeight="1">
      <c r="A694" s="719" t="inlineStr">
        <is>
          <t>FO23100038</t>
        </is>
      </c>
      <c r="B694" s="720" t="n">
        <v>45219</v>
      </c>
      <c r="C694" s="721" t="inlineStr">
        <is>
          <t>มัลติแบกซ์</t>
        </is>
      </c>
      <c r="D694" s="721" t="inlineStr">
        <is>
          <t>ท่าเรือแหลมฉบัง</t>
        </is>
      </c>
      <c r="E694" s="722" t="n">
        <v>11.9</v>
      </c>
      <c r="F694" s="719" t="inlineStr">
        <is>
          <t>Km</t>
        </is>
      </c>
      <c r="G694" s="719" t="inlineStr">
        <is>
          <t>รถเทรลเลอร์</t>
        </is>
      </c>
      <c r="H694" s="719" t="inlineStr">
        <is>
          <t>SHANGHAI, CHINA</t>
        </is>
      </c>
      <c r="I694" s="724" t="n">
        <v>3943</v>
      </c>
      <c r="J694" s="723" t="inlineStr">
        <is>
          <t>Km</t>
        </is>
      </c>
      <c r="K694" s="725" t="n">
        <v>3830</v>
      </c>
      <c r="L694" s="740">
        <f>M694-K694</f>
        <v/>
      </c>
      <c r="M694" s="1769" t="n">
        <v>17321.6</v>
      </c>
      <c r="N694" s="1773" t="n">
        <v>10281.6</v>
      </c>
      <c r="O694" s="1762">
        <f>N694*E694/1000</f>
        <v/>
      </c>
      <c r="P694" s="1763">
        <f>O694/32</f>
        <v/>
      </c>
      <c r="Q694" s="1764">
        <f>N694*I694/1000</f>
        <v/>
      </c>
    </row>
    <row r="695" ht="15.75" customHeight="1">
      <c r="A695" s="728" t="inlineStr">
        <is>
          <t>FO23100041</t>
        </is>
      </c>
      <c r="B695" s="729" t="n">
        <v>45223</v>
      </c>
      <c r="C695" s="730" t="inlineStr">
        <is>
          <t>มัลติแบกซ์</t>
        </is>
      </c>
      <c r="D695" s="730" t="inlineStr">
        <is>
          <t>ท่าเรือแหลมฉบัง</t>
        </is>
      </c>
      <c r="E695" s="731" t="n">
        <v>11.9</v>
      </c>
      <c r="F695" s="728" t="inlineStr">
        <is>
          <t>Km</t>
        </is>
      </c>
      <c r="G695" s="728" t="inlineStr">
        <is>
          <t>รถเทรลเลอร์</t>
        </is>
      </c>
      <c r="H695" s="728" t="inlineStr">
        <is>
          <t>SHEKOU, CHINA</t>
        </is>
      </c>
      <c r="I695" s="733" t="n">
        <v>2687</v>
      </c>
      <c r="J695" s="732" t="inlineStr">
        <is>
          <t>Km</t>
        </is>
      </c>
      <c r="K695" s="734" t="n">
        <v>3830</v>
      </c>
      <c r="L695" s="741">
        <f>M695-K695</f>
        <v/>
      </c>
      <c r="M695" s="1771" t="n">
        <v>17321.6</v>
      </c>
      <c r="N695" s="1772" t="n">
        <v>10281.6</v>
      </c>
      <c r="O695" s="1762">
        <f>N695*E695/1000</f>
        <v/>
      </c>
      <c r="P695" s="1763">
        <f>O695/32</f>
        <v/>
      </c>
      <c r="Q695" s="1764">
        <f>N695*I695/1000</f>
        <v/>
      </c>
    </row>
    <row r="696" ht="15.75" customHeight="1">
      <c r="A696" s="719" t="inlineStr">
        <is>
          <t>FO23100047</t>
        </is>
      </c>
      <c r="B696" s="720" t="n">
        <v>45224</v>
      </c>
      <c r="C696" s="721" t="inlineStr">
        <is>
          <t>มัลติแบกซ์</t>
        </is>
      </c>
      <c r="D696" s="721" t="inlineStr">
        <is>
          <t>ท่าเรือแหลมฉบัง</t>
        </is>
      </c>
      <c r="E696" s="722" t="n">
        <v>11.9</v>
      </c>
      <c r="F696" s="719" t="inlineStr">
        <is>
          <t>Km</t>
        </is>
      </c>
      <c r="G696" s="719" t="inlineStr">
        <is>
          <t>รถเทรลเลอร์</t>
        </is>
      </c>
      <c r="H696" s="719" t="inlineStr">
        <is>
          <t>SINGAPORE</t>
        </is>
      </c>
      <c r="I696" s="724" t="n">
        <v>1931</v>
      </c>
      <c r="J696" s="723" t="inlineStr">
        <is>
          <t>Km</t>
        </is>
      </c>
      <c r="K696" s="725" t="n">
        <v>5293</v>
      </c>
      <c r="L696" s="740">
        <f>M696-K696</f>
        <v/>
      </c>
      <c r="M696" s="1769" t="n">
        <v>6184</v>
      </c>
      <c r="N696" s="1773" t="n">
        <v>5293</v>
      </c>
      <c r="O696" s="1762">
        <f>N696*E696/1000</f>
        <v/>
      </c>
      <c r="P696" s="1763">
        <f>O696/32</f>
        <v/>
      </c>
      <c r="Q696" s="1764">
        <f>N696*I696/1000</f>
        <v/>
      </c>
    </row>
    <row r="697" ht="15.75" customHeight="1">
      <c r="A697" s="728" t="inlineStr">
        <is>
          <t>FO23100048</t>
        </is>
      </c>
      <c r="B697" s="729" t="n">
        <v>45227</v>
      </c>
      <c r="C697" s="730" t="inlineStr">
        <is>
          <t>มัลติแบกซ์</t>
        </is>
      </c>
      <c r="D697" s="730" t="inlineStr">
        <is>
          <t>ท่าเรือแหลมฉบัง</t>
        </is>
      </c>
      <c r="E697" s="731" t="n">
        <v>6.5</v>
      </c>
      <c r="F697" s="728" t="inlineStr">
        <is>
          <t>Km</t>
        </is>
      </c>
      <c r="G697" s="728" t="inlineStr">
        <is>
          <t>รถเทรลเลอร์</t>
        </is>
      </c>
      <c r="H697" s="728" t="inlineStr">
        <is>
          <t>PERRIS CA, USA</t>
        </is>
      </c>
      <c r="I697" s="733" t="n">
        <v>13413</v>
      </c>
      <c r="J697" s="732" t="inlineStr">
        <is>
          <t>Km</t>
        </is>
      </c>
      <c r="K697" s="734" t="n">
        <v>3700</v>
      </c>
      <c r="L697" s="741">
        <f>M697-K697</f>
        <v/>
      </c>
      <c r="M697" s="1771" t="n">
        <v>13414.5</v>
      </c>
      <c r="N697" s="1772" t="n">
        <v>6937.5</v>
      </c>
      <c r="O697" s="1762">
        <f>N697*E697/1000</f>
        <v/>
      </c>
      <c r="P697" s="1763">
        <f>O697/32</f>
        <v/>
      </c>
      <c r="Q697" s="1764">
        <f>N697*I697/1000</f>
        <v/>
      </c>
    </row>
    <row r="698" ht="15.75" customHeight="1">
      <c r="A698" s="719" t="inlineStr">
        <is>
          <t>FO23100053</t>
        </is>
      </c>
      <c r="B698" s="720" t="n">
        <v>45230</v>
      </c>
      <c r="C698" s="721" t="inlineStr">
        <is>
          <t>มัลติแบกซ์</t>
        </is>
      </c>
      <c r="D698" s="721" t="inlineStr">
        <is>
          <t>ท่าเรือแหลมฉบัง</t>
        </is>
      </c>
      <c r="E698" s="722" t="n">
        <v>11.9</v>
      </c>
      <c r="F698" s="719" t="inlineStr">
        <is>
          <t>Km</t>
        </is>
      </c>
      <c r="G698" s="719" t="inlineStr">
        <is>
          <t>รถเทรลเลอร์</t>
        </is>
      </c>
      <c r="H698" s="719" t="inlineStr">
        <is>
          <t>SHEKOU, CHINA</t>
        </is>
      </c>
      <c r="I698" s="724" t="n">
        <v>2687</v>
      </c>
      <c r="J698" s="723" t="inlineStr">
        <is>
          <t>Km</t>
        </is>
      </c>
      <c r="K698" s="725" t="n">
        <v>3620</v>
      </c>
      <c r="L698" s="740">
        <f>M698-K698</f>
        <v/>
      </c>
      <c r="M698" s="1769" t="n">
        <v>17112.6</v>
      </c>
      <c r="N698" s="1774" t="n">
        <v>10281.6</v>
      </c>
      <c r="O698" s="1762">
        <f>N698*E698/1000</f>
        <v/>
      </c>
      <c r="P698" s="1763">
        <f>O698/32</f>
        <v/>
      </c>
      <c r="Q698" s="1764">
        <f>N698*I698/1000</f>
        <v/>
      </c>
    </row>
    <row r="699" ht="15.75" customHeight="1">
      <c r="A699" s="728" t="inlineStr">
        <is>
          <t>FO23100050</t>
        </is>
      </c>
      <c r="B699" s="729" t="n">
        <v>45230</v>
      </c>
      <c r="C699" s="730" t="inlineStr">
        <is>
          <t>มัลติแบกซ์</t>
        </is>
      </c>
      <c r="D699" s="730" t="inlineStr">
        <is>
          <t>ท่าเรือแหลมฉบัง</t>
        </is>
      </c>
      <c r="E699" s="731" t="n">
        <v>6.2</v>
      </c>
      <c r="F699" s="728" t="inlineStr">
        <is>
          <t>Km</t>
        </is>
      </c>
      <c r="G699" s="728" t="inlineStr">
        <is>
          <t>รถเทรลเลอร์</t>
        </is>
      </c>
      <c r="H699" s="728" t="inlineStr">
        <is>
          <t>CARROLLTON TX, USA</t>
        </is>
      </c>
      <c r="I699" s="733" t="n">
        <v>14544</v>
      </c>
      <c r="J699" s="732" t="inlineStr">
        <is>
          <t>Km</t>
        </is>
      </c>
      <c r="K699" s="734" t="n">
        <v>3870</v>
      </c>
      <c r="L699" s="741">
        <f>M699-K699</f>
        <v/>
      </c>
      <c r="M699" s="1771" t="n">
        <v>19589.15</v>
      </c>
      <c r="N699" s="1772" t="n">
        <v>12460.53</v>
      </c>
      <c r="O699" s="1762">
        <f>N699*E699/1000</f>
        <v/>
      </c>
      <c r="P699" s="1763">
        <f>O699/32</f>
        <v/>
      </c>
      <c r="Q699" s="1764">
        <f>N699*I699/1000</f>
        <v/>
      </c>
    </row>
    <row r="700" ht="15.75" customHeight="1">
      <c r="A700" s="719" t="inlineStr">
        <is>
          <t>FO23100045</t>
        </is>
      </c>
      <c r="B700" s="720" t="n">
        <v>45226</v>
      </c>
      <c r="C700" s="721" t="inlineStr">
        <is>
          <t>มัลติแบกซ์</t>
        </is>
      </c>
      <c r="D700" s="721" t="inlineStr">
        <is>
          <t>ท่าเรือแหลมฉบัง</t>
        </is>
      </c>
      <c r="E700" s="722" t="n">
        <v>6</v>
      </c>
      <c r="F700" s="719" t="inlineStr">
        <is>
          <t>Km</t>
        </is>
      </c>
      <c r="G700" s="719" t="inlineStr">
        <is>
          <t>รถเทรลเลอร์</t>
        </is>
      </c>
      <c r="H700" s="719" t="inlineStr">
        <is>
          <t>SHUWAIKH, KUWAIT</t>
        </is>
      </c>
      <c r="I700" s="724" t="n">
        <v>5727</v>
      </c>
      <c r="J700" s="723" t="inlineStr">
        <is>
          <t>Km</t>
        </is>
      </c>
      <c r="K700" s="725" t="n">
        <v>2185</v>
      </c>
      <c r="L700" s="740">
        <f>M700-K700</f>
        <v/>
      </c>
      <c r="M700" s="1769" t="n">
        <v>9008.530000000001</v>
      </c>
      <c r="N700" s="1773" t="n">
        <v>5744.38</v>
      </c>
      <c r="O700" s="1762">
        <f>N700*E700/1000</f>
        <v/>
      </c>
      <c r="P700" s="1763">
        <f>O700/32</f>
        <v/>
      </c>
      <c r="Q700" s="1764">
        <f>N700*I700/1000</f>
        <v/>
      </c>
    </row>
    <row r="701" ht="15.75" customHeight="1">
      <c r="A701" s="728" t="inlineStr">
        <is>
          <t>FO23100027</t>
        </is>
      </c>
      <c r="B701" s="729" t="n">
        <v>45215</v>
      </c>
      <c r="C701" s="730" t="inlineStr">
        <is>
          <t>มัลติแบกซ์</t>
        </is>
      </c>
      <c r="D701" s="730" t="inlineStr">
        <is>
          <t>ท่าเรือแหลมฉบัง</t>
        </is>
      </c>
      <c r="E701" s="731" t="n">
        <v>6</v>
      </c>
      <c r="F701" s="728" t="inlineStr">
        <is>
          <t>Km</t>
        </is>
      </c>
      <c r="G701" s="728" t="inlineStr">
        <is>
          <t>รถเทรลเลอร์</t>
        </is>
      </c>
      <c r="H701" s="728" t="inlineStr">
        <is>
          <t>SOHAR, OMAN</t>
        </is>
      </c>
      <c r="I701" s="733" t="n">
        <v>4795</v>
      </c>
      <c r="J701" s="732" t="inlineStr">
        <is>
          <t>Km</t>
        </is>
      </c>
      <c r="K701" s="734" t="n">
        <v>2150</v>
      </c>
      <c r="L701" s="741">
        <f>M701-K701</f>
        <v/>
      </c>
      <c r="M701" s="1771" t="n">
        <v>5914.29</v>
      </c>
      <c r="N701" s="1772" t="n">
        <v>2762.28</v>
      </c>
      <c r="O701" s="1762">
        <f>N701*E701/1000</f>
        <v/>
      </c>
      <c r="P701" s="1763">
        <f>O701/32</f>
        <v/>
      </c>
      <c r="Q701" s="1764">
        <f>N701*I701/1000</f>
        <v/>
      </c>
    </row>
    <row r="702" ht="15.75" customHeight="1">
      <c r="A702" s="719" t="inlineStr">
        <is>
          <t>FO23100033</t>
        </is>
      </c>
      <c r="B702" s="720" t="n">
        <v>45218</v>
      </c>
      <c r="C702" s="721" t="inlineStr">
        <is>
          <t>มัลติแบกซ์</t>
        </is>
      </c>
      <c r="D702" s="721" t="inlineStr">
        <is>
          <t>ท่าเรือแหลมฉบัง</t>
        </is>
      </c>
      <c r="E702" s="722" t="n">
        <v>6.5</v>
      </c>
      <c r="F702" s="719" t="inlineStr">
        <is>
          <t>Km</t>
        </is>
      </c>
      <c r="G702" s="719" t="inlineStr">
        <is>
          <t>รถเทรลเลอร์</t>
        </is>
      </c>
      <c r="H702" s="719" t="inlineStr">
        <is>
          <t>SOUTH BOSTON VA, USA</t>
        </is>
      </c>
      <c r="I702" s="724" t="n">
        <v>13787</v>
      </c>
      <c r="J702" s="723" t="inlineStr">
        <is>
          <t>Km</t>
        </is>
      </c>
      <c r="K702" s="725" t="n">
        <v>3700</v>
      </c>
      <c r="L702" s="740">
        <f>M702-K702</f>
        <v/>
      </c>
      <c r="M702" s="1769" t="n">
        <v>13302</v>
      </c>
      <c r="N702" s="1773" t="n">
        <v>5376</v>
      </c>
      <c r="O702" s="1762">
        <f>N702*E702/1000</f>
        <v/>
      </c>
      <c r="P702" s="1763">
        <f>O702/32</f>
        <v/>
      </c>
      <c r="Q702" s="1764">
        <f>N702*I702/1000</f>
        <v/>
      </c>
    </row>
    <row r="703" ht="15.75" customHeight="1">
      <c r="A703" s="728" t="inlineStr">
        <is>
          <t>FO23100042</t>
        </is>
      </c>
      <c r="B703" s="729" t="n">
        <v>45219</v>
      </c>
      <c r="C703" s="730" t="inlineStr">
        <is>
          <t>มัลติแบกซ์</t>
        </is>
      </c>
      <c r="D703" s="730" t="inlineStr">
        <is>
          <t>ท่าเรือแหลมฉบัง</t>
        </is>
      </c>
      <c r="E703" s="731" t="n">
        <v>6</v>
      </c>
      <c r="F703" s="728" t="inlineStr">
        <is>
          <t>Km</t>
        </is>
      </c>
      <c r="G703" s="728" t="inlineStr">
        <is>
          <t>รถเทรลเลอร์</t>
        </is>
      </c>
      <c r="H703" s="728" t="inlineStr">
        <is>
          <t>XINGANG, CHINA</t>
        </is>
      </c>
      <c r="I703" s="733" t="n">
        <v>4353</v>
      </c>
      <c r="J703" s="732" t="inlineStr">
        <is>
          <t>Km</t>
        </is>
      </c>
      <c r="K703" s="734" t="n">
        <v>3820</v>
      </c>
      <c r="L703" s="741">
        <f>M703-K703</f>
        <v/>
      </c>
      <c r="M703" s="1771" t="n">
        <v>17311.6</v>
      </c>
      <c r="N703" s="1772" t="n">
        <v>10281.6</v>
      </c>
      <c r="O703" s="1762">
        <f>N703*E703/1000</f>
        <v/>
      </c>
      <c r="P703" s="1763">
        <f>O703/32</f>
        <v/>
      </c>
      <c r="Q703" s="1764">
        <f>N703*I703/1000</f>
        <v/>
      </c>
    </row>
    <row r="704" ht="15.75" customHeight="1">
      <c r="A704" s="756" t="inlineStr">
        <is>
          <t>FO23110001</t>
        </is>
      </c>
      <c r="B704" s="720" t="n">
        <v>45237</v>
      </c>
      <c r="C704" s="721" t="inlineStr">
        <is>
          <t>มัลติแบกซ์</t>
        </is>
      </c>
      <c r="D704" s="721" t="inlineStr">
        <is>
          <t>ท่าเรือแหลมฉบัง</t>
        </is>
      </c>
      <c r="E704" s="722" t="n">
        <v>5.8</v>
      </c>
      <c r="F704" s="719" t="inlineStr">
        <is>
          <t>Km</t>
        </is>
      </c>
      <c r="G704" s="719" t="inlineStr">
        <is>
          <t>รถเทรลเลอร์</t>
        </is>
      </c>
      <c r="H704" s="719" t="inlineStr">
        <is>
          <t>AUCKLAND, NEW ZEALAND</t>
        </is>
      </c>
      <c r="I704" s="724" t="n">
        <v>9486</v>
      </c>
      <c r="J704" s="723" t="inlineStr">
        <is>
          <t>Km</t>
        </is>
      </c>
      <c r="K704" s="725" t="n">
        <v>3900</v>
      </c>
      <c r="L704" s="740">
        <f>M704-K704</f>
        <v/>
      </c>
      <c r="M704" s="738" t="n">
        <v>23224.5</v>
      </c>
      <c r="N704" s="1773" t="n">
        <v>14807.72</v>
      </c>
      <c r="O704" s="1762">
        <f>N704*E704/1000</f>
        <v/>
      </c>
      <c r="P704" s="1763">
        <f>O704/32</f>
        <v/>
      </c>
      <c r="Q704" s="1764">
        <f>N704*I704/1000</f>
        <v/>
      </c>
    </row>
    <row r="705" ht="15.75" customHeight="1">
      <c r="A705" s="757" t="inlineStr">
        <is>
          <t>FO23110002</t>
        </is>
      </c>
      <c r="B705" s="729" t="n">
        <v>45237</v>
      </c>
      <c r="C705" s="730" t="inlineStr">
        <is>
          <t>มัลติแบกซ์</t>
        </is>
      </c>
      <c r="D705" s="730" t="inlineStr">
        <is>
          <t>ท่าเรือแหลมฉบัง</t>
        </is>
      </c>
      <c r="E705" s="731" t="n">
        <v>5.8</v>
      </c>
      <c r="F705" s="728" t="inlineStr">
        <is>
          <t>Km</t>
        </is>
      </c>
      <c r="G705" s="728" t="inlineStr">
        <is>
          <t>รถเทรลเลอร์</t>
        </is>
      </c>
      <c r="H705" s="728" t="inlineStr">
        <is>
          <t>AUCKLAND, NEW ZEALAND</t>
        </is>
      </c>
      <c r="I705" s="733" t="n">
        <v>9486</v>
      </c>
      <c r="J705" s="732" t="inlineStr">
        <is>
          <t>Km</t>
        </is>
      </c>
      <c r="K705" s="734" t="n">
        <v>3830</v>
      </c>
      <c r="L705" s="741">
        <f>M705-K705</f>
        <v/>
      </c>
      <c r="M705" s="734" t="n">
        <v>24869.6</v>
      </c>
      <c r="N705" s="1772" t="n">
        <v>16092.98</v>
      </c>
      <c r="O705" s="1762">
        <f>N705*E705/1000</f>
        <v/>
      </c>
      <c r="P705" s="1763">
        <f>O705/32</f>
        <v/>
      </c>
      <c r="Q705" s="1764">
        <f>N705*I705/1000</f>
        <v/>
      </c>
    </row>
    <row r="706" ht="15.75" customHeight="1">
      <c r="A706" s="756" t="inlineStr">
        <is>
          <t>FO23110003</t>
        </is>
      </c>
      <c r="B706" s="720" t="n">
        <v>45237</v>
      </c>
      <c r="C706" s="721" t="inlineStr">
        <is>
          <t>มัลติแบกซ์</t>
        </is>
      </c>
      <c r="D706" s="721" t="inlineStr">
        <is>
          <t>ท่าเรือแหลมฉบัง</t>
        </is>
      </c>
      <c r="E706" s="722" t="n">
        <v>5.8</v>
      </c>
      <c r="F706" s="719" t="inlineStr">
        <is>
          <t>Km</t>
        </is>
      </c>
      <c r="G706" s="719" t="inlineStr">
        <is>
          <t>รถเทรลเลอร์</t>
        </is>
      </c>
      <c r="H706" s="719" t="inlineStr">
        <is>
          <t>AUCKLAND, NEW ZEALAND</t>
        </is>
      </c>
      <c r="I706" s="724" t="n">
        <v>9486</v>
      </c>
      <c r="J706" s="723" t="inlineStr">
        <is>
          <t>Km</t>
        </is>
      </c>
      <c r="K706" s="725" t="n">
        <v>3830</v>
      </c>
      <c r="L706" s="740">
        <f>M706-K706</f>
        <v/>
      </c>
      <c r="M706" s="738" t="n">
        <v>21486.9</v>
      </c>
      <c r="N706" s="1773" t="n">
        <v>14193.56</v>
      </c>
      <c r="O706" s="1762">
        <f>N706*E706/1000</f>
        <v/>
      </c>
      <c r="P706" s="1763">
        <f>O706/32</f>
        <v/>
      </c>
      <c r="Q706" s="1764">
        <f>N706*I706/1000</f>
        <v/>
      </c>
    </row>
    <row r="707" ht="15.75" customHeight="1">
      <c r="A707" s="757" t="inlineStr">
        <is>
          <t>FO23110004</t>
        </is>
      </c>
      <c r="B707" s="729" t="n">
        <v>45236</v>
      </c>
      <c r="C707" s="730" t="inlineStr">
        <is>
          <t>มัลติแบกซ์</t>
        </is>
      </c>
      <c r="D707" s="730" t="inlineStr">
        <is>
          <t>ท่าเรือแหลมฉบัง</t>
        </is>
      </c>
      <c r="E707" s="731" t="n">
        <v>6.2</v>
      </c>
      <c r="F707" s="728" t="inlineStr">
        <is>
          <t>Km</t>
        </is>
      </c>
      <c r="G707" s="728" t="inlineStr">
        <is>
          <t>รถเทรลเลอร์</t>
        </is>
      </c>
      <c r="H707" s="728" t="inlineStr">
        <is>
          <t>HONG KONG</t>
        </is>
      </c>
      <c r="I707" s="733" t="n">
        <v>1734</v>
      </c>
      <c r="J707" s="732" t="inlineStr">
        <is>
          <t>Km</t>
        </is>
      </c>
      <c r="K707" s="734" t="n">
        <v>3650</v>
      </c>
      <c r="L707" s="741">
        <f>M707-K707</f>
        <v/>
      </c>
      <c r="M707" s="739" t="n">
        <v>15708.1</v>
      </c>
      <c r="N707" s="1772" t="n">
        <v>9256.799999999999</v>
      </c>
      <c r="O707" s="1762">
        <f>N707*E707/1000</f>
        <v/>
      </c>
      <c r="P707" s="1763">
        <f>O707/32</f>
        <v/>
      </c>
      <c r="Q707" s="1764">
        <f>N707*I707/1000</f>
        <v/>
      </c>
    </row>
    <row r="708" ht="15.75" customHeight="1">
      <c r="A708" s="756" t="inlineStr">
        <is>
          <t>FO23110005</t>
        </is>
      </c>
      <c r="B708" s="720" t="n">
        <v>45232</v>
      </c>
      <c r="C708" s="721" t="inlineStr">
        <is>
          <t>มัลติแบกซ์</t>
        </is>
      </c>
      <c r="D708" s="721" t="inlineStr">
        <is>
          <t>ท่าเรือแหลมฉบัง</t>
        </is>
      </c>
      <c r="E708" s="722" t="n">
        <v>11.9</v>
      </c>
      <c r="F708" s="721" t="inlineStr">
        <is>
          <t>Km</t>
        </is>
      </c>
      <c r="G708" s="721" t="inlineStr">
        <is>
          <t>รถเทรลเลอร์</t>
        </is>
      </c>
      <c r="H708" s="719" t="inlineStr">
        <is>
          <t>AJMAN PORT, UAE</t>
        </is>
      </c>
      <c r="I708" s="724" t="n">
        <v>4929</v>
      </c>
      <c r="J708" s="750" t="inlineStr">
        <is>
          <t>Km</t>
        </is>
      </c>
      <c r="K708" s="725" t="n">
        <v>3640</v>
      </c>
      <c r="L708" s="740">
        <f>M708-K708</f>
        <v/>
      </c>
      <c r="M708" s="738" t="n">
        <v>19271.7</v>
      </c>
      <c r="N708" s="1773" t="n">
        <v>14031.23</v>
      </c>
      <c r="O708" s="1762">
        <f>N708*E708/1000</f>
        <v/>
      </c>
      <c r="P708" s="1763">
        <f>O708/32</f>
        <v/>
      </c>
      <c r="Q708" s="1764">
        <f>N708*I708/1000</f>
        <v/>
      </c>
    </row>
    <row r="709" ht="15.75" customHeight="1">
      <c r="A709" s="757" t="inlineStr">
        <is>
          <t>FO23110006</t>
        </is>
      </c>
      <c r="B709" s="729" t="n">
        <v>45232</v>
      </c>
      <c r="C709" s="730" t="inlineStr">
        <is>
          <t>มัลติแบกซ์</t>
        </is>
      </c>
      <c r="D709" s="730" t="inlineStr">
        <is>
          <t>ท่าเรือแหลมฉบัง</t>
        </is>
      </c>
      <c r="E709" s="731" t="n">
        <v>11.9</v>
      </c>
      <c r="F709" s="728" t="inlineStr">
        <is>
          <t>Km</t>
        </is>
      </c>
      <c r="G709" s="728" t="inlineStr">
        <is>
          <t>รถเทรลเลอร์</t>
        </is>
      </c>
      <c r="H709" s="728" t="inlineStr">
        <is>
          <t>AJMAN PORT, UAE</t>
        </is>
      </c>
      <c r="I709" s="733" t="n">
        <v>4929</v>
      </c>
      <c r="J709" s="732" t="inlineStr">
        <is>
          <t>Km</t>
        </is>
      </c>
      <c r="K709" s="734" t="n">
        <v>3640</v>
      </c>
      <c r="L709" s="741">
        <f>M709-K709</f>
        <v/>
      </c>
      <c r="M709" s="739" t="n">
        <v>16315</v>
      </c>
      <c r="N709" s="1772" t="n">
        <v>10099.8</v>
      </c>
      <c r="O709" s="1762">
        <f>N709*E709/1000</f>
        <v/>
      </c>
      <c r="P709" s="1763">
        <f>O709/32</f>
        <v/>
      </c>
      <c r="Q709" s="1764">
        <f>N709*I709/1000</f>
        <v/>
      </c>
    </row>
    <row r="710" ht="15.75" customHeight="1">
      <c r="A710" s="756" t="inlineStr">
        <is>
          <t>FO23110007</t>
        </is>
      </c>
      <c r="B710" s="720" t="n">
        <v>45239</v>
      </c>
      <c r="C710" s="721" t="inlineStr">
        <is>
          <t>มัลติแบกซ์</t>
        </is>
      </c>
      <c r="D710" s="721" t="inlineStr">
        <is>
          <t>ท่าเรือแหลมฉบัง</t>
        </is>
      </c>
      <c r="E710" s="722" t="n">
        <v>6.2</v>
      </c>
      <c r="F710" s="719" t="inlineStr">
        <is>
          <t>Km</t>
        </is>
      </c>
      <c r="G710" s="719" t="inlineStr">
        <is>
          <t>รถเทรลเลอร์</t>
        </is>
      </c>
      <c r="H710" s="719" t="inlineStr">
        <is>
          <t>SANTA TERESA, NM USA</t>
        </is>
      </c>
      <c r="I710" s="724" t="n">
        <v>17387</v>
      </c>
      <c r="J710" s="723" t="inlineStr">
        <is>
          <t>Km</t>
        </is>
      </c>
      <c r="K710" s="725" t="n">
        <v>3870</v>
      </c>
      <c r="L710" s="740">
        <f>M710-K710</f>
        <v/>
      </c>
      <c r="M710" s="738" t="n">
        <v>21759.58</v>
      </c>
      <c r="N710" s="1773" t="n">
        <v>15350.84</v>
      </c>
      <c r="O710" s="1762">
        <f>N710*E710/1000</f>
        <v/>
      </c>
      <c r="P710" s="1763">
        <f>O710/32</f>
        <v/>
      </c>
      <c r="Q710" s="1764">
        <f>N710*I710/1000</f>
        <v/>
      </c>
    </row>
    <row r="711" ht="15.75" customHeight="1">
      <c r="A711" s="757" t="inlineStr">
        <is>
          <t>FO23110008</t>
        </is>
      </c>
      <c r="B711" s="729" t="n">
        <v>45239</v>
      </c>
      <c r="C711" s="730" t="inlineStr">
        <is>
          <t>มัลติแบกซ์</t>
        </is>
      </c>
      <c r="D711" s="730" t="inlineStr">
        <is>
          <t>ท่าเรือแหลมฉบัง</t>
        </is>
      </c>
      <c r="E711" s="731" t="n">
        <v>6.2</v>
      </c>
      <c r="F711" s="728" t="inlineStr">
        <is>
          <t>Km</t>
        </is>
      </c>
      <c r="G711" s="728" t="inlineStr">
        <is>
          <t>รถเทรลเลอร์</t>
        </is>
      </c>
      <c r="H711" s="728" t="inlineStr">
        <is>
          <t>SANTA TERESA, NM USA</t>
        </is>
      </c>
      <c r="I711" s="733" t="n">
        <v>17387</v>
      </c>
      <c r="J711" s="732" t="inlineStr">
        <is>
          <t>Km</t>
        </is>
      </c>
      <c r="K711" s="734" t="n">
        <v>3700</v>
      </c>
      <c r="L711" s="741">
        <f>M711-K711</f>
        <v/>
      </c>
      <c r="M711" s="739" t="n">
        <v>21837.15</v>
      </c>
      <c r="N711" s="1772" t="n">
        <v>15547.19</v>
      </c>
      <c r="O711" s="1762">
        <f>N711*E711/1000</f>
        <v/>
      </c>
      <c r="P711" s="1763">
        <f>O711/32</f>
        <v/>
      </c>
      <c r="Q711" s="1764">
        <f>N711*I711/1000</f>
        <v/>
      </c>
    </row>
    <row r="712" ht="15.75" customHeight="1">
      <c r="A712" s="756" t="inlineStr">
        <is>
          <t>FO23110009</t>
        </is>
      </c>
      <c r="B712" s="720" t="n">
        <v>45240</v>
      </c>
      <c r="C712" s="721" t="inlineStr">
        <is>
          <t>มัลติแบกซ์</t>
        </is>
      </c>
      <c r="D712" s="721" t="inlineStr">
        <is>
          <t>ท่าเรือแหลมฉบัง</t>
        </is>
      </c>
      <c r="E712" s="722" t="n">
        <v>10.2</v>
      </c>
      <c r="F712" s="719" t="inlineStr">
        <is>
          <t>Km</t>
        </is>
      </c>
      <c r="G712" s="719" t="inlineStr">
        <is>
          <t>รถเทรลเลอร์</t>
        </is>
      </c>
      <c r="H712" s="719" t="inlineStr">
        <is>
          <t>COLUMBUS OHIO, USA</t>
        </is>
      </c>
      <c r="I712" s="724" t="n">
        <v>14000</v>
      </c>
      <c r="J712" s="723" t="inlineStr">
        <is>
          <t>Km</t>
        </is>
      </c>
      <c r="K712" s="725" t="n">
        <v>3840</v>
      </c>
      <c r="L712" s="740">
        <f>M712-K712</f>
        <v/>
      </c>
      <c r="M712" s="738" t="n">
        <v>21441.74</v>
      </c>
      <c r="N712" s="1773" t="n">
        <v>15351.92</v>
      </c>
      <c r="O712" s="1762">
        <f>N712*E712/1000</f>
        <v/>
      </c>
      <c r="P712" s="1763">
        <f>O712/32</f>
        <v/>
      </c>
      <c r="Q712" s="1764">
        <f>N712*I712/1000</f>
        <v/>
      </c>
    </row>
    <row r="713" ht="15.75" customHeight="1">
      <c r="A713" s="757" t="inlineStr">
        <is>
          <t>FO23110010</t>
        </is>
      </c>
      <c r="B713" s="729" t="n">
        <v>45238</v>
      </c>
      <c r="C713" s="730" t="inlineStr">
        <is>
          <t>มัลติแบกซ์</t>
        </is>
      </c>
      <c r="D713" s="730" t="inlineStr">
        <is>
          <t>ท่าเรือแหลมฉบัง</t>
        </is>
      </c>
      <c r="E713" s="731" t="n">
        <v>11.9</v>
      </c>
      <c r="F713" s="728" t="inlineStr">
        <is>
          <t>Km</t>
        </is>
      </c>
      <c r="G713" s="728" t="inlineStr">
        <is>
          <t>รถเทรลเลอร์</t>
        </is>
      </c>
      <c r="H713" s="728" t="inlineStr">
        <is>
          <t>MELBOURNE, AUSTRALIA</t>
        </is>
      </c>
      <c r="I713" s="733" t="n">
        <v>7283</v>
      </c>
      <c r="J713" s="732" t="inlineStr">
        <is>
          <t>Km</t>
        </is>
      </c>
      <c r="K713" s="734" t="n">
        <v>3640</v>
      </c>
      <c r="L713" s="741">
        <f>M713-K713</f>
        <v/>
      </c>
      <c r="M713" s="739" t="n">
        <v>27622</v>
      </c>
      <c r="N713" s="1772" t="n">
        <v>20039</v>
      </c>
      <c r="O713" s="1762">
        <f>N713*E713/1000</f>
        <v/>
      </c>
      <c r="P713" s="1763">
        <f>O713/32</f>
        <v/>
      </c>
      <c r="Q713" s="1764">
        <f>N713*I713/1000</f>
        <v/>
      </c>
    </row>
    <row r="714" ht="15.75" customHeight="1">
      <c r="A714" s="756" t="inlineStr">
        <is>
          <t>FO23110011</t>
        </is>
      </c>
      <c r="B714" s="720" t="n">
        <v>45239</v>
      </c>
      <c r="C714" s="721" t="inlineStr">
        <is>
          <t>มัลติแบกซ์</t>
        </is>
      </c>
      <c r="D714" s="721" t="inlineStr">
        <is>
          <t>ท่าเรือแหลมฉบัง</t>
        </is>
      </c>
      <c r="E714" s="722" t="n">
        <v>11.9</v>
      </c>
      <c r="F714" s="719" t="inlineStr">
        <is>
          <t>Km</t>
        </is>
      </c>
      <c r="G714" s="719" t="inlineStr">
        <is>
          <t>รถเทรลเลอร์</t>
        </is>
      </c>
      <c r="H714" s="719" t="inlineStr">
        <is>
          <t>MELBOURNE, AUSTRALIA</t>
        </is>
      </c>
      <c r="I714" s="724" t="n">
        <v>7283</v>
      </c>
      <c r="J714" s="723" t="inlineStr">
        <is>
          <t>Km</t>
        </is>
      </c>
      <c r="K714" s="725" t="n">
        <v>3740</v>
      </c>
      <c r="L714" s="740">
        <f>M714-K714</f>
        <v/>
      </c>
      <c r="M714" s="725" t="n">
        <v>27642</v>
      </c>
      <c r="N714" s="1773" t="n">
        <v>19612</v>
      </c>
      <c r="O714" s="1762">
        <f>N714*E714/1000</f>
        <v/>
      </c>
      <c r="P714" s="1763">
        <f>O714/32</f>
        <v/>
      </c>
      <c r="Q714" s="1764">
        <f>N714*I714/1000</f>
        <v/>
      </c>
    </row>
    <row r="715" ht="15.75" customHeight="1">
      <c r="A715" s="757" t="inlineStr">
        <is>
          <t>FO23110012</t>
        </is>
      </c>
      <c r="B715" s="729" t="n">
        <v>45239</v>
      </c>
      <c r="C715" s="730" t="inlineStr">
        <is>
          <t>มัลติแบกซ์</t>
        </is>
      </c>
      <c r="D715" s="730" t="inlineStr">
        <is>
          <t>ท่าเรือแหลมฉบัง</t>
        </is>
      </c>
      <c r="E715" s="731" t="n">
        <v>11.9</v>
      </c>
      <c r="F715" s="728" t="inlineStr">
        <is>
          <t>Km</t>
        </is>
      </c>
      <c r="G715" s="728" t="inlineStr">
        <is>
          <t>รถเทรลเลอร์</t>
        </is>
      </c>
      <c r="H715" s="728" t="inlineStr">
        <is>
          <t>MELBOURNE, AUSTRALIA</t>
        </is>
      </c>
      <c r="I715" s="733" t="n">
        <v>7283</v>
      </c>
      <c r="J715" s="732" t="inlineStr">
        <is>
          <t>Km</t>
        </is>
      </c>
      <c r="K715" s="734" t="n">
        <v>3625</v>
      </c>
      <c r="L715" s="741">
        <f>M715-K715</f>
        <v/>
      </c>
      <c r="M715" s="734" t="n">
        <v>27639.5</v>
      </c>
      <c r="N715" s="1772" t="n">
        <v>21094</v>
      </c>
      <c r="O715" s="1762">
        <f>N715*E715/1000</f>
        <v/>
      </c>
      <c r="P715" s="1763">
        <f>O715/32</f>
        <v/>
      </c>
      <c r="Q715" s="1764">
        <f>N715*I715/1000</f>
        <v/>
      </c>
    </row>
    <row r="716" ht="15.75" customHeight="1">
      <c r="A716" s="719" t="inlineStr">
        <is>
          <t>FO23110013</t>
        </is>
      </c>
      <c r="B716" s="720" t="n">
        <v>45598</v>
      </c>
      <c r="C716" s="721" t="inlineStr">
        <is>
          <t>มัลติแบกซ์</t>
        </is>
      </c>
      <c r="D716" s="721" t="n"/>
      <c r="E716" s="722" t="n"/>
      <c r="F716" s="719" t="n"/>
      <c r="G716" s="719" t="inlineStr">
        <is>
          <t>รถเทรลเลอร์</t>
        </is>
      </c>
      <c r="H716" s="719" t="inlineStr">
        <is>
          <t>SINGAPORE</t>
        </is>
      </c>
      <c r="I716" s="724" t="n">
        <v>1931</v>
      </c>
      <c r="J716" s="723" t="n"/>
      <c r="K716" s="725" t="n">
        <v>4119.88</v>
      </c>
      <c r="L716" s="740" t="n">
        <v>1330.98</v>
      </c>
      <c r="M716" s="738" t="n">
        <v>5450.86</v>
      </c>
      <c r="N716" s="1773" t="n">
        <v>4119.88</v>
      </c>
      <c r="O716" s="1762">
        <f>N716*E716/1000</f>
        <v/>
      </c>
      <c r="P716" s="1763">
        <f>O716/32</f>
        <v/>
      </c>
      <c r="Q716" s="1764">
        <f>N716*I716/1000</f>
        <v/>
      </c>
    </row>
    <row r="717" ht="15.75" customHeight="1">
      <c r="A717" s="757" t="inlineStr">
        <is>
          <t>FO23110014</t>
        </is>
      </c>
      <c r="B717" s="729" t="n">
        <v>45246</v>
      </c>
      <c r="C717" s="730" t="inlineStr">
        <is>
          <t>มัลติแบกซ์</t>
        </is>
      </c>
      <c r="D717" s="730" t="inlineStr">
        <is>
          <t>ท่าเรือแหลมฉบัง</t>
        </is>
      </c>
      <c r="E717" s="731" t="n">
        <v>6.5</v>
      </c>
      <c r="F717" s="728" t="inlineStr">
        <is>
          <t>Km</t>
        </is>
      </c>
      <c r="G717" s="728" t="inlineStr">
        <is>
          <t>รถเทรลเลอร์</t>
        </is>
      </c>
      <c r="H717" s="728" t="inlineStr">
        <is>
          <t>DURBAN, SOUTH AFRICA</t>
        </is>
      </c>
      <c r="I717" s="733" t="n">
        <v>8865</v>
      </c>
      <c r="J717" s="732" t="inlineStr">
        <is>
          <t>Km</t>
        </is>
      </c>
      <c r="K717" s="734" t="n">
        <v>2220</v>
      </c>
      <c r="L717" s="741">
        <f>M717-K717</f>
        <v/>
      </c>
      <c r="M717" s="739" t="n">
        <v>16377</v>
      </c>
      <c r="N717" s="1772" t="n">
        <v>12925.5</v>
      </c>
      <c r="O717" s="1762">
        <f>N717*E717/1000</f>
        <v/>
      </c>
      <c r="P717" s="1763">
        <f>O717/32</f>
        <v/>
      </c>
      <c r="Q717" s="1764">
        <f>N717*I717/1000</f>
        <v/>
      </c>
    </row>
    <row r="718" ht="15.75" customHeight="1">
      <c r="A718" s="756" t="inlineStr">
        <is>
          <t>FO23110015</t>
        </is>
      </c>
      <c r="B718" s="720" t="n">
        <v>45236</v>
      </c>
      <c r="C718" s="721" t="inlineStr">
        <is>
          <t>มัลติแบกซ์</t>
        </is>
      </c>
      <c r="D718" s="721" t="inlineStr">
        <is>
          <t>ท่าเรือแหลมฉบัง</t>
        </is>
      </c>
      <c r="E718" s="722" t="n">
        <v>7.1</v>
      </c>
      <c r="F718" s="719" t="inlineStr">
        <is>
          <t>Km</t>
        </is>
      </c>
      <c r="G718" s="719" t="inlineStr">
        <is>
          <t>รถเทรลเลอร์</t>
        </is>
      </c>
      <c r="H718" s="719" t="inlineStr">
        <is>
          <t>JACKSONVILLE IL, USA</t>
        </is>
      </c>
      <c r="I718" s="724" t="n">
        <v>15168</v>
      </c>
      <c r="J718" s="723" t="inlineStr">
        <is>
          <t>Km</t>
        </is>
      </c>
      <c r="K718" s="725" t="n">
        <v>3910</v>
      </c>
      <c r="L718" s="740">
        <f>M718-K718</f>
        <v/>
      </c>
      <c r="M718" s="738" t="n">
        <v>24734.6</v>
      </c>
      <c r="N718" s="1773" t="n">
        <v>15523.2</v>
      </c>
      <c r="O718" s="1762">
        <f>N718*E718/1000</f>
        <v/>
      </c>
      <c r="P718" s="1763">
        <f>O718/32</f>
        <v/>
      </c>
      <c r="Q718" s="1764">
        <f>N718*I718/1000</f>
        <v/>
      </c>
    </row>
    <row r="719" ht="15.75" customHeight="1">
      <c r="A719" s="757" t="inlineStr">
        <is>
          <t>FO23110016</t>
        </is>
      </c>
      <c r="B719" s="729" t="n">
        <v>45237</v>
      </c>
      <c r="C719" s="730" t="inlineStr">
        <is>
          <t>มัลติแบกซ์</t>
        </is>
      </c>
      <c r="D719" s="730" t="inlineStr">
        <is>
          <t>ท่าเรือแหลมฉบัง</t>
        </is>
      </c>
      <c r="E719" s="731" t="n">
        <v>7.1</v>
      </c>
      <c r="F719" s="728" t="inlineStr">
        <is>
          <t>Km</t>
        </is>
      </c>
      <c r="G719" s="728" t="inlineStr">
        <is>
          <t>รถเทรลเลอร์</t>
        </is>
      </c>
      <c r="H719" s="728" t="inlineStr">
        <is>
          <t>JACKSONVILLE IL, USA</t>
        </is>
      </c>
      <c r="I719" s="733" t="n">
        <v>15168</v>
      </c>
      <c r="J719" s="732" t="inlineStr">
        <is>
          <t>Km</t>
        </is>
      </c>
      <c r="K719" s="734" t="n">
        <v>3860</v>
      </c>
      <c r="L719" s="741">
        <f>M719-K719</f>
        <v/>
      </c>
      <c r="M719" s="739" t="n">
        <v>24084.2</v>
      </c>
      <c r="N719" s="1772" t="n">
        <v>16320</v>
      </c>
      <c r="O719" s="1762">
        <f>N719*E719/1000</f>
        <v/>
      </c>
      <c r="P719" s="1763">
        <f>O719/32</f>
        <v/>
      </c>
      <c r="Q719" s="1764">
        <f>N719*I719/1000</f>
        <v/>
      </c>
    </row>
    <row r="720" ht="15.75" customHeight="1">
      <c r="A720" s="756" t="inlineStr">
        <is>
          <t>FO23110017</t>
        </is>
      </c>
      <c r="B720" s="720" t="n">
        <v>45236</v>
      </c>
      <c r="C720" s="721" t="inlineStr">
        <is>
          <t>มัลติแบกซ์</t>
        </is>
      </c>
      <c r="D720" s="721" t="inlineStr">
        <is>
          <t>ท่าเรือแหลมฉบัง</t>
        </is>
      </c>
      <c r="E720" s="722" t="n">
        <v>7.1</v>
      </c>
      <c r="F720" s="719" t="inlineStr">
        <is>
          <t>Km</t>
        </is>
      </c>
      <c r="G720" s="719" t="inlineStr">
        <is>
          <t>รถเทรลเลอร์</t>
        </is>
      </c>
      <c r="H720" s="719" t="inlineStr">
        <is>
          <t>CARROLLTON TX, USA</t>
        </is>
      </c>
      <c r="I720" s="724" t="n">
        <v>14544</v>
      </c>
      <c r="J720" s="723" t="inlineStr">
        <is>
          <t>Km</t>
        </is>
      </c>
      <c r="K720" s="725" t="n">
        <v>3800</v>
      </c>
      <c r="L720" s="740">
        <f>M720-K720</f>
        <v/>
      </c>
      <c r="M720" s="738" t="n">
        <v>20162.8</v>
      </c>
      <c r="N720" s="1773" t="n">
        <v>14035</v>
      </c>
      <c r="O720" s="1762">
        <f>N720*E720/1000</f>
        <v/>
      </c>
      <c r="P720" s="1763">
        <f>O720/32</f>
        <v/>
      </c>
      <c r="Q720" s="1764">
        <f>N720*I720/1000</f>
        <v/>
      </c>
    </row>
    <row r="721" ht="15.75" customHeight="1">
      <c r="A721" s="757" t="inlineStr">
        <is>
          <t>FO23110018</t>
        </is>
      </c>
      <c r="B721" s="729" t="n">
        <v>45237</v>
      </c>
      <c r="C721" s="730" t="inlineStr">
        <is>
          <t>มัลติแบกซ์</t>
        </is>
      </c>
      <c r="D721" s="730" t="inlineStr">
        <is>
          <t>ท่าเรือแหลมฉบัง</t>
        </is>
      </c>
      <c r="E721" s="731" t="n">
        <v>4.1</v>
      </c>
      <c r="F721" s="728" t="inlineStr">
        <is>
          <t>Km</t>
        </is>
      </c>
      <c r="G721" s="728" t="inlineStr">
        <is>
          <t>รถเทรลเลอร์</t>
        </is>
      </c>
      <c r="H721" s="728" t="inlineStr">
        <is>
          <t>SOUTH BOSTON VA, USA</t>
        </is>
      </c>
      <c r="I721" s="733" t="n">
        <v>13787</v>
      </c>
      <c r="J721" s="732" t="inlineStr">
        <is>
          <t>Km</t>
        </is>
      </c>
      <c r="K721" s="734" t="n">
        <v>3700</v>
      </c>
      <c r="L721" s="741">
        <f>M721-K721</f>
        <v/>
      </c>
      <c r="M721" s="739" t="n">
        <v>20062.8</v>
      </c>
      <c r="N721" s="1772" t="n">
        <v>14035</v>
      </c>
      <c r="O721" s="1762">
        <f>N721*E721/1000</f>
        <v/>
      </c>
      <c r="P721" s="1763">
        <f>O721/32</f>
        <v/>
      </c>
      <c r="Q721" s="1764">
        <f>N721*I721/1000</f>
        <v/>
      </c>
    </row>
    <row r="722" ht="15.75" customHeight="1">
      <c r="A722" s="756" t="inlineStr">
        <is>
          <t>FO23110019</t>
        </is>
      </c>
      <c r="B722" s="720" t="n">
        <v>45246</v>
      </c>
      <c r="C722" s="721" t="inlineStr">
        <is>
          <t>มัลติแบกซ์</t>
        </is>
      </c>
      <c r="D722" s="721" t="inlineStr">
        <is>
          <t>ท่าเรือแหลมฉบัง</t>
        </is>
      </c>
      <c r="E722" s="722" t="n">
        <v>6.2</v>
      </c>
      <c r="F722" s="719" t="inlineStr">
        <is>
          <t>Km</t>
        </is>
      </c>
      <c r="G722" s="719" t="inlineStr">
        <is>
          <t>รถเทรลเลอร์</t>
        </is>
      </c>
      <c r="H722" s="719" t="inlineStr">
        <is>
          <t>SANTA TERESA, NM USA</t>
        </is>
      </c>
      <c r="I722" s="724" t="n">
        <v>17387</v>
      </c>
      <c r="J722" s="723" t="inlineStr">
        <is>
          <t>Km</t>
        </is>
      </c>
      <c r="K722" s="725" t="n">
        <v>3700</v>
      </c>
      <c r="L722" s="740">
        <f>M722-K722</f>
        <v/>
      </c>
      <c r="M722" s="738" t="n">
        <v>21879.96</v>
      </c>
      <c r="N722" s="1773" t="n">
        <v>15644.64</v>
      </c>
      <c r="O722" s="1762">
        <f>N722*E722/1000</f>
        <v/>
      </c>
      <c r="P722" s="1763">
        <f>O722/32</f>
        <v/>
      </c>
      <c r="Q722" s="1764">
        <f>N722*I722/1000</f>
        <v/>
      </c>
    </row>
    <row r="723" ht="15.75" customHeight="1">
      <c r="A723" s="757" t="inlineStr">
        <is>
          <t>FO23110020</t>
        </is>
      </c>
      <c r="B723" s="729" t="n">
        <v>45246</v>
      </c>
      <c r="C723" s="730" t="inlineStr">
        <is>
          <t>มัลติแบกซ์</t>
        </is>
      </c>
      <c r="D723" s="730" t="inlineStr">
        <is>
          <t>ท่าเรือแหลมฉบัง</t>
        </is>
      </c>
      <c r="E723" s="731" t="n">
        <v>6.2</v>
      </c>
      <c r="F723" s="728" t="inlineStr">
        <is>
          <t>Km</t>
        </is>
      </c>
      <c r="G723" s="728" t="inlineStr">
        <is>
          <t>รถเทรลเลอร์</t>
        </is>
      </c>
      <c r="H723" s="728" t="inlineStr">
        <is>
          <t>SANTA TERESA, NM USA</t>
        </is>
      </c>
      <c r="I723" s="733" t="n">
        <v>17387</v>
      </c>
      <c r="J723" s="732" t="inlineStr">
        <is>
          <t>Km</t>
        </is>
      </c>
      <c r="K723" s="734" t="n">
        <v>3900</v>
      </c>
      <c r="L723" s="741">
        <f>M723-K723</f>
        <v/>
      </c>
      <c r="M723" s="739" t="n">
        <v>22439.82</v>
      </c>
      <c r="N723" s="1772" t="n">
        <v>15857.96</v>
      </c>
      <c r="O723" s="1762">
        <f>N723*E723/1000</f>
        <v/>
      </c>
      <c r="P723" s="1763">
        <f>O723/32</f>
        <v/>
      </c>
      <c r="Q723" s="1764">
        <f>N723*I723/1000</f>
        <v/>
      </c>
    </row>
    <row r="724" ht="15.75" customHeight="1">
      <c r="A724" s="756" t="inlineStr">
        <is>
          <t>FO23110021</t>
        </is>
      </c>
      <c r="B724" s="720" t="n">
        <v>45238</v>
      </c>
      <c r="C724" s="721" t="inlineStr">
        <is>
          <t>มัลติแบกซ์</t>
        </is>
      </c>
      <c r="D724" s="721" t="inlineStr">
        <is>
          <t>ท่าเรือแหลมฉบัง</t>
        </is>
      </c>
      <c r="E724" s="722" t="n">
        <v>7.1</v>
      </c>
      <c r="F724" s="719" t="inlineStr">
        <is>
          <t>Km</t>
        </is>
      </c>
      <c r="G724" s="719" t="inlineStr">
        <is>
          <t>รถเทรลเลอร์</t>
        </is>
      </c>
      <c r="H724" s="719" t="inlineStr">
        <is>
          <t>APPLETON WI , USA</t>
        </is>
      </c>
      <c r="I724" s="724" t="n">
        <v>13558</v>
      </c>
      <c r="J724" s="723" t="inlineStr">
        <is>
          <t>Km</t>
        </is>
      </c>
      <c r="K724" s="725" t="n">
        <v>3700</v>
      </c>
      <c r="L724" s="740">
        <f>M724-K724</f>
        <v/>
      </c>
      <c r="M724" s="738" t="n">
        <v>20062.8</v>
      </c>
      <c r="N724" s="1773" t="n">
        <v>14035</v>
      </c>
      <c r="O724" s="1762">
        <f>N724*E724/1000</f>
        <v/>
      </c>
      <c r="P724" s="1763">
        <f>O724/32</f>
        <v/>
      </c>
      <c r="Q724" s="1764">
        <f>N724*I724/1000</f>
        <v/>
      </c>
    </row>
    <row r="725" ht="15.75" customHeight="1">
      <c r="A725" s="757" t="inlineStr">
        <is>
          <t>FO23110022</t>
        </is>
      </c>
      <c r="B725" s="729" t="n">
        <v>45241</v>
      </c>
      <c r="C725" s="730" t="inlineStr">
        <is>
          <t>มัลติแบกซ์</t>
        </is>
      </c>
      <c r="D725" s="730" t="inlineStr">
        <is>
          <t>ท่าเรือแหลมฉบัง</t>
        </is>
      </c>
      <c r="E725" s="731" t="n">
        <v>6.5</v>
      </c>
      <c r="F725" s="728" t="inlineStr">
        <is>
          <t>Km</t>
        </is>
      </c>
      <c r="G725" s="728" t="inlineStr">
        <is>
          <t>รถเทรลเลอร์</t>
        </is>
      </c>
      <c r="H725" s="728" t="inlineStr">
        <is>
          <t>PERRIS CA, USA</t>
        </is>
      </c>
      <c r="I725" s="733" t="n">
        <v>13413</v>
      </c>
      <c r="J725" s="732" t="inlineStr">
        <is>
          <t>Km</t>
        </is>
      </c>
      <c r="K725" s="734" t="n">
        <v>3700</v>
      </c>
      <c r="L725" s="741">
        <f>M725-K725</f>
        <v/>
      </c>
      <c r="M725" s="739" t="n">
        <v>20062.8</v>
      </c>
      <c r="N725" s="1772" t="n">
        <v>14035</v>
      </c>
      <c r="O725" s="1762">
        <f>N725*E725/1000</f>
        <v/>
      </c>
      <c r="P725" s="1763">
        <f>O725/32</f>
        <v/>
      </c>
      <c r="Q725" s="1764">
        <f>N725*I725/1000</f>
        <v/>
      </c>
    </row>
    <row r="726" ht="15.75" customHeight="1">
      <c r="A726" s="756" t="inlineStr">
        <is>
          <t>FO23110023</t>
        </is>
      </c>
      <c r="B726" s="720" t="n">
        <v>45238</v>
      </c>
      <c r="C726" s="721" t="inlineStr">
        <is>
          <t>มัลติแบกซ์</t>
        </is>
      </c>
      <c r="D726" s="721" t="inlineStr">
        <is>
          <t>ท่าเรือแหลมฉบัง</t>
        </is>
      </c>
      <c r="E726" s="722" t="n">
        <v>7.1</v>
      </c>
      <c r="F726" s="719" t="inlineStr">
        <is>
          <t>Km</t>
        </is>
      </c>
      <c r="G726" s="719" t="inlineStr">
        <is>
          <t>รถเทรลเลอร์</t>
        </is>
      </c>
      <c r="H726" s="719" t="inlineStr">
        <is>
          <t>UNIVERSITY PARK IL, USA</t>
        </is>
      </c>
      <c r="I726" s="724" t="n">
        <v>13877</v>
      </c>
      <c r="J726" s="723" t="inlineStr">
        <is>
          <t>Km</t>
        </is>
      </c>
      <c r="K726" s="725" t="n">
        <v>3840</v>
      </c>
      <c r="L726" s="740">
        <f>M726-K726</f>
        <v/>
      </c>
      <c r="M726" s="738" t="n">
        <v>23439.5</v>
      </c>
      <c r="N726" s="1773" t="n">
        <v>15795</v>
      </c>
      <c r="O726" s="1762">
        <f>N726*E726/1000</f>
        <v/>
      </c>
      <c r="P726" s="1763">
        <f>O726/32</f>
        <v/>
      </c>
      <c r="Q726" s="1764">
        <f>N726*I726/1000</f>
        <v/>
      </c>
    </row>
    <row r="727" ht="15.75" customHeight="1">
      <c r="A727" s="757" t="inlineStr">
        <is>
          <t>FO23110024</t>
        </is>
      </c>
      <c r="B727" s="729" t="n">
        <v>45240</v>
      </c>
      <c r="C727" s="730" t="inlineStr">
        <is>
          <t>มัลติแบกซ์</t>
        </is>
      </c>
      <c r="D727" s="730" t="inlineStr">
        <is>
          <t>ท่าเรือแหลมฉบัง</t>
        </is>
      </c>
      <c r="E727" s="731" t="n">
        <v>6.2</v>
      </c>
      <c r="F727" s="728" t="inlineStr">
        <is>
          <t>Km</t>
        </is>
      </c>
      <c r="G727" s="728" t="inlineStr">
        <is>
          <t>รถเทรลเลอร์</t>
        </is>
      </c>
      <c r="H727" s="728" t="inlineStr">
        <is>
          <t>UNIVERSITY PARK IL, USA</t>
        </is>
      </c>
      <c r="I727" s="733" t="n">
        <v>13877</v>
      </c>
      <c r="J727" s="732" t="inlineStr">
        <is>
          <t>Km</t>
        </is>
      </c>
      <c r="K727" s="734" t="n">
        <v>3840</v>
      </c>
      <c r="L727" s="741">
        <f>M727-K727</f>
        <v/>
      </c>
      <c r="M727" s="739" t="n">
        <v>13614.2</v>
      </c>
      <c r="N727" s="1772" t="n">
        <v>6917.4</v>
      </c>
      <c r="O727" s="1762">
        <f>N727*E727/1000</f>
        <v/>
      </c>
      <c r="P727" s="1763">
        <f>O727/32</f>
        <v/>
      </c>
      <c r="Q727" s="1764">
        <f>N727*I727/1000</f>
        <v/>
      </c>
    </row>
    <row r="728" ht="15.75" customHeight="1">
      <c r="A728" s="756" t="inlineStr">
        <is>
          <t>FO23110025</t>
        </is>
      </c>
      <c r="B728" s="720" t="n">
        <v>45237</v>
      </c>
      <c r="C728" s="721" t="inlineStr">
        <is>
          <t>มัลติแบกซ์</t>
        </is>
      </c>
      <c r="D728" s="721" t="inlineStr">
        <is>
          <t>ท่าเรือแหลมฉบัง</t>
        </is>
      </c>
      <c r="E728" s="722" t="n">
        <v>6.5</v>
      </c>
      <c r="F728" s="719" t="inlineStr">
        <is>
          <t>Km</t>
        </is>
      </c>
      <c r="G728" s="719" t="inlineStr">
        <is>
          <t>รถเทรลเลอร์</t>
        </is>
      </c>
      <c r="H728" s="719" t="inlineStr">
        <is>
          <t>MANZANILLO, MEXICO</t>
        </is>
      </c>
      <c r="I728" s="724" t="n">
        <v>15486</v>
      </c>
      <c r="J728" s="723" t="inlineStr">
        <is>
          <t>Km</t>
        </is>
      </c>
      <c r="K728" s="725" t="n">
        <v>3700</v>
      </c>
      <c r="L728" s="740">
        <f>M728-K728</f>
        <v/>
      </c>
      <c r="M728" s="738" t="n">
        <v>14187</v>
      </c>
      <c r="N728" s="1773" t="n">
        <v>7830</v>
      </c>
      <c r="O728" s="1762">
        <f>N728*E728/1000</f>
        <v/>
      </c>
      <c r="P728" s="1763">
        <f>O728/32</f>
        <v/>
      </c>
      <c r="Q728" s="1764">
        <f>N728*I728/1000</f>
        <v/>
      </c>
    </row>
    <row r="729" ht="15.75" customHeight="1">
      <c r="A729" s="757" t="inlineStr">
        <is>
          <t>FO23110026</t>
        </is>
      </c>
      <c r="B729" s="729" t="n">
        <v>45238</v>
      </c>
      <c r="C729" s="730" t="inlineStr">
        <is>
          <t>มัลติแบกซ์</t>
        </is>
      </c>
      <c r="D729" s="730" t="inlineStr">
        <is>
          <t>ท่าเรือแหลมฉบัง</t>
        </is>
      </c>
      <c r="E729" s="731" t="n">
        <v>11.9</v>
      </c>
      <c r="F729" s="728" t="inlineStr">
        <is>
          <t>Km</t>
        </is>
      </c>
      <c r="G729" s="728" t="inlineStr">
        <is>
          <t>รถเทรลเลอร์</t>
        </is>
      </c>
      <c r="H729" s="728" t="inlineStr">
        <is>
          <t>MANZANILLO, MEXICO</t>
        </is>
      </c>
      <c r="I729" s="733" t="n">
        <v>15486</v>
      </c>
      <c r="J729" s="732" t="inlineStr">
        <is>
          <t>Km</t>
        </is>
      </c>
      <c r="K729" s="734" t="n">
        <v>3840</v>
      </c>
      <c r="L729" s="741">
        <f>M729-K729</f>
        <v/>
      </c>
      <c r="M729" s="739" t="n">
        <v>12472.5</v>
      </c>
      <c r="N729" s="1772" t="n">
        <v>5936.1</v>
      </c>
      <c r="O729" s="1762">
        <f>N729*E729/1000</f>
        <v/>
      </c>
      <c r="P729" s="1763">
        <f>O729/32</f>
        <v/>
      </c>
      <c r="Q729" s="1764">
        <f>N729*I729/1000</f>
        <v/>
      </c>
    </row>
    <row r="730" ht="15.75" customHeight="1">
      <c r="A730" s="756" t="inlineStr">
        <is>
          <t>FO23110027</t>
        </is>
      </c>
      <c r="B730" s="720" t="n">
        <v>45247</v>
      </c>
      <c r="C730" s="721" t="inlineStr">
        <is>
          <t>มัลติแบกซ์</t>
        </is>
      </c>
      <c r="D730" s="721" t="inlineStr">
        <is>
          <t>ท่าเรือแหลมฉบัง</t>
        </is>
      </c>
      <c r="E730" s="722" t="n">
        <v>10.2</v>
      </c>
      <c r="F730" s="719" t="inlineStr">
        <is>
          <t>Km</t>
        </is>
      </c>
      <c r="G730" s="719" t="inlineStr">
        <is>
          <t>รถเทรลเลอร์</t>
        </is>
      </c>
      <c r="H730" s="719" t="inlineStr">
        <is>
          <t>KLANG, MALAYSIA</t>
        </is>
      </c>
      <c r="I730" s="724" t="n">
        <v>1588</v>
      </c>
      <c r="J730" s="723" t="inlineStr">
        <is>
          <t>Km</t>
        </is>
      </c>
      <c r="K730" s="725" t="n">
        <v>3700</v>
      </c>
      <c r="L730" s="740">
        <f>M730-K730</f>
        <v/>
      </c>
      <c r="M730" s="738" t="n">
        <v>13455.75</v>
      </c>
      <c r="N730" s="1773" t="n">
        <v>6885.95</v>
      </c>
      <c r="O730" s="1762">
        <f>N730*E730/1000</f>
        <v/>
      </c>
      <c r="P730" s="1763">
        <f>O730/32</f>
        <v/>
      </c>
      <c r="Q730" s="1764">
        <f>N730*I730/1000</f>
        <v/>
      </c>
    </row>
    <row r="731" ht="15.75" customHeight="1">
      <c r="A731" s="757" t="inlineStr">
        <is>
          <t>FO23110028</t>
        </is>
      </c>
      <c r="B731" s="729" t="n">
        <v>45246</v>
      </c>
      <c r="C731" s="730" t="inlineStr">
        <is>
          <t>มัลติแบกซ์</t>
        </is>
      </c>
      <c r="D731" s="730" t="inlineStr">
        <is>
          <t>ท่าเรือแหลมฉบัง</t>
        </is>
      </c>
      <c r="E731" s="731" t="n">
        <v>6</v>
      </c>
      <c r="F731" s="728" t="inlineStr">
        <is>
          <t>Km</t>
        </is>
      </c>
      <c r="G731" s="728" t="inlineStr">
        <is>
          <t>รถเทรลเลอร์</t>
        </is>
      </c>
      <c r="H731" s="728" t="inlineStr">
        <is>
          <t>COLUMBUS OHIO, USA</t>
        </is>
      </c>
      <c r="I731" s="733" t="n">
        <v>14000</v>
      </c>
      <c r="J731" s="732" t="inlineStr">
        <is>
          <t>Km</t>
        </is>
      </c>
      <c r="K731" s="734" t="n">
        <v>3700</v>
      </c>
      <c r="L731" s="741">
        <f>M731-K731</f>
        <v/>
      </c>
      <c r="M731" s="739" t="n">
        <v>22149.29</v>
      </c>
      <c r="N731" s="1772" t="n">
        <v>16007.49</v>
      </c>
      <c r="O731" s="1762">
        <f>N731*E731/1000</f>
        <v/>
      </c>
      <c r="P731" s="1763">
        <f>O731/32</f>
        <v/>
      </c>
      <c r="Q731" s="1764">
        <f>N731*I731/1000</f>
        <v/>
      </c>
    </row>
    <row r="732" ht="15.75" customHeight="1">
      <c r="A732" s="756" t="inlineStr">
        <is>
          <t>FO23110029</t>
        </is>
      </c>
      <c r="B732" s="720" t="n">
        <v>45246</v>
      </c>
      <c r="C732" s="721" t="inlineStr">
        <is>
          <t>มัลติแบกซ์</t>
        </is>
      </c>
      <c r="D732" s="721" t="inlineStr">
        <is>
          <t>ท่าเรือแหลมฉบัง</t>
        </is>
      </c>
      <c r="E732" s="722" t="n">
        <v>6</v>
      </c>
      <c r="F732" s="719" t="inlineStr">
        <is>
          <t>Km</t>
        </is>
      </c>
      <c r="G732" s="719" t="inlineStr">
        <is>
          <t>รถเทรลเลอร์</t>
        </is>
      </c>
      <c r="H732" s="719" t="inlineStr">
        <is>
          <t>COLUMBUS OHIO, USA</t>
        </is>
      </c>
      <c r="I732" s="724" t="n">
        <v>14000</v>
      </c>
      <c r="J732" s="723" t="inlineStr">
        <is>
          <t>Km</t>
        </is>
      </c>
      <c r="K732" s="725" t="n">
        <v>3700</v>
      </c>
      <c r="L732" s="740">
        <f>M732-K732</f>
        <v/>
      </c>
      <c r="M732" s="738" t="n">
        <v>21423.26</v>
      </c>
      <c r="N732" s="1773" t="n">
        <v>15479.3</v>
      </c>
      <c r="O732" s="1762">
        <f>N732*E732/1000</f>
        <v/>
      </c>
      <c r="P732" s="1763">
        <f>O732/32</f>
        <v/>
      </c>
      <c r="Q732" s="1764">
        <f>N732*I732/1000</f>
        <v/>
      </c>
    </row>
    <row r="733" ht="15.75" customHeight="1">
      <c r="A733" s="757" t="inlineStr">
        <is>
          <t>FO23110030</t>
        </is>
      </c>
      <c r="B733" s="729" t="n">
        <v>45245</v>
      </c>
      <c r="C733" s="730" t="inlineStr">
        <is>
          <t>มัลติแบกซ์</t>
        </is>
      </c>
      <c r="D733" s="730" t="inlineStr">
        <is>
          <t>ท่าเรือแหลมฉบัง</t>
        </is>
      </c>
      <c r="E733" s="731" t="n">
        <v>7.1</v>
      </c>
      <c r="F733" s="728" t="inlineStr">
        <is>
          <t>Km</t>
        </is>
      </c>
      <c r="G733" s="728" t="inlineStr">
        <is>
          <t>รถเทรลเลอร์</t>
        </is>
      </c>
      <c r="H733" s="728" t="inlineStr">
        <is>
          <t>UK PORT</t>
        </is>
      </c>
      <c r="I733" s="733" t="n">
        <v>9687</v>
      </c>
      <c r="J733" s="732" t="inlineStr">
        <is>
          <t>Km</t>
        </is>
      </c>
      <c r="K733" s="734" t="n">
        <v>3640</v>
      </c>
      <c r="L733" s="741">
        <f>M733-K733</f>
        <v/>
      </c>
      <c r="M733" s="734" t="n">
        <v>28667</v>
      </c>
      <c r="N733" s="1772" t="n">
        <v>23842</v>
      </c>
      <c r="O733" s="1762">
        <f>N733*E733/1000</f>
        <v/>
      </c>
      <c r="P733" s="1763">
        <f>O733/32</f>
        <v/>
      </c>
      <c r="Q733" s="1764">
        <f>N733*I733/1000</f>
        <v/>
      </c>
    </row>
    <row r="734" ht="15.75" customHeight="1">
      <c r="A734" s="756" t="inlineStr">
        <is>
          <t>FO23110031</t>
        </is>
      </c>
      <c r="B734" s="720" t="n">
        <v>45258</v>
      </c>
      <c r="C734" s="721" t="inlineStr">
        <is>
          <t>มัลติแบกซ์</t>
        </is>
      </c>
      <c r="D734" s="721" t="inlineStr">
        <is>
          <t>ท่าเรือแหลมฉบัง</t>
        </is>
      </c>
      <c r="E734" s="722" t="n">
        <v>6.5</v>
      </c>
      <c r="F734" s="719" t="inlineStr">
        <is>
          <t>Km</t>
        </is>
      </c>
      <c r="G734" s="719" t="inlineStr">
        <is>
          <t>รถเทรลเลอร์</t>
        </is>
      </c>
      <c r="H734" s="719" t="inlineStr">
        <is>
          <t>JACKSONVILLE IL, USA</t>
        </is>
      </c>
      <c r="I734" s="724" t="n">
        <v>15168</v>
      </c>
      <c r="J734" s="723" t="inlineStr">
        <is>
          <t>Km</t>
        </is>
      </c>
      <c r="K734" s="725" t="n">
        <v>3700</v>
      </c>
      <c r="L734" s="740">
        <f>M734-K734</f>
        <v/>
      </c>
      <c r="M734" s="738" t="n">
        <v>23924.2</v>
      </c>
      <c r="N734" s="1773" t="n">
        <v>16320</v>
      </c>
      <c r="O734" s="1762">
        <f>N734*E734/1000</f>
        <v/>
      </c>
      <c r="P734" s="1763">
        <f>O734/32</f>
        <v/>
      </c>
      <c r="Q734" s="1764">
        <f>N734*I734/1000</f>
        <v/>
      </c>
    </row>
    <row r="735" ht="15.75" customHeight="1">
      <c r="A735" s="757" t="inlineStr">
        <is>
          <t>FO23110032</t>
        </is>
      </c>
      <c r="B735" s="729" t="n">
        <v>45245</v>
      </c>
      <c r="C735" s="730" t="inlineStr">
        <is>
          <t>มัลติแบกซ์</t>
        </is>
      </c>
      <c r="D735" s="730" t="inlineStr">
        <is>
          <t>ท่าเรือแหลมฉบัง</t>
        </is>
      </c>
      <c r="E735" s="731" t="n">
        <v>6.5</v>
      </c>
      <c r="F735" s="728" t="inlineStr">
        <is>
          <t>Km</t>
        </is>
      </c>
      <c r="G735" s="728" t="inlineStr">
        <is>
          <t>รถเทรลเลอร์</t>
        </is>
      </c>
      <c r="H735" s="728" t="inlineStr">
        <is>
          <t>SYDNEY, AUSTRALIA</t>
        </is>
      </c>
      <c r="I735" s="733" t="n">
        <v>7448</v>
      </c>
      <c r="J735" s="732" t="inlineStr">
        <is>
          <t>Km</t>
        </is>
      </c>
      <c r="K735" s="734" t="n">
        <v>3700</v>
      </c>
      <c r="L735" s="741">
        <f>M735-K735</f>
        <v/>
      </c>
      <c r="M735" s="739" t="n">
        <v>24402</v>
      </c>
      <c r="N735" s="1772" t="n">
        <v>16560</v>
      </c>
      <c r="O735" s="1762">
        <f>N735*E735/1000</f>
        <v/>
      </c>
      <c r="P735" s="1763">
        <f>O735/32</f>
        <v/>
      </c>
      <c r="Q735" s="1764">
        <f>N735*I735/1000</f>
        <v/>
      </c>
    </row>
    <row r="736" ht="15.75" customHeight="1">
      <c r="A736" s="756" t="inlineStr">
        <is>
          <t>FO23110033</t>
        </is>
      </c>
      <c r="B736" s="720" t="n">
        <v>45245</v>
      </c>
      <c r="C736" s="721" t="inlineStr">
        <is>
          <t>มัลติแบกซ์</t>
        </is>
      </c>
      <c r="D736" s="721" t="inlineStr">
        <is>
          <t>ท่าเรือแหลมฉบัง</t>
        </is>
      </c>
      <c r="E736" s="722" t="n">
        <v>6.5</v>
      </c>
      <c r="F736" s="719" t="inlineStr">
        <is>
          <t>Km</t>
        </is>
      </c>
      <c r="G736" s="719" t="inlineStr">
        <is>
          <t>รถเทรลเลอร์</t>
        </is>
      </c>
      <c r="H736" s="719" t="inlineStr">
        <is>
          <t>SYDNEY, AUSTRALIA</t>
        </is>
      </c>
      <c r="I736" s="724" t="n">
        <v>7448</v>
      </c>
      <c r="J736" s="723" t="inlineStr">
        <is>
          <t>Km</t>
        </is>
      </c>
      <c r="K736" s="725" t="n">
        <v>3740</v>
      </c>
      <c r="L736" s="740">
        <f>M736-K736</f>
        <v/>
      </c>
      <c r="M736" s="738" t="n">
        <v>27752</v>
      </c>
      <c r="N736" s="1773" t="n">
        <v>19795.5</v>
      </c>
      <c r="O736" s="1762">
        <f>N736*E736/1000</f>
        <v/>
      </c>
      <c r="P736" s="1763">
        <f>O736/32</f>
        <v/>
      </c>
      <c r="Q736" s="1764">
        <f>N736*I736/1000</f>
        <v/>
      </c>
    </row>
    <row r="737" ht="15.75" customHeight="1">
      <c r="A737" s="757" t="inlineStr">
        <is>
          <t>FO23110034</t>
        </is>
      </c>
      <c r="B737" s="729" t="n">
        <v>45244</v>
      </c>
      <c r="C737" s="730" t="inlineStr">
        <is>
          <t>มัลติแบกซ์</t>
        </is>
      </c>
      <c r="D737" s="730" t="inlineStr">
        <is>
          <t>ท่าเรือแหลมฉบัง</t>
        </is>
      </c>
      <c r="E737" s="731" t="n">
        <v>6.5</v>
      </c>
      <c r="F737" s="728" t="inlineStr">
        <is>
          <t>Km</t>
        </is>
      </c>
      <c r="G737" s="728" t="inlineStr">
        <is>
          <t>รถเทรลเลอร์</t>
        </is>
      </c>
      <c r="H737" s="728" t="inlineStr">
        <is>
          <t>SYDNEY, AUSTRALIA</t>
        </is>
      </c>
      <c r="I737" s="733" t="n">
        <v>7448</v>
      </c>
      <c r="J737" s="732" t="inlineStr">
        <is>
          <t>Km</t>
        </is>
      </c>
      <c r="K737" s="734" t="n">
        <v>3700</v>
      </c>
      <c r="L737" s="741">
        <f>M737-K737</f>
        <v/>
      </c>
      <c r="M737" s="739" t="n">
        <v>37677</v>
      </c>
      <c r="N737" s="1772" t="n">
        <v>21097</v>
      </c>
      <c r="O737" s="1762">
        <f>N737*E737/1000</f>
        <v/>
      </c>
      <c r="P737" s="1763">
        <f>O737/32</f>
        <v/>
      </c>
      <c r="Q737" s="1764">
        <f>N737*I737/1000</f>
        <v/>
      </c>
    </row>
    <row r="738" ht="15.75" customHeight="1">
      <c r="A738" s="756" t="inlineStr">
        <is>
          <t>FO23110035</t>
        </is>
      </c>
      <c r="B738" s="720" t="n">
        <v>45244</v>
      </c>
      <c r="C738" s="721" t="inlineStr">
        <is>
          <t>มัลติแบกซ์</t>
        </is>
      </c>
      <c r="D738" s="721" t="inlineStr">
        <is>
          <t>ท่าเรือแหลมฉบัง</t>
        </is>
      </c>
      <c r="E738" s="722" t="n">
        <v>7.1</v>
      </c>
      <c r="F738" s="719" t="inlineStr">
        <is>
          <t>Km</t>
        </is>
      </c>
      <c r="G738" s="719" t="inlineStr">
        <is>
          <t>รถเทรลเลอร์</t>
        </is>
      </c>
      <c r="H738" s="719" t="inlineStr">
        <is>
          <t>UNIVERSITY PARK IL, USA</t>
        </is>
      </c>
      <c r="I738" s="724" t="n">
        <v>13877</v>
      </c>
      <c r="J738" s="723" t="inlineStr">
        <is>
          <t>Km</t>
        </is>
      </c>
      <c r="K738" s="725" t="n">
        <v>3700</v>
      </c>
      <c r="L738" s="740">
        <f>M738-K738</f>
        <v/>
      </c>
      <c r="M738" s="738" t="n">
        <v>14426</v>
      </c>
      <c r="N738" s="1773" t="n">
        <v>23842</v>
      </c>
      <c r="O738" s="1762">
        <f>N738*E738/1000</f>
        <v/>
      </c>
      <c r="P738" s="1763">
        <f>O738/32</f>
        <v/>
      </c>
      <c r="Q738" s="1764">
        <f>N738*I738/1000</f>
        <v/>
      </c>
    </row>
    <row r="739" ht="15.75" customHeight="1">
      <c r="A739" s="757" t="inlineStr">
        <is>
          <t>FO23110036</t>
        </is>
      </c>
      <c r="B739" s="729" t="n">
        <v>45244</v>
      </c>
      <c r="C739" s="730" t="inlineStr">
        <is>
          <t>มัลติแบกซ์</t>
        </is>
      </c>
      <c r="D739" s="730" t="inlineStr">
        <is>
          <t>ท่าเรือแหลมฉบัง</t>
        </is>
      </c>
      <c r="E739" s="731" t="n">
        <v>7.1</v>
      </c>
      <c r="F739" s="728" t="inlineStr">
        <is>
          <t>Km</t>
        </is>
      </c>
      <c r="G739" s="728" t="inlineStr">
        <is>
          <t>รถเทรลเลอร์</t>
        </is>
      </c>
      <c r="H739" s="728" t="inlineStr">
        <is>
          <t>UNIVERSITY PARK IL, USA</t>
        </is>
      </c>
      <c r="I739" s="733" t="n">
        <v>13877</v>
      </c>
      <c r="J739" s="732" t="inlineStr">
        <is>
          <t>Km</t>
        </is>
      </c>
      <c r="K739" s="734" t="n">
        <v>3840</v>
      </c>
      <c r="L739" s="741">
        <f>M739-K739</f>
        <v/>
      </c>
      <c r="M739" s="739" t="n">
        <v>14029.8</v>
      </c>
      <c r="N739" s="1772" t="n">
        <v>7660</v>
      </c>
      <c r="O739" s="1762">
        <f>N739*E739/1000</f>
        <v/>
      </c>
      <c r="P739" s="1763">
        <f>O739/32</f>
        <v/>
      </c>
      <c r="Q739" s="1764">
        <f>N739*I739/1000</f>
        <v/>
      </c>
    </row>
    <row r="740" ht="15.75" customHeight="1">
      <c r="A740" s="756" t="inlineStr">
        <is>
          <t>FO23110037</t>
        </is>
      </c>
      <c r="B740" s="720" t="n">
        <v>45243</v>
      </c>
      <c r="C740" s="721" t="inlineStr">
        <is>
          <t>มัลติแบกซ์</t>
        </is>
      </c>
      <c r="D740" s="721" t="inlineStr">
        <is>
          <t>ท่าเรือแหลมฉบัง</t>
        </is>
      </c>
      <c r="E740" s="722" t="n">
        <v>7.1</v>
      </c>
      <c r="F740" s="719" t="inlineStr">
        <is>
          <t>Km</t>
        </is>
      </c>
      <c r="G740" s="719" t="inlineStr">
        <is>
          <t>รถเทรลเลอร์</t>
        </is>
      </c>
      <c r="H740" s="719" t="inlineStr">
        <is>
          <t>MANILA, PHILIPPINES</t>
        </is>
      </c>
      <c r="I740" s="724" t="n">
        <v>2167</v>
      </c>
      <c r="J740" s="723" t="inlineStr">
        <is>
          <t>Km</t>
        </is>
      </c>
      <c r="K740" s="725" t="n">
        <v>2190</v>
      </c>
      <c r="L740" s="740">
        <f>M740-K740</f>
        <v/>
      </c>
      <c r="M740" s="738" t="n">
        <v>6655.8</v>
      </c>
      <c r="N740" s="1773" t="n">
        <v>3350.1</v>
      </c>
      <c r="O740" s="1762">
        <f>N740*E740/1000</f>
        <v/>
      </c>
      <c r="P740" s="1763">
        <f>O740/32</f>
        <v/>
      </c>
      <c r="Q740" s="1764">
        <f>N740*I740/1000</f>
        <v/>
      </c>
    </row>
    <row r="741" ht="15.75" customHeight="1">
      <c r="A741" s="757" t="inlineStr">
        <is>
          <t>FO23110038</t>
        </is>
      </c>
      <c r="B741" s="729" t="n">
        <v>45251</v>
      </c>
      <c r="C741" s="730" t="inlineStr">
        <is>
          <t>มัลติแบกซ์</t>
        </is>
      </c>
      <c r="D741" s="730" t="inlineStr">
        <is>
          <t>ท่าเรือแหลมฉบัง</t>
        </is>
      </c>
      <c r="E741" s="731" t="n">
        <v>7.1</v>
      </c>
      <c r="F741" s="728" t="inlineStr">
        <is>
          <t>Km</t>
        </is>
      </c>
      <c r="G741" s="728" t="inlineStr">
        <is>
          <t>รถเทรลเลอร์</t>
        </is>
      </c>
      <c r="H741" s="728" t="inlineStr">
        <is>
          <t>UNIVERSITY PARK IL, USA</t>
        </is>
      </c>
      <c r="I741" s="733" t="n">
        <v>13877</v>
      </c>
      <c r="J741" s="732" t="inlineStr">
        <is>
          <t>Km</t>
        </is>
      </c>
      <c r="K741" s="734" t="n">
        <v>3700</v>
      </c>
      <c r="L741" s="741">
        <f>M741-K741</f>
        <v/>
      </c>
      <c r="M741" s="739" t="n">
        <v>13474.2</v>
      </c>
      <c r="N741" s="1772" t="n">
        <v>6917.4</v>
      </c>
      <c r="O741" s="1762">
        <f>N741*E741/1000</f>
        <v/>
      </c>
      <c r="P741" s="1763">
        <f>O741/32</f>
        <v/>
      </c>
      <c r="Q741" s="1764">
        <f>N741*I741/1000</f>
        <v/>
      </c>
    </row>
    <row r="742" ht="15.75" customHeight="1">
      <c r="A742" s="756" t="inlineStr">
        <is>
          <t>FO23110039</t>
        </is>
      </c>
      <c r="B742" s="720" t="n">
        <v>45250</v>
      </c>
      <c r="C742" s="721" t="inlineStr">
        <is>
          <t>มัลติแบกซ์</t>
        </is>
      </c>
      <c r="D742" s="721" t="inlineStr">
        <is>
          <t>ท่าเรือแหลมฉบัง</t>
        </is>
      </c>
      <c r="E742" s="722" t="n">
        <v>6.5</v>
      </c>
      <c r="F742" s="719" t="inlineStr">
        <is>
          <t>Km</t>
        </is>
      </c>
      <c r="G742" s="719" t="inlineStr">
        <is>
          <t>รถเทรลเลอร์</t>
        </is>
      </c>
      <c r="H742" s="719" t="inlineStr">
        <is>
          <t>UNIVERSITY PARK IL, USA</t>
        </is>
      </c>
      <c r="I742" s="724" t="n">
        <v>13877</v>
      </c>
      <c r="J742" s="723" t="inlineStr">
        <is>
          <t>Km</t>
        </is>
      </c>
      <c r="K742" s="725" t="n">
        <v>3620</v>
      </c>
      <c r="L742" s="740">
        <f>M742-K742</f>
        <v/>
      </c>
      <c r="M742" s="738" t="n">
        <v>14346</v>
      </c>
      <c r="N742" s="1773" t="n">
        <v>8196.200000000001</v>
      </c>
      <c r="O742" s="1762">
        <f>N742*E742/1000</f>
        <v/>
      </c>
      <c r="P742" s="1763">
        <f>O742/32</f>
        <v/>
      </c>
      <c r="Q742" s="1764">
        <f>N742*I742/1000</f>
        <v/>
      </c>
    </row>
    <row r="743" ht="15.75" customHeight="1">
      <c r="A743" s="757" t="inlineStr">
        <is>
          <t>FO23110040</t>
        </is>
      </c>
      <c r="B743" s="729" t="n">
        <v>45258</v>
      </c>
      <c r="C743" s="730" t="inlineStr">
        <is>
          <t>มัลติแบกซ์</t>
        </is>
      </c>
      <c r="D743" s="730" t="inlineStr">
        <is>
          <t>ท่าเรือแหลมฉบัง</t>
        </is>
      </c>
      <c r="E743" s="731" t="n">
        <v>6.2</v>
      </c>
      <c r="F743" s="728" t="inlineStr">
        <is>
          <t>Km</t>
        </is>
      </c>
      <c r="G743" s="728" t="inlineStr">
        <is>
          <t>รถเทรลเลอร์</t>
        </is>
      </c>
      <c r="H743" s="728" t="inlineStr">
        <is>
          <t>SYDNEY, AUSTRALIA</t>
        </is>
      </c>
      <c r="I743" s="733" t="n">
        <v>7448</v>
      </c>
      <c r="J743" s="732" t="inlineStr">
        <is>
          <t>Km</t>
        </is>
      </c>
      <c r="K743" s="734" t="n">
        <v>3850</v>
      </c>
      <c r="L743" s="741">
        <f>M743-K743</f>
        <v/>
      </c>
      <c r="M743" s="739" t="n">
        <v>20902</v>
      </c>
      <c r="N743" s="1772" t="n">
        <v>12414</v>
      </c>
      <c r="O743" s="1762">
        <f>N743*E743/1000</f>
        <v/>
      </c>
      <c r="P743" s="1763">
        <f>O743/32</f>
        <v/>
      </c>
      <c r="Q743" s="1764">
        <f>N743*I743/1000</f>
        <v/>
      </c>
    </row>
    <row r="744" ht="15.75" customHeight="1">
      <c r="A744" s="756" t="inlineStr">
        <is>
          <t>FO23110041</t>
        </is>
      </c>
      <c r="B744" s="720" t="n">
        <v>45258</v>
      </c>
      <c r="C744" s="721" t="inlineStr">
        <is>
          <t>มัลติแบกซ์</t>
        </is>
      </c>
      <c r="D744" s="721" t="inlineStr">
        <is>
          <t>ท่าเรือแหลมฉบัง</t>
        </is>
      </c>
      <c r="E744" s="722" t="n">
        <v>6.2</v>
      </c>
      <c r="F744" s="719" t="inlineStr">
        <is>
          <t>Km</t>
        </is>
      </c>
      <c r="G744" s="719" t="inlineStr">
        <is>
          <t>รถเทรลเลอร์</t>
        </is>
      </c>
      <c r="H744" s="719" t="inlineStr">
        <is>
          <t>SYDNEY, AUSTRALIA</t>
        </is>
      </c>
      <c r="I744" s="724" t="n">
        <v>7448</v>
      </c>
      <c r="J744" s="723" t="inlineStr">
        <is>
          <t>Km</t>
        </is>
      </c>
      <c r="K744" s="725" t="n">
        <v>3700</v>
      </c>
      <c r="L744" s="740">
        <f>M744-K744</f>
        <v/>
      </c>
      <c r="M744" s="738" t="n">
        <v>28474.5</v>
      </c>
      <c r="N744" s="1773" t="n">
        <v>21364.5</v>
      </c>
      <c r="O744" s="1762">
        <f>N744*E744/1000</f>
        <v/>
      </c>
      <c r="P744" s="1763">
        <f>O744/32</f>
        <v/>
      </c>
      <c r="Q744" s="1764">
        <f>N744*I744/1000</f>
        <v/>
      </c>
    </row>
    <row r="745" ht="15.75" customHeight="1">
      <c r="A745" s="757" t="inlineStr">
        <is>
          <t>FO23110042</t>
        </is>
      </c>
      <c r="B745" s="729" t="n">
        <v>45258</v>
      </c>
      <c r="C745" s="730" t="inlineStr">
        <is>
          <t>มัลติแบกซ์</t>
        </is>
      </c>
      <c r="D745" s="730" t="inlineStr">
        <is>
          <t>ท่าเรือแหลมฉบัง</t>
        </is>
      </c>
      <c r="E745" s="731" t="n">
        <v>6.2</v>
      </c>
      <c r="F745" s="728" t="inlineStr">
        <is>
          <t>Km</t>
        </is>
      </c>
      <c r="G745" s="728" t="inlineStr">
        <is>
          <t>รถเทรลเลอร์</t>
        </is>
      </c>
      <c r="H745" s="728" t="inlineStr">
        <is>
          <t>SYDNEY, AUSTRALIA</t>
        </is>
      </c>
      <c r="I745" s="733" t="n">
        <v>7448</v>
      </c>
      <c r="J745" s="732" t="inlineStr">
        <is>
          <t>Km</t>
        </is>
      </c>
      <c r="K745" s="734" t="n">
        <v>3680</v>
      </c>
      <c r="L745" s="741">
        <f>M745-K745</f>
        <v/>
      </c>
      <c r="M745" s="739" t="n">
        <v>21932</v>
      </c>
      <c r="N745" s="1772" t="n">
        <v>13329</v>
      </c>
      <c r="O745" s="1762">
        <f>N745*E745/1000</f>
        <v/>
      </c>
      <c r="P745" s="1763">
        <f>O745/32</f>
        <v/>
      </c>
      <c r="Q745" s="1764">
        <f>N745*I745/1000</f>
        <v/>
      </c>
    </row>
    <row r="746" ht="15.75" customHeight="1">
      <c r="A746" s="756" t="inlineStr">
        <is>
          <t>FO23110043</t>
        </is>
      </c>
      <c r="B746" s="720" t="n">
        <v>45258</v>
      </c>
      <c r="C746" s="721" t="inlineStr">
        <is>
          <t>มัลติแบกซ์</t>
        </is>
      </c>
      <c r="D746" s="721" t="inlineStr">
        <is>
          <t>ท่าเรือแหลมฉบัง</t>
        </is>
      </c>
      <c r="E746" s="722" t="n">
        <v>6.2</v>
      </c>
      <c r="F746" s="719" t="inlineStr">
        <is>
          <t>Km</t>
        </is>
      </c>
      <c r="G746" s="719" t="inlineStr">
        <is>
          <t>รถเทรลเลอร์</t>
        </is>
      </c>
      <c r="H746" s="719" t="inlineStr">
        <is>
          <t>SYDNEY, AUSTRALIA</t>
        </is>
      </c>
      <c r="I746" s="724" t="n">
        <v>7448</v>
      </c>
      <c r="J746" s="723" t="inlineStr">
        <is>
          <t>Km</t>
        </is>
      </c>
      <c r="K746" s="725" t="n">
        <v>3660</v>
      </c>
      <c r="L746" s="740">
        <f>M746-K746</f>
        <v/>
      </c>
      <c r="M746" s="738" t="n">
        <v>20262</v>
      </c>
      <c r="N746" s="1773" t="n">
        <v>9813.5</v>
      </c>
      <c r="O746" s="1762">
        <f>N746*E746/1000</f>
        <v/>
      </c>
      <c r="P746" s="1763">
        <f>O746/32</f>
        <v/>
      </c>
      <c r="Q746" s="1764">
        <f>N746*I746/1000</f>
        <v/>
      </c>
    </row>
    <row r="747" ht="15.75" customHeight="1">
      <c r="A747" s="757" t="inlineStr">
        <is>
          <t>FO23110044</t>
        </is>
      </c>
      <c r="B747" s="729" t="n">
        <v>45246</v>
      </c>
      <c r="C747" s="730" t="inlineStr">
        <is>
          <t>มัลติแบกซ์</t>
        </is>
      </c>
      <c r="D747" s="730" t="inlineStr">
        <is>
          <t>ท่าเรือแหลมฉบัง</t>
        </is>
      </c>
      <c r="E747" s="731" t="n">
        <v>6.2</v>
      </c>
      <c r="F747" s="728" t="inlineStr">
        <is>
          <t>Km</t>
        </is>
      </c>
      <c r="G747" s="728" t="inlineStr">
        <is>
          <t>รถเทรลเลอร์</t>
        </is>
      </c>
      <c r="H747" s="728" t="inlineStr">
        <is>
          <t>CARROLLTON TX, USA</t>
        </is>
      </c>
      <c r="I747" s="733" t="n">
        <v>14544</v>
      </c>
      <c r="J747" s="732" t="inlineStr">
        <is>
          <t>Km</t>
        </is>
      </c>
      <c r="K747" s="734" t="n">
        <v>3700</v>
      </c>
      <c r="L747" s="741">
        <f>M747-K747</f>
        <v/>
      </c>
      <c r="M747" s="739" t="n">
        <v>18597</v>
      </c>
      <c r="N747" s="1772" t="n">
        <v>12799.28</v>
      </c>
      <c r="O747" s="1762">
        <f>N747*E747/1000</f>
        <v/>
      </c>
      <c r="P747" s="1763">
        <f>O747/32</f>
        <v/>
      </c>
      <c r="Q747" s="1764">
        <f>N747*I747/1000</f>
        <v/>
      </c>
    </row>
    <row r="748" ht="15.75" customHeight="1">
      <c r="A748" s="756" t="inlineStr">
        <is>
          <t>FO23110045</t>
        </is>
      </c>
      <c r="B748" s="720" t="n">
        <v>45247</v>
      </c>
      <c r="C748" s="721" t="inlineStr">
        <is>
          <t>มัลติแบกซ์</t>
        </is>
      </c>
      <c r="D748" s="721" t="inlineStr">
        <is>
          <t>ท่าเรือแหลมฉบัง</t>
        </is>
      </c>
      <c r="E748" s="722" t="n">
        <v>7.1</v>
      </c>
      <c r="F748" s="719" t="inlineStr">
        <is>
          <t>Km</t>
        </is>
      </c>
      <c r="G748" s="719" t="inlineStr">
        <is>
          <t>รถเทรลเลอร์</t>
        </is>
      </c>
      <c r="H748" s="719" t="inlineStr">
        <is>
          <t>JACKSONVILLE IL, USA</t>
        </is>
      </c>
      <c r="I748" s="724" t="n">
        <v>15168</v>
      </c>
      <c r="J748" s="723" t="inlineStr">
        <is>
          <t>Km</t>
        </is>
      </c>
      <c r="K748" s="725" t="n">
        <v>3700</v>
      </c>
      <c r="L748" s="740">
        <f>M748-K748</f>
        <v/>
      </c>
      <c r="M748" s="738" t="n">
        <v>23924.2</v>
      </c>
      <c r="N748" s="1773" t="n">
        <v>16320</v>
      </c>
      <c r="O748" s="1762">
        <f>N748*E748/1000</f>
        <v/>
      </c>
      <c r="P748" s="1763">
        <f>O748/32</f>
        <v/>
      </c>
      <c r="Q748" s="1764">
        <f>N748*I748/1000</f>
        <v/>
      </c>
    </row>
    <row r="749" ht="15.75" customHeight="1">
      <c r="A749" s="757" t="inlineStr">
        <is>
          <t>FO23110046</t>
        </is>
      </c>
      <c r="B749" s="729" t="n">
        <v>45251</v>
      </c>
      <c r="C749" s="730" t="inlineStr">
        <is>
          <t>มัลติแบกซ์</t>
        </is>
      </c>
      <c r="D749" s="730" t="inlineStr">
        <is>
          <t>ท่าเรือแหลมฉบัง</t>
        </is>
      </c>
      <c r="E749" s="731" t="n">
        <v>7.1</v>
      </c>
      <c r="F749" s="728" t="inlineStr">
        <is>
          <t>Km</t>
        </is>
      </c>
      <c r="G749" s="728" t="inlineStr">
        <is>
          <t>รถเทรลเลอร์</t>
        </is>
      </c>
      <c r="H749" s="728" t="inlineStr">
        <is>
          <t>HAMAD, QATAR</t>
        </is>
      </c>
      <c r="I749" s="733" t="n">
        <v>5317</v>
      </c>
      <c r="J749" s="732" t="inlineStr">
        <is>
          <t>Km</t>
        </is>
      </c>
      <c r="K749" s="734" t="n">
        <v>2210</v>
      </c>
      <c r="L749" s="741">
        <f>M749-K749</f>
        <v/>
      </c>
      <c r="M749" s="739" t="n">
        <v>8923.57</v>
      </c>
      <c r="N749" s="1772" t="n">
        <v>5576.93</v>
      </c>
      <c r="O749" s="1762">
        <f>N749*E749/1000</f>
        <v/>
      </c>
      <c r="P749" s="1763">
        <f>O749/32</f>
        <v/>
      </c>
      <c r="Q749" s="1764">
        <f>N749*I749/1000</f>
        <v/>
      </c>
    </row>
    <row r="750" ht="15.75" customHeight="1">
      <c r="A750" s="756" t="inlineStr">
        <is>
          <t>FO23110047</t>
        </is>
      </c>
      <c r="B750" s="720" t="n">
        <v>45251</v>
      </c>
      <c r="C750" s="721" t="inlineStr">
        <is>
          <t>มัลติแบกซ์</t>
        </is>
      </c>
      <c r="D750" s="721" t="inlineStr">
        <is>
          <t>ท่าเรือแหลมฉบัง</t>
        </is>
      </c>
      <c r="E750" s="722" t="n">
        <v>10.2</v>
      </c>
      <c r="F750" s="719" t="inlineStr">
        <is>
          <t>Km</t>
        </is>
      </c>
      <c r="G750" s="719" t="inlineStr">
        <is>
          <t>รถเทรลเลอร์</t>
        </is>
      </c>
      <c r="H750" s="719" t="inlineStr">
        <is>
          <t>SHANGHAI, CHINA</t>
        </is>
      </c>
      <c r="I750" s="724" t="n">
        <v>3943</v>
      </c>
      <c r="J750" s="723" t="inlineStr">
        <is>
          <t>Km</t>
        </is>
      </c>
      <c r="K750" s="725" t="n">
        <v>3670</v>
      </c>
      <c r="L750" s="740">
        <f>M750-K750</f>
        <v/>
      </c>
      <c r="M750" s="738" t="n">
        <v>17162.6</v>
      </c>
      <c r="N750" s="1773" t="n">
        <v>10281.6</v>
      </c>
      <c r="O750" s="1762">
        <f>N750*E750/1000</f>
        <v/>
      </c>
      <c r="P750" s="1763">
        <f>O750/32</f>
        <v/>
      </c>
      <c r="Q750" s="1764">
        <f>N750*I750/1000</f>
        <v/>
      </c>
    </row>
    <row r="751" ht="15.75" customHeight="1">
      <c r="A751" s="757" t="inlineStr">
        <is>
          <t>FO23110048</t>
        </is>
      </c>
      <c r="B751" s="729" t="n">
        <v>45251</v>
      </c>
      <c r="C751" s="730" t="inlineStr">
        <is>
          <t>มัลติแบกซ์</t>
        </is>
      </c>
      <c r="D751" s="730" t="inlineStr">
        <is>
          <t>ท่าเรือแหลมฉบัง</t>
        </is>
      </c>
      <c r="E751" s="731" t="n">
        <v>10.2</v>
      </c>
      <c r="F751" s="728" t="inlineStr">
        <is>
          <t>Km</t>
        </is>
      </c>
      <c r="G751" s="728" t="inlineStr">
        <is>
          <t>รถเทรลเลอร์</t>
        </is>
      </c>
      <c r="H751" s="728" t="inlineStr">
        <is>
          <t>SHANGHAI, CHINA</t>
        </is>
      </c>
      <c r="I751" s="733" t="n">
        <v>3943</v>
      </c>
      <c r="J751" s="732" t="inlineStr">
        <is>
          <t>Km</t>
        </is>
      </c>
      <c r="K751" s="734" t="n">
        <v>3900</v>
      </c>
      <c r="L751" s="741">
        <f>M751-K751</f>
        <v/>
      </c>
      <c r="M751" s="739" t="n">
        <v>17392.6</v>
      </c>
      <c r="N751" s="1772" t="n">
        <v>10281.6</v>
      </c>
      <c r="O751" s="1762">
        <f>N751*E751/1000</f>
        <v/>
      </c>
      <c r="P751" s="1763">
        <f>O751/32</f>
        <v/>
      </c>
      <c r="Q751" s="1764">
        <f>N751*I751/1000</f>
        <v/>
      </c>
    </row>
    <row r="752" ht="15.75" customHeight="1">
      <c r="A752" s="756" t="inlineStr">
        <is>
          <t>FO23110049</t>
        </is>
      </c>
      <c r="B752" s="720" t="n">
        <v>45253</v>
      </c>
      <c r="C752" s="721" t="inlineStr">
        <is>
          <t>มัลติแบกซ์</t>
        </is>
      </c>
      <c r="D752" s="721" t="inlineStr">
        <is>
          <t>ท่าเรือแหลมฉบัง</t>
        </is>
      </c>
      <c r="E752" s="722" t="n">
        <v>6</v>
      </c>
      <c r="F752" s="719" t="inlineStr">
        <is>
          <t>Km</t>
        </is>
      </c>
      <c r="G752" s="719" t="inlineStr">
        <is>
          <t>รถเทรลเลอร์</t>
        </is>
      </c>
      <c r="H752" s="719" t="inlineStr">
        <is>
          <t>KLANG, MALAYSIA</t>
        </is>
      </c>
      <c r="I752" s="724" t="n">
        <v>1588</v>
      </c>
      <c r="J752" s="723" t="inlineStr">
        <is>
          <t>Km</t>
        </is>
      </c>
      <c r="K752" s="725" t="n">
        <v>2210</v>
      </c>
      <c r="L752" s="740">
        <f>M752-K752</f>
        <v/>
      </c>
      <c r="M752" s="738" t="n">
        <v>6646.3</v>
      </c>
      <c r="N752" s="1773" t="n">
        <v>3308.68</v>
      </c>
      <c r="O752" s="1762">
        <f>N752*E752/1000</f>
        <v/>
      </c>
      <c r="P752" s="1763">
        <f>O752/32</f>
        <v/>
      </c>
      <c r="Q752" s="1764">
        <f>N752*I752/1000</f>
        <v/>
      </c>
    </row>
    <row r="753" ht="15.75" customHeight="1">
      <c r="A753" s="757" t="inlineStr">
        <is>
          <t>FO23110050</t>
        </is>
      </c>
      <c r="B753" s="729" t="n">
        <v>45257</v>
      </c>
      <c r="C753" s="730" t="inlineStr">
        <is>
          <t>มัลติแบกซ์</t>
        </is>
      </c>
      <c r="D753" s="730" t="inlineStr">
        <is>
          <t>ท่าเรือแหลมฉบัง</t>
        </is>
      </c>
      <c r="E753" s="731" t="n">
        <v>6</v>
      </c>
      <c r="F753" s="728" t="inlineStr">
        <is>
          <t>Km</t>
        </is>
      </c>
      <c r="G753" s="728" t="inlineStr">
        <is>
          <t>รถเทรลเลอร์</t>
        </is>
      </c>
      <c r="H753" s="728" t="inlineStr">
        <is>
          <t>SOHAR, OMAN</t>
        </is>
      </c>
      <c r="I753" s="733" t="n">
        <v>4795</v>
      </c>
      <c r="J753" s="732" t="inlineStr">
        <is>
          <t>Km</t>
        </is>
      </c>
      <c r="K753" s="734" t="n">
        <v>2230</v>
      </c>
      <c r="L753" s="741">
        <f>M753-K753</f>
        <v/>
      </c>
      <c r="M753" s="739" t="n">
        <v>8940.42</v>
      </c>
      <c r="N753" s="1772" t="n">
        <v>5709.37</v>
      </c>
      <c r="O753" s="1762">
        <f>N753*E753/1000</f>
        <v/>
      </c>
      <c r="P753" s="1763">
        <f>O753/32</f>
        <v/>
      </c>
      <c r="Q753" s="1764">
        <f>N753*I753/1000</f>
        <v/>
      </c>
    </row>
    <row r="754" ht="15.75" customHeight="1">
      <c r="A754" s="756" t="inlineStr">
        <is>
          <t>FO23110051</t>
        </is>
      </c>
      <c r="B754" s="720" t="n">
        <v>45258</v>
      </c>
      <c r="C754" s="721" t="inlineStr">
        <is>
          <t>มัลติแบกซ์</t>
        </is>
      </c>
      <c r="D754" s="721" t="inlineStr">
        <is>
          <t>ท่าเรือแหลมฉบัง</t>
        </is>
      </c>
      <c r="E754" s="722" t="n">
        <v>7.1</v>
      </c>
      <c r="F754" s="719" t="inlineStr">
        <is>
          <t>Km</t>
        </is>
      </c>
      <c r="G754" s="719" t="inlineStr">
        <is>
          <t>รถเทรลเลอร์</t>
        </is>
      </c>
      <c r="H754" s="719" t="inlineStr">
        <is>
          <t>AJMAN PORT, UAE</t>
        </is>
      </c>
      <c r="I754" s="724" t="n">
        <v>4929</v>
      </c>
      <c r="J754" s="723" t="inlineStr">
        <is>
          <t>Km</t>
        </is>
      </c>
      <c r="K754" s="725" t="n">
        <v>3600</v>
      </c>
      <c r="L754" s="740">
        <f>M754-K754</f>
        <v/>
      </c>
      <c r="M754" s="738" t="n">
        <v>19779.03</v>
      </c>
      <c r="N754" s="1773" t="n">
        <v>14387.07</v>
      </c>
      <c r="O754" s="1762">
        <f>N754*E754/1000</f>
        <v/>
      </c>
      <c r="P754" s="1763">
        <f>O754/32</f>
        <v/>
      </c>
      <c r="Q754" s="1764">
        <f>N754*I754/1000</f>
        <v/>
      </c>
    </row>
    <row r="755" ht="15.75" customHeight="1">
      <c r="A755" s="757" t="inlineStr">
        <is>
          <t>FO23110052</t>
        </is>
      </c>
      <c r="B755" s="729" t="n">
        <v>45258</v>
      </c>
      <c r="C755" s="730" t="inlineStr">
        <is>
          <t>มัลติแบกซ์</t>
        </is>
      </c>
      <c r="D755" s="730" t="inlineStr">
        <is>
          <t>ท่าเรือแหลมฉบัง</t>
        </is>
      </c>
      <c r="E755" s="731" t="n">
        <v>7.1</v>
      </c>
      <c r="F755" s="728" t="inlineStr">
        <is>
          <t>Km</t>
        </is>
      </c>
      <c r="G755" s="728" t="inlineStr">
        <is>
          <t>รถเทรลเลอร์</t>
        </is>
      </c>
      <c r="H755" s="728" t="inlineStr">
        <is>
          <t>AJMAN PORT, UAE</t>
        </is>
      </c>
      <c r="I755" s="733" t="n">
        <v>4929</v>
      </c>
      <c r="J755" s="732" t="inlineStr">
        <is>
          <t>Km</t>
        </is>
      </c>
      <c r="K755" s="734" t="n">
        <v>3640</v>
      </c>
      <c r="L755" s="741">
        <f>M755-K755</f>
        <v/>
      </c>
      <c r="M755" s="739" t="n">
        <v>15781.4</v>
      </c>
      <c r="N755" s="1772" t="n">
        <v>9995</v>
      </c>
      <c r="O755" s="1762">
        <f>N755*E755/1000</f>
        <v/>
      </c>
      <c r="P755" s="1763">
        <f>O755/32</f>
        <v/>
      </c>
      <c r="Q755" s="1764">
        <f>N755*I755/1000</f>
        <v/>
      </c>
    </row>
    <row r="756" ht="15.75" customHeight="1">
      <c r="A756" s="756" t="inlineStr">
        <is>
          <t>FO23110053</t>
        </is>
      </c>
      <c r="B756" s="720" t="n">
        <v>45258</v>
      </c>
      <c r="C756" s="721" t="inlineStr">
        <is>
          <t>มัลติแบกซ์</t>
        </is>
      </c>
      <c r="D756" s="721" t="inlineStr">
        <is>
          <t>ท่าเรือแหลมฉบัง</t>
        </is>
      </c>
      <c r="E756" s="722" t="n">
        <v>7.1</v>
      </c>
      <c r="F756" s="719" t="inlineStr">
        <is>
          <t>Km</t>
        </is>
      </c>
      <c r="G756" s="719" t="inlineStr">
        <is>
          <t>รถเทรลเลอร์</t>
        </is>
      </c>
      <c r="H756" s="719" t="inlineStr">
        <is>
          <t>AJMAN PORT, UAE</t>
        </is>
      </c>
      <c r="I756" s="724" t="n">
        <v>4929</v>
      </c>
      <c r="J756" s="723" t="inlineStr">
        <is>
          <t>Km</t>
        </is>
      </c>
      <c r="K756" s="725" t="n">
        <v>2160</v>
      </c>
      <c r="L756" s="740">
        <f>M756-K756</f>
        <v/>
      </c>
      <c r="M756" s="738" t="n">
        <v>8585.6</v>
      </c>
      <c r="N756" s="1773" t="n">
        <v>5194.4</v>
      </c>
      <c r="O756" s="1762">
        <f>N756*E756/1000</f>
        <v/>
      </c>
      <c r="P756" s="1763">
        <f>O756/32</f>
        <v/>
      </c>
      <c r="Q756" s="1764">
        <f>N756*I756/1000</f>
        <v/>
      </c>
    </row>
    <row r="757" ht="15.75" customHeight="1">
      <c r="A757" s="757" t="inlineStr">
        <is>
          <t>FO23110054</t>
        </is>
      </c>
      <c r="B757" s="729" t="n">
        <v>45257</v>
      </c>
      <c r="C757" s="730" t="inlineStr">
        <is>
          <t>มัลติแบกซ์</t>
        </is>
      </c>
      <c r="D757" s="730" t="inlineStr">
        <is>
          <t>ท่าเรือแหลมฉบัง</t>
        </is>
      </c>
      <c r="E757" s="731" t="n">
        <v>6</v>
      </c>
      <c r="F757" s="728" t="inlineStr">
        <is>
          <t>Km</t>
        </is>
      </c>
      <c r="G757" s="728" t="inlineStr">
        <is>
          <t>รถเทรลเลอร์</t>
        </is>
      </c>
      <c r="H757" s="728" t="inlineStr">
        <is>
          <t>SHUWAIKH, KUWAIT</t>
        </is>
      </c>
      <c r="I757" s="733" t="n">
        <v>5727</v>
      </c>
      <c r="J757" s="732" t="inlineStr">
        <is>
          <t>Km</t>
        </is>
      </c>
      <c r="K757" s="734" t="n">
        <v>3650</v>
      </c>
      <c r="L757" s="741">
        <f>M757-K757</f>
        <v/>
      </c>
      <c r="M757" s="739" t="n">
        <v>18190.98</v>
      </c>
      <c r="N757" s="1772" t="n">
        <v>12456.82</v>
      </c>
      <c r="O757" s="1762">
        <f>N757*E757/1000</f>
        <v/>
      </c>
      <c r="P757" s="1763">
        <f>O757/32</f>
        <v/>
      </c>
      <c r="Q757" s="1764">
        <f>N757*I757/1000</f>
        <v/>
      </c>
    </row>
    <row r="758" ht="15.75" customHeight="1">
      <c r="A758" s="756" t="inlineStr">
        <is>
          <t>FO23110055</t>
        </is>
      </c>
      <c r="B758" s="720" t="n">
        <v>45253</v>
      </c>
      <c r="C758" s="721" t="inlineStr">
        <is>
          <t>มัลติแบกซ์</t>
        </is>
      </c>
      <c r="D758" s="721" t="inlineStr">
        <is>
          <t>ท่าเรือแหลมฉบัง</t>
        </is>
      </c>
      <c r="E758" s="722" t="n">
        <v>5.3</v>
      </c>
      <c r="F758" s="719" t="inlineStr">
        <is>
          <t>Km</t>
        </is>
      </c>
      <c r="G758" s="719" t="inlineStr">
        <is>
          <t>รถเทรลเลอร์</t>
        </is>
      </c>
      <c r="H758" s="719" t="inlineStr">
        <is>
          <t>HONG KONG</t>
        </is>
      </c>
      <c r="I758" s="724" t="n">
        <v>1734</v>
      </c>
      <c r="J758" s="723" t="inlineStr">
        <is>
          <t>Km</t>
        </is>
      </c>
      <c r="K758" s="725" t="n">
        <v>3860</v>
      </c>
      <c r="L758" s="740">
        <f>M758-K758</f>
        <v/>
      </c>
      <c r="M758" s="738" t="n">
        <v>15871.1</v>
      </c>
      <c r="N758" s="1773" t="n">
        <v>9118.5</v>
      </c>
      <c r="O758" s="1762">
        <f>N758*E758/1000</f>
        <v/>
      </c>
      <c r="P758" s="1763">
        <f>O758/32</f>
        <v/>
      </c>
      <c r="Q758" s="1764">
        <f>N758*I758/1000</f>
        <v/>
      </c>
    </row>
    <row r="759" ht="15.75" customHeight="1">
      <c r="A759" s="757" t="inlineStr">
        <is>
          <t>FO23110056</t>
        </is>
      </c>
      <c r="B759" s="729" t="n">
        <v>45253</v>
      </c>
      <c r="C759" s="730" t="inlineStr">
        <is>
          <t>มัลติแบกซ์</t>
        </is>
      </c>
      <c r="D759" s="730" t="inlineStr">
        <is>
          <t>ท่าเรือแหลมฉบัง</t>
        </is>
      </c>
      <c r="E759" s="731" t="n">
        <v>3.6</v>
      </c>
      <c r="F759" s="728" t="inlineStr">
        <is>
          <t>Km</t>
        </is>
      </c>
      <c r="G759" s="728" t="inlineStr">
        <is>
          <t>รถเทรลเลอร์</t>
        </is>
      </c>
      <c r="H759" s="728" t="inlineStr">
        <is>
          <t>BUSAN, KOREA</t>
        </is>
      </c>
      <c r="I759" s="733" t="n">
        <v>3740</v>
      </c>
      <c r="J759" s="732" t="inlineStr">
        <is>
          <t>Km</t>
        </is>
      </c>
      <c r="K759" s="734" t="n">
        <v>3850</v>
      </c>
      <c r="L759" s="741">
        <f>M759-K759</f>
        <v/>
      </c>
      <c r="M759" s="739" t="n">
        <v>8569.959999999999</v>
      </c>
      <c r="N759" s="1772" t="n">
        <v>3043.84</v>
      </c>
      <c r="O759" s="1762">
        <f>N759*E759/1000</f>
        <v/>
      </c>
      <c r="P759" s="1763">
        <f>O759/32</f>
        <v/>
      </c>
      <c r="Q759" s="1764">
        <f>N759*I759/1000</f>
        <v/>
      </c>
    </row>
    <row r="760" ht="15.75" customHeight="1">
      <c r="A760" s="756" t="inlineStr">
        <is>
          <t>FO23110057</t>
        </is>
      </c>
      <c r="B760" s="720" t="n">
        <v>45253</v>
      </c>
      <c r="C760" s="721" t="inlineStr">
        <is>
          <t>มัลติแบกซ์</t>
        </is>
      </c>
      <c r="D760" s="721" t="inlineStr">
        <is>
          <t>ท่าเรือแหลมฉบัง</t>
        </is>
      </c>
      <c r="E760" s="722" t="n">
        <v>3.6</v>
      </c>
      <c r="F760" s="719" t="inlineStr">
        <is>
          <t>Km</t>
        </is>
      </c>
      <c r="G760" s="719" t="inlineStr">
        <is>
          <t>รถเทรลเลอร์</t>
        </is>
      </c>
      <c r="H760" s="719" t="inlineStr">
        <is>
          <t>BUSAN, KOREA</t>
        </is>
      </c>
      <c r="I760" s="724" t="n">
        <v>3740</v>
      </c>
      <c r="J760" s="723" t="inlineStr">
        <is>
          <t>Km</t>
        </is>
      </c>
      <c r="K760" s="725" t="n">
        <v>3730</v>
      </c>
      <c r="L760" s="740">
        <f>M760-K760</f>
        <v/>
      </c>
      <c r="M760" s="738" t="n">
        <v>10107.2</v>
      </c>
      <c r="N760" s="1773" t="n">
        <v>4403.7</v>
      </c>
      <c r="O760" s="1762">
        <f>N760*E760/1000</f>
        <v/>
      </c>
      <c r="P760" s="1763">
        <f>O760/32</f>
        <v/>
      </c>
      <c r="Q760" s="1764">
        <f>N760*I760/1000</f>
        <v/>
      </c>
    </row>
    <row r="761" ht="15.75" customHeight="1">
      <c r="A761" s="757" t="inlineStr">
        <is>
          <t>FO23110058</t>
        </is>
      </c>
      <c r="B761" s="729" t="n">
        <v>45255</v>
      </c>
      <c r="C761" s="730" t="inlineStr">
        <is>
          <t>มัลติแบกซ์</t>
        </is>
      </c>
      <c r="D761" s="730" t="inlineStr">
        <is>
          <t>ท่าเรือแหลมฉบัง</t>
        </is>
      </c>
      <c r="E761" s="731" t="n">
        <v>10.2</v>
      </c>
      <c r="F761" s="728" t="inlineStr">
        <is>
          <t>Km</t>
        </is>
      </c>
      <c r="G761" s="728" t="inlineStr">
        <is>
          <t>รถเทรลเลอร์</t>
        </is>
      </c>
      <c r="H761" s="728" t="inlineStr">
        <is>
          <t>GUANGZHOU, CHINA</t>
        </is>
      </c>
      <c r="I761" s="733" t="n">
        <v>2597</v>
      </c>
      <c r="J761" s="732" t="inlineStr">
        <is>
          <t>Km</t>
        </is>
      </c>
      <c r="K761" s="734" t="n">
        <v>3590</v>
      </c>
      <c r="L761" s="741">
        <f>M761-K761</f>
        <v/>
      </c>
      <c r="M761" s="739" t="n">
        <v>17223.6</v>
      </c>
      <c r="N761" s="1772" t="n">
        <v>11163</v>
      </c>
      <c r="O761" s="1762">
        <f>N761*E761/1000</f>
        <v/>
      </c>
      <c r="P761" s="1763">
        <f>O761/32</f>
        <v/>
      </c>
      <c r="Q761" s="1764">
        <f>N761*I761/1000</f>
        <v/>
      </c>
    </row>
    <row r="762" ht="15.75" customHeight="1">
      <c r="A762" s="756" t="inlineStr">
        <is>
          <t>FO23110059</t>
        </is>
      </c>
      <c r="B762" s="720" t="n">
        <v>45250</v>
      </c>
      <c r="C762" s="721" t="inlineStr">
        <is>
          <t>มัลติแบกซ์</t>
        </is>
      </c>
      <c r="D762" s="721" t="inlineStr">
        <is>
          <t>ท่าเรือแหลมฉบัง</t>
        </is>
      </c>
      <c r="E762" s="722" t="n">
        <v>6.5</v>
      </c>
      <c r="F762" s="719" t="inlineStr">
        <is>
          <t>Km</t>
        </is>
      </c>
      <c r="G762" s="719" t="inlineStr">
        <is>
          <t>รถเทรลเลอร์</t>
        </is>
      </c>
      <c r="H762" s="719" t="inlineStr">
        <is>
          <t>UK PORT</t>
        </is>
      </c>
      <c r="I762" s="724" t="n">
        <v>9687</v>
      </c>
      <c r="J762" s="723" t="inlineStr">
        <is>
          <t>Km</t>
        </is>
      </c>
      <c r="K762" s="725" t="n">
        <v>3700</v>
      </c>
      <c r="L762" s="740">
        <f>M762-K762</f>
        <v/>
      </c>
      <c r="M762" s="738" t="n">
        <v>23476.4</v>
      </c>
      <c r="N762" s="1773" t="n">
        <v>18319.2</v>
      </c>
      <c r="O762" s="1762">
        <f>N762*E762/1000</f>
        <v/>
      </c>
      <c r="P762" s="1763">
        <f>O762/32</f>
        <v/>
      </c>
      <c r="Q762" s="1764">
        <f>N762*I762/1000</f>
        <v/>
      </c>
    </row>
    <row r="763" ht="15.75" customHeight="1">
      <c r="A763" s="757" t="inlineStr">
        <is>
          <t>FO23110060</t>
        </is>
      </c>
      <c r="B763" s="729" t="n">
        <v>45259</v>
      </c>
      <c r="C763" s="730" t="inlineStr">
        <is>
          <t>มัลติแบกซ์</t>
        </is>
      </c>
      <c r="D763" s="730" t="inlineStr">
        <is>
          <t>ท่าเรือแหลมฉบัง</t>
        </is>
      </c>
      <c r="E763" s="731" t="n">
        <v>7.1</v>
      </c>
      <c r="F763" s="728" t="inlineStr">
        <is>
          <t>Km</t>
        </is>
      </c>
      <c r="G763" s="728" t="inlineStr">
        <is>
          <t>รถเทรลเลอร์</t>
        </is>
      </c>
      <c r="H763" s="728" t="inlineStr">
        <is>
          <t>AUCKLAND, NEW ZEALAND</t>
        </is>
      </c>
      <c r="I763" s="733" t="n">
        <v>9486</v>
      </c>
      <c r="J763" s="732" t="inlineStr">
        <is>
          <t>Km</t>
        </is>
      </c>
      <c r="K763" s="734" t="n">
        <v>3700</v>
      </c>
      <c r="L763" s="741">
        <f>M763-K763</f>
        <v/>
      </c>
      <c r="M763" s="739" t="n">
        <v>21236.8</v>
      </c>
      <c r="N763" s="1772" t="n">
        <v>12730</v>
      </c>
      <c r="O763" s="1762">
        <f>N763*E763/1000</f>
        <v/>
      </c>
      <c r="P763" s="1763">
        <f>O763/32</f>
        <v/>
      </c>
      <c r="Q763" s="1764">
        <f>N763*I763/1000</f>
        <v/>
      </c>
    </row>
    <row r="764" ht="15.75" customHeight="1">
      <c r="A764" s="756" t="inlineStr">
        <is>
          <t>FO23110061</t>
        </is>
      </c>
      <c r="B764" s="720" t="n">
        <v>45259</v>
      </c>
      <c r="C764" s="721" t="inlineStr">
        <is>
          <t>มัลติแบกซ์</t>
        </is>
      </c>
      <c r="D764" s="721" t="inlineStr">
        <is>
          <t>ท่าเรือแหลมฉบัง</t>
        </is>
      </c>
      <c r="E764" s="722" t="n">
        <v>7.1</v>
      </c>
      <c r="F764" s="719" t="inlineStr">
        <is>
          <t>Km</t>
        </is>
      </c>
      <c r="G764" s="719" t="inlineStr">
        <is>
          <t>รถเทรลเลอร์</t>
        </is>
      </c>
      <c r="H764" s="719" t="inlineStr">
        <is>
          <t>AUCKLAND, NEW ZEALAND</t>
        </is>
      </c>
      <c r="I764" s="724" t="n">
        <v>9486</v>
      </c>
      <c r="J764" s="723" t="inlineStr">
        <is>
          <t>Km</t>
        </is>
      </c>
      <c r="K764" s="725" t="n">
        <v>3840</v>
      </c>
      <c r="L764" s="740">
        <f>M764-K764</f>
        <v/>
      </c>
      <c r="M764" s="738" t="n">
        <v>21935</v>
      </c>
      <c r="N764" s="1773" t="n">
        <v>14535.8</v>
      </c>
      <c r="O764" s="1762">
        <f>N764*E764/1000</f>
        <v/>
      </c>
      <c r="P764" s="1763">
        <f>O764/32</f>
        <v/>
      </c>
      <c r="Q764" s="1764">
        <f>N764*I764/1000</f>
        <v/>
      </c>
    </row>
    <row r="765" ht="15.75" customHeight="1">
      <c r="A765" s="257" t="inlineStr">
        <is>
          <t>FO23110062</t>
        </is>
      </c>
      <c r="B765" s="748" t="n">
        <v>45251</v>
      </c>
      <c r="C765" s="1397" t="inlineStr">
        <is>
          <t>มัลติแบกซ์</t>
        </is>
      </c>
      <c r="D765" s="1397" t="inlineStr">
        <is>
          <t>ท่าเรือแหลมฉบัง</t>
        </is>
      </c>
      <c r="E765" s="752" t="n">
        <v>7.1</v>
      </c>
      <c r="F765" s="257" t="inlineStr">
        <is>
          <t>Km</t>
        </is>
      </c>
      <c r="G765" s="257" t="inlineStr">
        <is>
          <t>รถเทรลเลอร์</t>
        </is>
      </c>
      <c r="H765" s="257" t="inlineStr">
        <is>
          <t>AUCKLAND, NEW ZEALAND</t>
        </is>
      </c>
      <c r="I765" s="749" t="n">
        <v>9486</v>
      </c>
      <c r="J765" s="258" t="inlineStr">
        <is>
          <t>Km</t>
        </is>
      </c>
      <c r="K765" s="753" t="n">
        <v>3700</v>
      </c>
      <c r="L765" s="754" t="n">
        <v>17094</v>
      </c>
      <c r="M765" s="755" t="n">
        <v>20794</v>
      </c>
      <c r="N765" s="1674" t="n">
        <v>12669.6</v>
      </c>
      <c r="O765" s="1762">
        <f>N765*E765/1000</f>
        <v/>
      </c>
      <c r="P765" s="1763">
        <f>O765/32</f>
        <v/>
      </c>
      <c r="Q765" s="1764">
        <f>N765*I765/1000</f>
        <v/>
      </c>
    </row>
    <row r="766" ht="15.75" customHeight="1">
      <c r="A766" s="756" t="inlineStr">
        <is>
          <t>FO23110063</t>
        </is>
      </c>
      <c r="B766" s="720" t="n">
        <v>45253</v>
      </c>
      <c r="C766" s="721" t="inlineStr">
        <is>
          <t>มัลติแบกซ์</t>
        </is>
      </c>
      <c r="D766" s="721" t="inlineStr">
        <is>
          <t>ท่าเรือแหลมฉบัง</t>
        </is>
      </c>
      <c r="E766" s="722" t="n">
        <v>6.2</v>
      </c>
      <c r="F766" s="719" t="inlineStr">
        <is>
          <t>Km</t>
        </is>
      </c>
      <c r="G766" s="719" t="inlineStr">
        <is>
          <t>รถเทรลเลอร์</t>
        </is>
      </c>
      <c r="H766" s="719" t="inlineStr">
        <is>
          <t>LOUISVILLE KY, USA</t>
        </is>
      </c>
      <c r="I766" s="724" t="n">
        <v>14253</v>
      </c>
      <c r="J766" s="723" t="inlineStr">
        <is>
          <t>Km</t>
        </is>
      </c>
      <c r="K766" s="725" t="n">
        <v>3900</v>
      </c>
      <c r="L766" s="740">
        <f>M766-K766</f>
        <v/>
      </c>
      <c r="M766" s="738" t="n">
        <v>15283.54</v>
      </c>
      <c r="N766" s="1773" t="n">
        <v>8514.09</v>
      </c>
      <c r="O766" s="1762">
        <f>N766*E766/1000</f>
        <v/>
      </c>
      <c r="P766" s="1763">
        <f>O766/32</f>
        <v/>
      </c>
      <c r="Q766" s="1764">
        <f>N766*I766/1000</f>
        <v/>
      </c>
    </row>
    <row r="767" ht="15.75" customHeight="1">
      <c r="A767" s="757" t="inlineStr">
        <is>
          <t>FO23110064</t>
        </is>
      </c>
      <c r="B767" s="729" t="n">
        <v>45253</v>
      </c>
      <c r="C767" s="730" t="inlineStr">
        <is>
          <t>มัลติแบกซ์</t>
        </is>
      </c>
      <c r="D767" s="730" t="inlineStr">
        <is>
          <t>ท่าเรือแหลมฉบัง</t>
        </is>
      </c>
      <c r="E767" s="731" t="n">
        <v>6.2</v>
      </c>
      <c r="F767" s="728" t="inlineStr">
        <is>
          <t>Km</t>
        </is>
      </c>
      <c r="G767" s="728" t="inlineStr">
        <is>
          <t>รถเทรลเลอร์</t>
        </is>
      </c>
      <c r="H767" s="728" t="inlineStr">
        <is>
          <t>APPLETON WI , USA</t>
        </is>
      </c>
      <c r="I767" s="733" t="n">
        <v>13558</v>
      </c>
      <c r="J767" s="732" t="inlineStr">
        <is>
          <t>Km</t>
        </is>
      </c>
      <c r="K767" s="734" t="n">
        <v>3880</v>
      </c>
      <c r="L767" s="741">
        <f>M767-K767</f>
        <v/>
      </c>
      <c r="M767" s="739" t="n">
        <v>18995.05</v>
      </c>
      <c r="N767" s="1772" t="n">
        <v>12514.75</v>
      </c>
      <c r="O767" s="1762">
        <f>N767*E767/1000</f>
        <v/>
      </c>
      <c r="P767" s="1763">
        <f>O767/32</f>
        <v/>
      </c>
      <c r="Q767" s="1764">
        <f>N767*I767/1000</f>
        <v/>
      </c>
    </row>
    <row r="768" ht="15.75" customHeight="1">
      <c r="A768" s="756" t="inlineStr">
        <is>
          <t>FO23110065</t>
        </is>
      </c>
      <c r="B768" s="720" t="n">
        <v>45254</v>
      </c>
      <c r="C768" s="721" t="inlineStr">
        <is>
          <t>มัลติแบกซ์</t>
        </is>
      </c>
      <c r="D768" s="721" t="inlineStr">
        <is>
          <t>ท่าเรือแหลมฉบัง</t>
        </is>
      </c>
      <c r="E768" s="722" t="n">
        <v>11.7</v>
      </c>
      <c r="F768" s="719" t="inlineStr">
        <is>
          <t>Km</t>
        </is>
      </c>
      <c r="G768" s="719" t="inlineStr">
        <is>
          <t>รถเทรลเลอร์</t>
        </is>
      </c>
      <c r="H768" s="719" t="inlineStr">
        <is>
          <t>CARROLLTON TX, USA</t>
        </is>
      </c>
      <c r="I768" s="724" t="n">
        <v>14544</v>
      </c>
      <c r="J768" s="723" t="inlineStr">
        <is>
          <t>Km</t>
        </is>
      </c>
      <c r="K768" s="725" t="n">
        <v>3890</v>
      </c>
      <c r="L768" s="740">
        <f>M768-K768</f>
        <v/>
      </c>
      <c r="M768" s="738" t="n">
        <v>16423.05</v>
      </c>
      <c r="N768" s="1773" t="n">
        <v>9630.700000000001</v>
      </c>
      <c r="O768" s="1762">
        <f>N768*E768/1000</f>
        <v/>
      </c>
      <c r="P768" s="1763">
        <f>O768/32</f>
        <v/>
      </c>
      <c r="Q768" s="1764">
        <f>N768*I768/1000</f>
        <v/>
      </c>
    </row>
    <row r="769" ht="15.75" customHeight="1">
      <c r="A769" s="757" t="inlineStr">
        <is>
          <t>FO23110066</t>
        </is>
      </c>
      <c r="B769" s="729" t="n">
        <v>45251</v>
      </c>
      <c r="C769" s="730" t="inlineStr">
        <is>
          <t>มัลติแบกซ์</t>
        </is>
      </c>
      <c r="D769" s="730" t="inlineStr">
        <is>
          <t>ท่าเรือแหลมฉบัง</t>
        </is>
      </c>
      <c r="E769" s="731" t="n">
        <v>7.1</v>
      </c>
      <c r="F769" s="728" t="inlineStr">
        <is>
          <t>Km</t>
        </is>
      </c>
      <c r="G769" s="728" t="inlineStr">
        <is>
          <t>รถเทรลเลอร์</t>
        </is>
      </c>
      <c r="H769" s="728" t="inlineStr">
        <is>
          <t>CARROLLTON TX, USA</t>
        </is>
      </c>
      <c r="I769" s="733" t="n">
        <v>14544</v>
      </c>
      <c r="J769" s="732" t="inlineStr">
        <is>
          <t>Km</t>
        </is>
      </c>
      <c r="K769" s="734" t="n">
        <v>3700</v>
      </c>
      <c r="L769" s="741">
        <f>M769-K769</f>
        <v/>
      </c>
      <c r="M769" s="739" t="n">
        <v>17959.5</v>
      </c>
      <c r="N769" s="1772" t="n">
        <v>12026</v>
      </c>
      <c r="O769" s="1762">
        <f>N769*E769/1000</f>
        <v/>
      </c>
      <c r="P769" s="1763">
        <f>O769/32</f>
        <v/>
      </c>
      <c r="Q769" s="1764">
        <f>N769*I769/1000</f>
        <v/>
      </c>
    </row>
    <row r="770" ht="15.75" customHeight="1">
      <c r="A770" s="756" t="inlineStr">
        <is>
          <t>FO23110067</t>
        </is>
      </c>
      <c r="B770" s="720" t="n">
        <v>45251</v>
      </c>
      <c r="C770" s="721" t="inlineStr">
        <is>
          <t>มัลติแบกซ์</t>
        </is>
      </c>
      <c r="D770" s="721" t="inlineStr">
        <is>
          <t>ท่าเรือแหลมฉบัง</t>
        </is>
      </c>
      <c r="E770" s="722" t="n">
        <v>6.5</v>
      </c>
      <c r="F770" s="719" t="inlineStr">
        <is>
          <t>Km</t>
        </is>
      </c>
      <c r="G770" s="719" t="inlineStr">
        <is>
          <t>รถเทรลเลอร์</t>
        </is>
      </c>
      <c r="H770" s="719" t="inlineStr">
        <is>
          <t>PERRIS CA, USA</t>
        </is>
      </c>
      <c r="I770" s="724" t="n">
        <v>13413</v>
      </c>
      <c r="J770" s="723" t="inlineStr">
        <is>
          <t>Km</t>
        </is>
      </c>
      <c r="K770" s="725" t="n">
        <v>3860</v>
      </c>
      <c r="L770" s="740">
        <f>M770-K770</f>
        <v/>
      </c>
      <c r="M770" s="738" t="n">
        <v>17741.46</v>
      </c>
      <c r="N770" s="1773" t="n">
        <v>10854.74</v>
      </c>
      <c r="O770" s="1762">
        <f>N770*E770/1000</f>
        <v/>
      </c>
      <c r="P770" s="1763">
        <f>O770/32</f>
        <v/>
      </c>
      <c r="Q770" s="1764">
        <f>N770*I770/1000</f>
        <v/>
      </c>
    </row>
    <row r="771" ht="15.75" customHeight="1">
      <c r="A771" s="757" t="inlineStr">
        <is>
          <t>FO23110068</t>
        </is>
      </c>
      <c r="B771" s="729" t="n">
        <v>45252</v>
      </c>
      <c r="C771" s="730" t="inlineStr">
        <is>
          <t>มัลติแบกซ์</t>
        </is>
      </c>
      <c r="D771" s="730" t="inlineStr">
        <is>
          <t>ท่าเรือแหลมฉบัง</t>
        </is>
      </c>
      <c r="E771" s="731" t="n">
        <v>6.2</v>
      </c>
      <c r="F771" s="728" t="inlineStr">
        <is>
          <t>Km</t>
        </is>
      </c>
      <c r="G771" s="728" t="inlineStr">
        <is>
          <t>รถเทรลเลอร์</t>
        </is>
      </c>
      <c r="H771" s="728" t="inlineStr">
        <is>
          <t>APPLETON WI , USA</t>
        </is>
      </c>
      <c r="I771" s="733" t="n">
        <v>13558</v>
      </c>
      <c r="J771" s="732" t="inlineStr">
        <is>
          <t>Km</t>
        </is>
      </c>
      <c r="K771" s="734" t="n">
        <v>3860</v>
      </c>
      <c r="L771" s="741">
        <f>M771-K771</f>
        <v/>
      </c>
      <c r="M771" s="739" t="n">
        <v>18128</v>
      </c>
      <c r="N771" s="1772" t="n">
        <v>10918</v>
      </c>
      <c r="O771" s="1762">
        <f>N771*E771/1000</f>
        <v/>
      </c>
      <c r="P771" s="1763">
        <f>O771/32</f>
        <v/>
      </c>
      <c r="Q771" s="1764">
        <f>N771*I771/1000</f>
        <v/>
      </c>
    </row>
    <row r="772" ht="15.75" customHeight="1">
      <c r="A772" s="756" t="inlineStr">
        <is>
          <t>FO23110069</t>
        </is>
      </c>
      <c r="B772" s="720" t="n">
        <v>45252</v>
      </c>
      <c r="C772" s="721" t="inlineStr">
        <is>
          <t>มัลติแบกซ์</t>
        </is>
      </c>
      <c r="D772" s="721" t="inlineStr">
        <is>
          <t>ท่าเรือแหลมฉบัง</t>
        </is>
      </c>
      <c r="E772" s="722" t="n">
        <v>6.2</v>
      </c>
      <c r="F772" s="719" t="inlineStr">
        <is>
          <t>Km</t>
        </is>
      </c>
      <c r="G772" s="719" t="inlineStr">
        <is>
          <t>รถเทรลเลอร์</t>
        </is>
      </c>
      <c r="H772" s="719" t="inlineStr">
        <is>
          <t>PERRIS CA, USA</t>
        </is>
      </c>
      <c r="I772" s="724" t="n">
        <v>13413</v>
      </c>
      <c r="J772" s="723" t="inlineStr">
        <is>
          <t>Km</t>
        </is>
      </c>
      <c r="K772" s="725" t="n">
        <v>3840</v>
      </c>
      <c r="L772" s="740">
        <f>M772-K772</f>
        <v/>
      </c>
      <c r="M772" s="738" t="n">
        <v>22125.28</v>
      </c>
      <c r="N772" s="1773" t="n">
        <v>14875.32</v>
      </c>
      <c r="O772" s="1762">
        <f>N772*E772/1000</f>
        <v/>
      </c>
      <c r="P772" s="1763">
        <f>O772/32</f>
        <v/>
      </c>
      <c r="Q772" s="1764">
        <f>N772*I772/1000</f>
        <v/>
      </c>
    </row>
    <row r="773" ht="15.75" customHeight="1">
      <c r="A773" s="757" t="inlineStr">
        <is>
          <t>FO23110070</t>
        </is>
      </c>
      <c r="B773" s="729" t="n">
        <v>45252</v>
      </c>
      <c r="C773" s="730" t="inlineStr">
        <is>
          <t>มัลติแบกซ์</t>
        </is>
      </c>
      <c r="D773" s="730" t="inlineStr">
        <is>
          <t>ท่าเรือแหลมฉบัง</t>
        </is>
      </c>
      <c r="E773" s="731" t="n">
        <v>6.2</v>
      </c>
      <c r="F773" s="728" t="inlineStr">
        <is>
          <t>Km</t>
        </is>
      </c>
      <c r="G773" s="728" t="inlineStr">
        <is>
          <t>รถเทรลเลอร์</t>
        </is>
      </c>
      <c r="H773" s="728" t="inlineStr">
        <is>
          <t>PERRIS CA, USA</t>
        </is>
      </c>
      <c r="I773" s="733" t="n">
        <v>13413</v>
      </c>
      <c r="J773" s="732" t="inlineStr">
        <is>
          <t>Km</t>
        </is>
      </c>
      <c r="K773" s="734" t="n">
        <v>3870</v>
      </c>
      <c r="L773" s="741">
        <f>M773-K773</f>
        <v/>
      </c>
      <c r="M773" s="739" t="n">
        <v>18891.02</v>
      </c>
      <c r="N773" s="1772" t="n">
        <v>12389.38</v>
      </c>
      <c r="O773" s="1762">
        <f>N773*E773/1000</f>
        <v/>
      </c>
      <c r="P773" s="1763">
        <f>O773/32</f>
        <v/>
      </c>
      <c r="Q773" s="1764">
        <f>N773*I773/1000</f>
        <v/>
      </c>
    </row>
    <row r="774" ht="15.75" customHeight="1">
      <c r="A774" s="756" t="inlineStr">
        <is>
          <t>FO23110071</t>
        </is>
      </c>
      <c r="B774" s="720" t="n">
        <v>45253</v>
      </c>
      <c r="C774" s="721" t="inlineStr">
        <is>
          <t>มัลติแบกซ์</t>
        </is>
      </c>
      <c r="D774" s="721" t="inlineStr">
        <is>
          <t>ท่าเรือแหลมฉบัง</t>
        </is>
      </c>
      <c r="E774" s="722" t="n">
        <v>6.2</v>
      </c>
      <c r="F774" s="719" t="inlineStr">
        <is>
          <t>Km</t>
        </is>
      </c>
      <c r="G774" s="719" t="inlineStr">
        <is>
          <t>รถเทรลเลอร์</t>
        </is>
      </c>
      <c r="H774" s="719" t="inlineStr">
        <is>
          <t>SOUTH BOSTON VA, USA</t>
        </is>
      </c>
      <c r="I774" s="724" t="n">
        <v>13787</v>
      </c>
      <c r="J774" s="723" t="inlineStr">
        <is>
          <t>Km</t>
        </is>
      </c>
      <c r="K774" s="725" t="n">
        <v>3700</v>
      </c>
      <c r="L774" s="740">
        <f>M774-K774</f>
        <v/>
      </c>
      <c r="M774" s="738" t="n">
        <v>20677.1</v>
      </c>
      <c r="N774" s="1773" t="n">
        <v>13573.63</v>
      </c>
      <c r="O774" s="1762">
        <f>N774*E774/1000</f>
        <v/>
      </c>
      <c r="P774" s="1763">
        <f>O774/32</f>
        <v/>
      </c>
      <c r="Q774" s="1764">
        <f>N774*I774/1000</f>
        <v/>
      </c>
    </row>
    <row r="775" ht="15.75" customHeight="1">
      <c r="A775" s="757" t="inlineStr">
        <is>
          <t>FO23110072</t>
        </is>
      </c>
      <c r="B775" s="729" t="n">
        <v>45257</v>
      </c>
      <c r="C775" s="730" t="inlineStr">
        <is>
          <t>มัลติแบกซ์</t>
        </is>
      </c>
      <c r="D775" s="730" t="inlineStr">
        <is>
          <t>ท่าเรือแหลมฉบัง</t>
        </is>
      </c>
      <c r="E775" s="731" t="n">
        <v>7.1</v>
      </c>
      <c r="F775" s="728" t="inlineStr">
        <is>
          <t>Km</t>
        </is>
      </c>
      <c r="G775" s="728" t="inlineStr">
        <is>
          <t>รถเทรลเลอร์</t>
        </is>
      </c>
      <c r="H775" s="728" t="inlineStr">
        <is>
          <t>CARROLLTON TX, USA</t>
        </is>
      </c>
      <c r="I775" s="733" t="n">
        <v>14544</v>
      </c>
      <c r="J775" s="732" t="inlineStr">
        <is>
          <t>Km</t>
        </is>
      </c>
      <c r="K775" s="734" t="n">
        <v>3640</v>
      </c>
      <c r="L775" s="741">
        <f>M775-K775</f>
        <v/>
      </c>
      <c r="M775" s="739" t="n">
        <v>20521</v>
      </c>
      <c r="N775" s="1772" t="n">
        <v>13860</v>
      </c>
      <c r="O775" s="1762">
        <f>N775*E775/1000</f>
        <v/>
      </c>
      <c r="P775" s="1763">
        <f>O775/32</f>
        <v/>
      </c>
      <c r="Q775" s="1764">
        <f>N775*I775/1000</f>
        <v/>
      </c>
    </row>
    <row r="776" ht="15.75" customHeight="1">
      <c r="A776" s="719" t="inlineStr">
        <is>
          <t>FO23110073</t>
        </is>
      </c>
      <c r="B776" s="720" t="n">
        <v>45253</v>
      </c>
      <c r="C776" s="721" t="inlineStr">
        <is>
          <t>มัลติแบกซ์</t>
        </is>
      </c>
      <c r="D776" s="721" t="inlineStr">
        <is>
          <t>ท่าเรือแหลมฉบัง</t>
        </is>
      </c>
      <c r="E776" s="722" t="n">
        <v>6</v>
      </c>
      <c r="F776" s="719" t="inlineStr">
        <is>
          <t>Km</t>
        </is>
      </c>
      <c r="G776" s="719" t="inlineStr">
        <is>
          <t>รถเทรลเลอร์</t>
        </is>
      </c>
      <c r="H776" s="719" t="inlineStr">
        <is>
          <t>SINGAPORE</t>
        </is>
      </c>
      <c r="I776" s="724" t="n">
        <v>1931</v>
      </c>
      <c r="J776" s="723" t="inlineStr">
        <is>
          <t>Km</t>
        </is>
      </c>
      <c r="K776" s="725" t="n">
        <v>5059.8</v>
      </c>
      <c r="L776" s="740" t="n">
        <v>889.6</v>
      </c>
      <c r="M776" s="738" t="n">
        <v>5949.4</v>
      </c>
      <c r="N776" s="1773" t="n">
        <v>5059.8</v>
      </c>
      <c r="O776" s="1762">
        <f>N776*E776/1000</f>
        <v/>
      </c>
      <c r="P776" s="1763">
        <f>O776/32</f>
        <v/>
      </c>
      <c r="Q776" s="1764">
        <f>N776*I776/1000</f>
        <v/>
      </c>
    </row>
    <row r="777" ht="15.75" customHeight="1">
      <c r="A777" s="757" t="inlineStr">
        <is>
          <t>FO23110074</t>
        </is>
      </c>
      <c r="B777" s="729" t="n">
        <v>45257</v>
      </c>
      <c r="C777" s="730" t="inlineStr">
        <is>
          <t>มัลติแบกซ์</t>
        </is>
      </c>
      <c r="D777" s="730" t="inlineStr">
        <is>
          <t>ท่าเรือแหลมฉบัง</t>
        </is>
      </c>
      <c r="E777" s="731" t="n">
        <v>10.2</v>
      </c>
      <c r="F777" s="728" t="inlineStr">
        <is>
          <t>Km</t>
        </is>
      </c>
      <c r="G777" s="728" t="inlineStr">
        <is>
          <t>รถเทรลเลอร์</t>
        </is>
      </c>
      <c r="H777" s="728" t="inlineStr">
        <is>
          <t>CARROLLTON TX, USA</t>
        </is>
      </c>
      <c r="I777" s="733" t="n">
        <v>14544</v>
      </c>
      <c r="J777" s="732" t="inlineStr">
        <is>
          <t>Km</t>
        </is>
      </c>
      <c r="K777" s="734" t="n">
        <v>3830</v>
      </c>
      <c r="L777" s="741">
        <f>M777-K777</f>
        <v/>
      </c>
      <c r="M777" s="739" t="n">
        <v>17983</v>
      </c>
      <c r="N777" s="1772" t="n">
        <v>11688</v>
      </c>
      <c r="O777" s="1762">
        <f>N777*E777/1000</f>
        <v/>
      </c>
      <c r="P777" s="1763">
        <f>O777/32</f>
        <v/>
      </c>
      <c r="Q777" s="1764">
        <f>N777*I777/1000</f>
        <v/>
      </c>
    </row>
    <row r="778" ht="15.75" customHeight="1">
      <c r="A778" s="756" t="inlineStr">
        <is>
          <t>FO23110075</t>
        </is>
      </c>
      <c r="B778" s="720" t="n">
        <v>45258</v>
      </c>
      <c r="C778" s="721" t="inlineStr">
        <is>
          <t>มัลติแบกซ์</t>
        </is>
      </c>
      <c r="D778" s="721" t="inlineStr">
        <is>
          <t>ท่าเรือแหลมฉบัง</t>
        </is>
      </c>
      <c r="E778" s="722" t="n">
        <v>6.2</v>
      </c>
      <c r="F778" s="719" t="inlineStr">
        <is>
          <t>Km</t>
        </is>
      </c>
      <c r="G778" s="719" t="inlineStr">
        <is>
          <t>รถเทรลเลอร์</t>
        </is>
      </c>
      <c r="H778" s="719" t="inlineStr">
        <is>
          <t>CARROLLTON TX, USA</t>
        </is>
      </c>
      <c r="I778" s="724" t="n">
        <v>14544</v>
      </c>
      <c r="J778" s="723" t="inlineStr">
        <is>
          <t>Km</t>
        </is>
      </c>
      <c r="K778" s="725" t="n">
        <v>3830</v>
      </c>
      <c r="L778" s="740">
        <f>M778-K778</f>
        <v/>
      </c>
      <c r="M778" s="738" t="n">
        <v>13544.5</v>
      </c>
      <c r="N778" s="1773" t="n">
        <v>6937.5</v>
      </c>
      <c r="O778" s="1762">
        <f>N778*E778/1000</f>
        <v/>
      </c>
      <c r="P778" s="1763">
        <f>O778/32</f>
        <v/>
      </c>
      <c r="Q778" s="1764">
        <f>N778*I778/1000</f>
        <v/>
      </c>
    </row>
    <row r="779" ht="15.75" customHeight="1">
      <c r="A779" s="757" t="inlineStr">
        <is>
          <t>FO23110076</t>
        </is>
      </c>
      <c r="B779" s="729" t="n">
        <v>45257</v>
      </c>
      <c r="C779" s="730" t="inlineStr">
        <is>
          <t>มัลติแบกซ์</t>
        </is>
      </c>
      <c r="D779" s="730" t="inlineStr">
        <is>
          <t>ท่าเรือแหลมฉบัง</t>
        </is>
      </c>
      <c r="E779" s="731" t="n">
        <v>4.1</v>
      </c>
      <c r="F779" s="728" t="inlineStr">
        <is>
          <t>Km</t>
        </is>
      </c>
      <c r="G779" s="728" t="inlineStr">
        <is>
          <t>รถเทรลเลอร์</t>
        </is>
      </c>
      <c r="H779" s="728" t="inlineStr">
        <is>
          <t>SOUTH BOSTON VA, USA</t>
        </is>
      </c>
      <c r="I779" s="733" t="n">
        <v>13787</v>
      </c>
      <c r="J779" s="732" t="inlineStr">
        <is>
          <t>Km</t>
        </is>
      </c>
      <c r="K779" s="734" t="n">
        <v>3700</v>
      </c>
      <c r="L779" s="741">
        <f>M779-K779</f>
        <v/>
      </c>
      <c r="M779" s="739" t="n">
        <v>21589.1</v>
      </c>
      <c r="N779" s="1772" t="n">
        <v>14665.2</v>
      </c>
      <c r="O779" s="1762">
        <f>N779*E779/1000</f>
        <v/>
      </c>
      <c r="P779" s="1763">
        <f>O779/32</f>
        <v/>
      </c>
      <c r="Q779" s="1764">
        <f>N779*I779/1000</f>
        <v/>
      </c>
    </row>
    <row r="780" ht="15.75" customHeight="1">
      <c r="A780" s="756" t="inlineStr">
        <is>
          <t>FO23110077</t>
        </is>
      </c>
      <c r="B780" s="720" t="n">
        <v>45257</v>
      </c>
      <c r="C780" s="721" t="inlineStr">
        <is>
          <t>มัลติแบกซ์</t>
        </is>
      </c>
      <c r="D780" s="721" t="inlineStr">
        <is>
          <t>ท่าเรือแหลมฉบัง</t>
        </is>
      </c>
      <c r="E780" s="722" t="n">
        <v>11.9</v>
      </c>
      <c r="F780" s="719" t="inlineStr">
        <is>
          <t>Km</t>
        </is>
      </c>
      <c r="G780" s="719" t="inlineStr">
        <is>
          <t>รถเทรลเลอร์</t>
        </is>
      </c>
      <c r="H780" s="719" t="inlineStr">
        <is>
          <t>HONG KONG</t>
        </is>
      </c>
      <c r="I780" s="724" t="n">
        <v>1734</v>
      </c>
      <c r="J780" s="723" t="inlineStr">
        <is>
          <t>Km</t>
        </is>
      </c>
      <c r="K780" s="725" t="n">
        <v>3600</v>
      </c>
      <c r="L780" s="740">
        <f>M780-K780</f>
        <v/>
      </c>
      <c r="M780" s="738" t="n">
        <v>15032.1</v>
      </c>
      <c r="N780" s="1773" t="n">
        <v>8747.200000000001</v>
      </c>
      <c r="O780" s="1762">
        <f>N780*E780/1000</f>
        <v/>
      </c>
      <c r="P780" s="1763">
        <f>O780/32</f>
        <v/>
      </c>
      <c r="Q780" s="1764">
        <f>N780*I780/1000</f>
        <v/>
      </c>
    </row>
    <row r="781" ht="15.75" customHeight="1">
      <c r="A781" s="728" t="inlineStr">
        <is>
          <t>FO23110078</t>
        </is>
      </c>
      <c r="B781" s="729" t="n">
        <v>45259</v>
      </c>
      <c r="C781" s="730" t="inlineStr">
        <is>
          <t>มัลติแบกซ์</t>
        </is>
      </c>
      <c r="D781" s="730" t="inlineStr">
        <is>
          <t>ท่าเรือแหลมฉบัง</t>
        </is>
      </c>
      <c r="E781" s="731" t="n">
        <v>6.5</v>
      </c>
      <c r="F781" s="728" t="inlineStr">
        <is>
          <t>Km</t>
        </is>
      </c>
      <c r="G781" s="728" t="inlineStr">
        <is>
          <t>รถเทรลเลอร์</t>
        </is>
      </c>
      <c r="H781" s="728" t="inlineStr">
        <is>
          <t>UNIVERSITY PARK IL, USA</t>
        </is>
      </c>
      <c r="I781" s="733" t="n">
        <v>13877</v>
      </c>
      <c r="J781" s="732" t="inlineStr">
        <is>
          <t>Km</t>
        </is>
      </c>
      <c r="K781" s="734" t="n"/>
      <c r="L781" s="741" t="n"/>
      <c r="M781" s="739" t="n"/>
      <c r="N781" s="1775" t="n">
        <v>15795</v>
      </c>
      <c r="O781" s="1762">
        <f>N781*E781/1000</f>
        <v/>
      </c>
      <c r="P781" s="1763">
        <f>O781/32</f>
        <v/>
      </c>
      <c r="Q781" s="1764">
        <f>N781*I781/1000</f>
        <v/>
      </c>
    </row>
    <row r="782" ht="15.75" customHeight="1">
      <c r="A782" s="756" t="inlineStr">
        <is>
          <t>FO23110079</t>
        </is>
      </c>
      <c r="B782" s="720" t="n">
        <v>45259</v>
      </c>
      <c r="C782" s="721" t="inlineStr">
        <is>
          <t>มัลติแบกซ์</t>
        </is>
      </c>
      <c r="D782" s="721" t="inlineStr">
        <is>
          <t>ท่าเรือแหลมฉบัง</t>
        </is>
      </c>
      <c r="E782" s="722" t="n">
        <v>6.5</v>
      </c>
      <c r="F782" s="719" t="inlineStr">
        <is>
          <t>Km</t>
        </is>
      </c>
      <c r="G782" s="719" t="inlineStr">
        <is>
          <t>รถเทรลเลอร์</t>
        </is>
      </c>
      <c r="H782" s="719" t="inlineStr">
        <is>
          <t>UNIVERSITY PARK IL, USA</t>
        </is>
      </c>
      <c r="I782" s="724" t="n">
        <v>13877</v>
      </c>
      <c r="J782" s="723" t="inlineStr">
        <is>
          <t>Km</t>
        </is>
      </c>
      <c r="K782" s="725" t="n">
        <v>3840</v>
      </c>
      <c r="L782" s="740">
        <f>M782-K782</f>
        <v/>
      </c>
      <c r="M782" s="738" t="n">
        <v>23439</v>
      </c>
      <c r="N782" s="1774" t="n">
        <v>7660</v>
      </c>
      <c r="O782" s="1762">
        <f>N782*E782/1000</f>
        <v/>
      </c>
      <c r="P782" s="1763">
        <f>O782/32</f>
        <v/>
      </c>
      <c r="Q782" s="1764">
        <f>N782*I782/1000</f>
        <v/>
      </c>
    </row>
    <row r="783" ht="15.75" customHeight="1">
      <c r="A783" s="757" t="inlineStr">
        <is>
          <t>FO23110080</t>
        </is>
      </c>
      <c r="B783" s="729" t="n">
        <v>45259</v>
      </c>
      <c r="C783" s="730" t="inlineStr">
        <is>
          <t>มัลติแบกซ์</t>
        </is>
      </c>
      <c r="D783" s="730" t="inlineStr">
        <is>
          <t>ท่าเรือแหลมฉบัง</t>
        </is>
      </c>
      <c r="E783" s="731" t="n">
        <v>6.5</v>
      </c>
      <c r="F783" s="728" t="inlineStr">
        <is>
          <t>Km</t>
        </is>
      </c>
      <c r="G783" s="728" t="inlineStr">
        <is>
          <t>รถเทรลเลอร์</t>
        </is>
      </c>
      <c r="H783" s="728" t="inlineStr">
        <is>
          <t>SOUTH BOSTON VA, USA</t>
        </is>
      </c>
      <c r="I783" s="733" t="n">
        <v>13787</v>
      </c>
      <c r="J783" s="732" t="inlineStr">
        <is>
          <t>Km</t>
        </is>
      </c>
      <c r="K783" s="734" t="n">
        <v>3860</v>
      </c>
      <c r="L783" s="741">
        <f>M783-K783</f>
        <v/>
      </c>
      <c r="M783" s="739" t="n">
        <v>22931.6</v>
      </c>
      <c r="N783" s="1772" t="n">
        <v>15602.4</v>
      </c>
      <c r="O783" s="1762">
        <f>N783*E783/1000</f>
        <v/>
      </c>
      <c r="P783" s="1763">
        <f>O783/32</f>
        <v/>
      </c>
      <c r="Q783" s="1764">
        <f>N783*I783/1000</f>
        <v/>
      </c>
    </row>
    <row r="784" ht="15.75" customHeight="1">
      <c r="A784" s="756" t="inlineStr">
        <is>
          <t>FO23110081</t>
        </is>
      </c>
      <c r="B784" s="720" t="n">
        <v>45258</v>
      </c>
      <c r="C784" s="721" t="inlineStr">
        <is>
          <t>มัลติแบกซ์</t>
        </is>
      </c>
      <c r="D784" s="721" t="inlineStr">
        <is>
          <t>ท่าเรือแหลมฉบัง</t>
        </is>
      </c>
      <c r="E784" s="722" t="n">
        <v>6.5</v>
      </c>
      <c r="F784" s="719" t="inlineStr">
        <is>
          <t>Km</t>
        </is>
      </c>
      <c r="G784" s="719" t="inlineStr">
        <is>
          <t>รถเทรลเลอร์</t>
        </is>
      </c>
      <c r="H784" s="719" t="inlineStr">
        <is>
          <t>SOUTH BOSTON VA, USA</t>
        </is>
      </c>
      <c r="I784" s="724" t="n">
        <v>13787</v>
      </c>
      <c r="J784" s="723" t="inlineStr">
        <is>
          <t>Km</t>
        </is>
      </c>
      <c r="K784" s="725" t="n">
        <v>3860</v>
      </c>
      <c r="L784" s="740">
        <f>M784-K784</f>
        <v/>
      </c>
      <c r="M784" s="738" t="n">
        <v>20222.8</v>
      </c>
      <c r="N784" s="1773" t="n">
        <v>14035</v>
      </c>
      <c r="O784" s="1762">
        <f>N784*E784/1000</f>
        <v/>
      </c>
      <c r="P784" s="1763">
        <f>O784/32</f>
        <v/>
      </c>
      <c r="Q784" s="1764">
        <f>N784*I784/1000</f>
        <v/>
      </c>
    </row>
    <row r="785" ht="15.75" customHeight="1">
      <c r="A785" s="757" t="inlineStr">
        <is>
          <t>FO23110082</t>
        </is>
      </c>
      <c r="B785" s="729" t="n">
        <v>45258</v>
      </c>
      <c r="C785" s="730" t="inlineStr">
        <is>
          <t>มัลติแบกซ์</t>
        </is>
      </c>
      <c r="D785" s="730" t="inlineStr">
        <is>
          <t>ท่าเรือแหลมฉบัง</t>
        </is>
      </c>
      <c r="E785" s="731" t="n">
        <v>6.5</v>
      </c>
      <c r="F785" s="728" t="inlineStr">
        <is>
          <t>Km</t>
        </is>
      </c>
      <c r="G785" s="728" t="inlineStr">
        <is>
          <t>รถเทรลเลอร์</t>
        </is>
      </c>
      <c r="H785" s="728" t="inlineStr">
        <is>
          <t>JACKSONVILLE IL, USA</t>
        </is>
      </c>
      <c r="I785" s="733" t="n">
        <v>15168</v>
      </c>
      <c r="J785" s="732" t="inlineStr">
        <is>
          <t>Km</t>
        </is>
      </c>
      <c r="K785" s="734" t="n">
        <v>3840</v>
      </c>
      <c r="L785" s="741">
        <f>M785-K785</f>
        <v/>
      </c>
      <c r="M785" s="739" t="n">
        <v>24064.2</v>
      </c>
      <c r="N785" s="1772" t="n">
        <v>16320</v>
      </c>
      <c r="O785" s="1762">
        <f>N785*E785/1000</f>
        <v/>
      </c>
      <c r="P785" s="1763">
        <f>O785/32</f>
        <v/>
      </c>
      <c r="Q785" s="1764">
        <f>N785*I785/1000</f>
        <v/>
      </c>
    </row>
    <row r="786" ht="15.75" customHeight="1">
      <c r="A786" s="756" t="inlineStr">
        <is>
          <t>FO23110083</t>
        </is>
      </c>
      <c r="B786" s="720" t="n">
        <v>45258</v>
      </c>
      <c r="C786" s="721" t="inlineStr">
        <is>
          <t>มัลติแบกซ์</t>
        </is>
      </c>
      <c r="D786" s="721" t="inlineStr">
        <is>
          <t>ท่าเรือแหลมฉบัง</t>
        </is>
      </c>
      <c r="E786" s="722" t="n">
        <v>7.1</v>
      </c>
      <c r="F786" s="719" t="inlineStr">
        <is>
          <t>Km</t>
        </is>
      </c>
      <c r="G786" s="719" t="inlineStr">
        <is>
          <t>รถเทรลเลอร์</t>
        </is>
      </c>
      <c r="H786" s="719" t="inlineStr">
        <is>
          <t>JACKSONVILLE IL, USA</t>
        </is>
      </c>
      <c r="I786" s="724" t="n">
        <v>15168</v>
      </c>
      <c r="J786" s="723" t="inlineStr">
        <is>
          <t>Km</t>
        </is>
      </c>
      <c r="K786" s="725" t="n">
        <v>3830</v>
      </c>
      <c r="L786" s="740">
        <f>M786-K786</f>
        <v/>
      </c>
      <c r="M786" s="738" t="n">
        <v>24654.6</v>
      </c>
      <c r="N786" s="1773" t="n">
        <v>15523.2</v>
      </c>
      <c r="O786" s="1762">
        <f>N786*E786/1000</f>
        <v/>
      </c>
      <c r="P786" s="1763">
        <f>O786/32</f>
        <v/>
      </c>
      <c r="Q786" s="1764">
        <f>N786*I786/1000</f>
        <v/>
      </c>
    </row>
    <row r="787" ht="15.75" customHeight="1">
      <c r="A787" s="757" t="inlineStr">
        <is>
          <t>FO23110084</t>
        </is>
      </c>
      <c r="B787" s="729" t="n">
        <v>45260</v>
      </c>
      <c r="C787" s="730" t="inlineStr">
        <is>
          <t>มัลติแบกซ์</t>
        </is>
      </c>
      <c r="D787" s="730" t="inlineStr">
        <is>
          <t>ท่าเรือแหลมฉบัง</t>
        </is>
      </c>
      <c r="E787" s="731" t="n">
        <v>6.2</v>
      </c>
      <c r="F787" s="728" t="inlineStr">
        <is>
          <t>Km</t>
        </is>
      </c>
      <c r="G787" s="728" t="inlineStr">
        <is>
          <t>รถเทรลเลอร์</t>
        </is>
      </c>
      <c r="H787" s="728" t="inlineStr">
        <is>
          <t>JACKSONVILLE IL, USA</t>
        </is>
      </c>
      <c r="I787" s="733" t="n">
        <v>15168</v>
      </c>
      <c r="J787" s="732" t="inlineStr">
        <is>
          <t>Km</t>
        </is>
      </c>
      <c r="K787" s="731" t="n">
        <v>3890</v>
      </c>
      <c r="L787" s="741">
        <f>M787-K787</f>
        <v/>
      </c>
      <c r="M787" s="731" t="n">
        <v>24114.2</v>
      </c>
      <c r="N787" s="1775" t="n">
        <v>16320</v>
      </c>
      <c r="O787" s="1762">
        <f>N787*E787/1000</f>
        <v/>
      </c>
      <c r="P787" s="1763">
        <f>O787/32</f>
        <v/>
      </c>
      <c r="Q787" s="1764">
        <f>N787*I787/1000</f>
        <v/>
      </c>
    </row>
    <row r="788" ht="15.75" customHeight="1">
      <c r="A788" s="756" t="inlineStr">
        <is>
          <t>FO23110085</t>
        </is>
      </c>
      <c r="B788" s="720" t="n">
        <v>45259</v>
      </c>
      <c r="C788" s="721" t="inlineStr">
        <is>
          <t>มัลติแบกซ์</t>
        </is>
      </c>
      <c r="D788" s="721" t="inlineStr">
        <is>
          <t>ท่าเรือแหลมฉบัง</t>
        </is>
      </c>
      <c r="E788" s="722" t="n">
        <v>11.9</v>
      </c>
      <c r="F788" s="719" t="inlineStr">
        <is>
          <t>Km</t>
        </is>
      </c>
      <c r="G788" s="719" t="inlineStr">
        <is>
          <t>รถเทรลเลอร์</t>
        </is>
      </c>
      <c r="H788" s="719" t="inlineStr">
        <is>
          <t>SHEKOU, CHINA</t>
        </is>
      </c>
      <c r="I788" s="724" t="n">
        <v>2687</v>
      </c>
      <c r="J788" s="723" t="inlineStr">
        <is>
          <t>Km</t>
        </is>
      </c>
      <c r="K788" s="725" t="n">
        <v>3820</v>
      </c>
      <c r="L788" s="740">
        <f>M788-K788</f>
        <v/>
      </c>
      <c r="M788" s="738" t="n">
        <v>17312.6</v>
      </c>
      <c r="N788" s="1773" t="n">
        <v>10281.6</v>
      </c>
      <c r="O788" s="1762">
        <f>N788*E788/1000</f>
        <v/>
      </c>
      <c r="P788" s="1763">
        <f>O788/32</f>
        <v/>
      </c>
      <c r="Q788" s="1764">
        <f>N788*I788/1000</f>
        <v/>
      </c>
    </row>
    <row r="789" ht="15.75" customHeight="1">
      <c r="A789" s="757" t="inlineStr">
        <is>
          <t>FO23110086</t>
        </is>
      </c>
      <c r="B789" s="729" t="n">
        <v>45259</v>
      </c>
      <c r="C789" s="730" t="inlineStr">
        <is>
          <t>มัลติแบกซ์</t>
        </is>
      </c>
      <c r="D789" s="730" t="inlineStr">
        <is>
          <t>ท่าเรือแหลมฉบัง</t>
        </is>
      </c>
      <c r="E789" s="731" t="n">
        <v>6</v>
      </c>
      <c r="F789" s="728" t="inlineStr">
        <is>
          <t>Km</t>
        </is>
      </c>
      <c r="G789" s="728" t="inlineStr">
        <is>
          <t>รถเทรลเลอร์</t>
        </is>
      </c>
      <c r="H789" s="728" t="inlineStr">
        <is>
          <t>XINGANG, CHINA</t>
        </is>
      </c>
      <c r="I789" s="733" t="n">
        <v>4353</v>
      </c>
      <c r="J789" s="732" t="inlineStr">
        <is>
          <t>Km</t>
        </is>
      </c>
      <c r="K789" s="734" t="n">
        <v>3750</v>
      </c>
      <c r="L789" s="741">
        <f>M789-K789</f>
        <v/>
      </c>
      <c r="M789" s="739" t="n">
        <v>17242.6</v>
      </c>
      <c r="N789" s="1772" t="n">
        <v>10281.6</v>
      </c>
      <c r="O789" s="1762">
        <f>N789*E789/1000</f>
        <v/>
      </c>
      <c r="P789" s="1763">
        <f>O789/32</f>
        <v/>
      </c>
      <c r="Q789" s="1764">
        <f>N789*I789/1000</f>
        <v/>
      </c>
    </row>
    <row r="790" ht="15.75" customHeight="1">
      <c r="A790" s="756" t="inlineStr">
        <is>
          <t>FO23110087</t>
        </is>
      </c>
      <c r="B790" s="720" t="n">
        <v>45259</v>
      </c>
      <c r="C790" s="721" t="inlineStr">
        <is>
          <t>มัลติแบกซ์</t>
        </is>
      </c>
      <c r="D790" s="721" t="inlineStr">
        <is>
          <t>ท่าเรือแหลมฉบัง</t>
        </is>
      </c>
      <c r="E790" s="722" t="n">
        <v>5.8</v>
      </c>
      <c r="F790" s="719" t="inlineStr">
        <is>
          <t>Km</t>
        </is>
      </c>
      <c r="G790" s="719" t="inlineStr">
        <is>
          <t>รถเทรลเลอร์</t>
        </is>
      </c>
      <c r="H790" s="719" t="inlineStr">
        <is>
          <t>JEBEL ALI, UAE</t>
        </is>
      </c>
      <c r="I790" s="724" t="n">
        <v>4972</v>
      </c>
      <c r="J790" s="723" t="inlineStr">
        <is>
          <t>Km</t>
        </is>
      </c>
      <c r="K790" s="725" t="n">
        <v>2330</v>
      </c>
      <c r="L790" s="740">
        <f>M790-K790</f>
        <v/>
      </c>
      <c r="M790" s="738" t="n">
        <v>7368.9</v>
      </c>
      <c r="N790" s="1773" t="n">
        <v>3843.48</v>
      </c>
      <c r="O790" s="1762">
        <f>N790*E790/1000</f>
        <v/>
      </c>
      <c r="P790" s="1763">
        <f>O790/32</f>
        <v/>
      </c>
      <c r="Q790" s="1764">
        <f>N790*I790/1000</f>
        <v/>
      </c>
    </row>
    <row r="791" ht="15.75" customHeight="1">
      <c r="A791" s="757" t="inlineStr">
        <is>
          <t>FO23110088</t>
        </is>
      </c>
      <c r="B791" s="729" t="n">
        <v>45259</v>
      </c>
      <c r="C791" s="730" t="inlineStr">
        <is>
          <t>มัลติแบกซ์</t>
        </is>
      </c>
      <c r="D791" s="730" t="inlineStr">
        <is>
          <t>ท่าเรือแหลมฉบัง</t>
        </is>
      </c>
      <c r="E791" s="731" t="n">
        <v>5.8</v>
      </c>
      <c r="F791" s="728" t="inlineStr">
        <is>
          <t>Km</t>
        </is>
      </c>
      <c r="G791" s="728" t="inlineStr">
        <is>
          <t>รถเทรลเลอร์</t>
        </is>
      </c>
      <c r="H791" s="728" t="inlineStr">
        <is>
          <t>JEBEL ALI, UAE</t>
        </is>
      </c>
      <c r="I791" s="733" t="n">
        <v>4972</v>
      </c>
      <c r="J791" s="732" t="inlineStr">
        <is>
          <t>Km</t>
        </is>
      </c>
      <c r="K791" s="734" t="n">
        <v>2220</v>
      </c>
      <c r="L791" s="741">
        <f>M791-K791</f>
        <v/>
      </c>
      <c r="M791" s="739" t="n">
        <v>6700.58</v>
      </c>
      <c r="N791" s="1772" t="n">
        <v>3324.12</v>
      </c>
      <c r="O791" s="1762">
        <f>N791*E791/1000</f>
        <v/>
      </c>
      <c r="P791" s="1763">
        <f>O791/32</f>
        <v/>
      </c>
      <c r="Q791" s="1764">
        <f>N791*I791/1000</f>
        <v/>
      </c>
    </row>
    <row r="792" ht="15.75" customHeight="1">
      <c r="A792" s="756" t="inlineStr">
        <is>
          <t>FO23110089</t>
        </is>
      </c>
      <c r="B792" s="720" t="n">
        <v>45260</v>
      </c>
      <c r="C792" s="721" t="inlineStr">
        <is>
          <t>มัลติแบกซ์</t>
        </is>
      </c>
      <c r="D792" s="721" t="inlineStr">
        <is>
          <t>ท่าเรือแหลมฉบัง</t>
        </is>
      </c>
      <c r="E792" s="722" t="n">
        <v>6.5</v>
      </c>
      <c r="F792" s="719" t="inlineStr">
        <is>
          <t>Km</t>
        </is>
      </c>
      <c r="G792" s="719" t="inlineStr">
        <is>
          <t>รถเทรลเลอร์</t>
        </is>
      </c>
      <c r="H792" s="719" t="inlineStr">
        <is>
          <t>MANZANILLO, MEXICO</t>
        </is>
      </c>
      <c r="I792" s="724" t="n">
        <v>15486</v>
      </c>
      <c r="J792" s="723" t="inlineStr">
        <is>
          <t>Km</t>
        </is>
      </c>
      <c r="K792" s="722" t="n">
        <v>3700</v>
      </c>
      <c r="L792" s="740">
        <f>M792-K792</f>
        <v/>
      </c>
      <c r="M792" s="722" t="n">
        <v>10577.28</v>
      </c>
      <c r="N792" s="1774" t="n">
        <v>5002.8</v>
      </c>
      <c r="O792" s="1762">
        <f>N792*E792/1000</f>
        <v/>
      </c>
      <c r="P792" s="1763">
        <f>O792/32</f>
        <v/>
      </c>
      <c r="Q792" s="1764">
        <f>N792*I792/1000</f>
        <v/>
      </c>
    </row>
    <row r="793" ht="15.75" customHeight="1">
      <c r="A793" s="721" t="inlineStr">
        <is>
          <t>FO23120001</t>
        </is>
      </c>
      <c r="B793" s="720" t="n">
        <v>45278</v>
      </c>
      <c r="C793" s="698" t="inlineStr">
        <is>
          <t>มัลติแบกซ์</t>
        </is>
      </c>
      <c r="D793" s="698" t="inlineStr">
        <is>
          <t>ท่าเรือแหลมฉบัง</t>
        </is>
      </c>
      <c r="E793" s="700" t="n">
        <v>11.9</v>
      </c>
      <c r="F793" s="698" t="inlineStr">
        <is>
          <t>Km</t>
        </is>
      </c>
      <c r="G793" s="698" t="inlineStr">
        <is>
          <t>รถเทรลเลอร์</t>
        </is>
      </c>
      <c r="H793" s="769" t="inlineStr">
        <is>
          <t>UK PORT</t>
        </is>
      </c>
      <c r="I793" s="724" t="n">
        <v>9687</v>
      </c>
      <c r="J793" s="703" t="inlineStr">
        <is>
          <t>Km</t>
        </is>
      </c>
      <c r="K793" s="704" t="n">
        <v>3580</v>
      </c>
      <c r="L793" s="744" t="n">
        <v>24964</v>
      </c>
      <c r="M793" s="751" t="n">
        <v>28544</v>
      </c>
      <c r="N793" s="1773" t="n">
        <v>4025</v>
      </c>
      <c r="O793" s="1762">
        <f>N793*E793/1000</f>
        <v/>
      </c>
      <c r="P793" s="1763">
        <f>O793/32</f>
        <v/>
      </c>
      <c r="Q793" s="1764">
        <f>N793*I793/1000</f>
        <v/>
      </c>
    </row>
    <row r="794" ht="15.75" customFormat="1" customHeight="1" s="680">
      <c r="A794" s="770" t="inlineStr">
        <is>
          <t>FO23120002</t>
        </is>
      </c>
      <c r="B794" s="771" t="n">
        <v>45265</v>
      </c>
      <c r="C794" s="772" t="inlineStr">
        <is>
          <t>มัลติแบกซ์</t>
        </is>
      </c>
      <c r="D794" s="772" t="inlineStr">
        <is>
          <t>ท่าเรือแหลมฉบัง</t>
        </is>
      </c>
      <c r="E794" s="773" t="n">
        <v>4.1</v>
      </c>
      <c r="F794" s="770" t="inlineStr">
        <is>
          <t>Km</t>
        </is>
      </c>
      <c r="G794" s="770" t="inlineStr">
        <is>
          <t>รถเทรลเลอร์</t>
        </is>
      </c>
      <c r="H794" s="774" t="inlineStr">
        <is>
          <t>SOUTH BOSTON VA, USA</t>
        </is>
      </c>
      <c r="I794" s="775" t="n">
        <v>13787</v>
      </c>
      <c r="J794" s="776" t="inlineStr">
        <is>
          <t>Km</t>
        </is>
      </c>
      <c r="K794" s="777" t="n">
        <v>3700</v>
      </c>
      <c r="L794" s="778">
        <f>M794-K794</f>
        <v/>
      </c>
      <c r="M794" s="779" t="n">
        <v>20062.8</v>
      </c>
      <c r="N794" s="1784" t="n">
        <v>14035</v>
      </c>
      <c r="O794" s="1762">
        <f>N794*E794/1000</f>
        <v/>
      </c>
      <c r="P794" s="1763">
        <f>O794/32</f>
        <v/>
      </c>
      <c r="Q794" s="1764">
        <f>N794*I794/1000</f>
        <v/>
      </c>
    </row>
    <row r="795" ht="15.75" customHeight="1">
      <c r="A795" s="721" t="inlineStr">
        <is>
          <t>FO23120003</t>
        </is>
      </c>
      <c r="B795" s="720" t="n">
        <v>45262</v>
      </c>
      <c r="C795" s="721" t="inlineStr">
        <is>
          <t>มัลติแบกซ์</t>
        </is>
      </c>
      <c r="D795" s="721" t="inlineStr">
        <is>
          <t>ท่าเรือแหลมฉบัง</t>
        </is>
      </c>
      <c r="E795" s="722" t="n">
        <v>4.1</v>
      </c>
      <c r="F795" s="721" t="inlineStr">
        <is>
          <t>Km</t>
        </is>
      </c>
      <c r="G795" s="721" t="inlineStr">
        <is>
          <t>รถเทรลเลอร์</t>
        </is>
      </c>
      <c r="H795" s="769" t="inlineStr">
        <is>
          <t>SOUTH BOSTON VA, USA</t>
        </is>
      </c>
      <c r="I795" s="724" t="n">
        <v>13787</v>
      </c>
      <c r="J795" s="750" t="inlineStr">
        <is>
          <t>Km</t>
        </is>
      </c>
      <c r="K795" s="725" t="n">
        <v>3840</v>
      </c>
      <c r="L795" s="740">
        <f>M795-K795</f>
        <v/>
      </c>
      <c r="M795" s="738" t="n">
        <v>22911.6</v>
      </c>
      <c r="N795" s="1773" t="n">
        <v>15602.4</v>
      </c>
      <c r="O795" s="1762">
        <f>N795*E795/1000</f>
        <v/>
      </c>
      <c r="P795" s="1763">
        <f>O795/32</f>
        <v/>
      </c>
      <c r="Q795" s="1764">
        <f>N795*I795/1000</f>
        <v/>
      </c>
    </row>
    <row r="796" ht="15.75" customFormat="1" customHeight="1" s="680">
      <c r="A796" s="780" t="inlineStr">
        <is>
          <t>FO23120004</t>
        </is>
      </c>
      <c r="B796" s="771" t="n">
        <v>45266</v>
      </c>
      <c r="C796" s="772" t="inlineStr">
        <is>
          <t>มัลติแบกซ์</t>
        </is>
      </c>
      <c r="D796" s="772" t="inlineStr">
        <is>
          <t>ท่าเรือแหลมฉบัง</t>
        </is>
      </c>
      <c r="E796" s="773" t="n">
        <v>6.2</v>
      </c>
      <c r="F796" s="770" t="inlineStr">
        <is>
          <t>Km</t>
        </is>
      </c>
      <c r="G796" s="770" t="inlineStr">
        <is>
          <t>รถเทรลเลอร์</t>
        </is>
      </c>
      <c r="H796" s="774" t="inlineStr">
        <is>
          <t>APPLETON WI , USA</t>
        </is>
      </c>
      <c r="I796" s="775" t="n">
        <v>13558</v>
      </c>
      <c r="J796" s="776" t="inlineStr">
        <is>
          <t>Km</t>
        </is>
      </c>
      <c r="K796" s="777" t="n">
        <v>3860</v>
      </c>
      <c r="L796" s="778">
        <f>M796-K796</f>
        <v/>
      </c>
      <c r="M796" s="779" t="n">
        <v>21749.1</v>
      </c>
      <c r="N796" s="1784" t="n">
        <v>14665.2</v>
      </c>
      <c r="O796" s="1762">
        <f>N796*E796/1000</f>
        <v/>
      </c>
      <c r="P796" s="1763">
        <f>O796/32</f>
        <v/>
      </c>
      <c r="Q796" s="1764">
        <f>N796*I796/1000</f>
        <v/>
      </c>
    </row>
    <row r="797" ht="15.75" customHeight="1">
      <c r="A797" s="756" t="inlineStr">
        <is>
          <t>FO23120005</t>
        </is>
      </c>
      <c r="B797" s="720" t="n">
        <v>45266</v>
      </c>
      <c r="C797" s="719" t="inlineStr">
        <is>
          <t>มัลติแบกซ์</t>
        </is>
      </c>
      <c r="D797" s="719" t="inlineStr">
        <is>
          <t>ท่าเรือแหลมฉบัง</t>
        </is>
      </c>
      <c r="E797" s="722" t="n">
        <v>5.2</v>
      </c>
      <c r="F797" s="721" t="inlineStr">
        <is>
          <t>Km</t>
        </is>
      </c>
      <c r="G797" s="721" t="inlineStr">
        <is>
          <t>รถเทรลเลอร์</t>
        </is>
      </c>
      <c r="H797" s="769" t="inlineStr">
        <is>
          <t>CARROLLTON TX, USA</t>
        </is>
      </c>
      <c r="I797" s="724" t="n">
        <v>14544</v>
      </c>
      <c r="J797" s="750" t="inlineStr">
        <is>
          <t>Km</t>
        </is>
      </c>
      <c r="K797" s="725" t="n">
        <v>3830</v>
      </c>
      <c r="L797" s="740">
        <f>M797-K797</f>
        <v/>
      </c>
      <c r="M797" s="738" t="n">
        <v>13544.5</v>
      </c>
      <c r="N797" s="1773" t="n">
        <v>6937.5</v>
      </c>
      <c r="O797" s="1762">
        <f>N797*E797/1000</f>
        <v/>
      </c>
      <c r="P797" s="1763">
        <f>O797/32</f>
        <v/>
      </c>
      <c r="Q797" s="1764">
        <f>N797*I797/1000</f>
        <v/>
      </c>
    </row>
    <row r="798" ht="15.75" customFormat="1" customHeight="1" s="680">
      <c r="A798" s="770" t="inlineStr">
        <is>
          <t>FO23120006</t>
        </is>
      </c>
      <c r="B798" s="771" t="n">
        <v>45264</v>
      </c>
      <c r="C798" s="772" t="inlineStr">
        <is>
          <t>มัลติแบกซ์</t>
        </is>
      </c>
      <c r="D798" s="772" t="inlineStr">
        <is>
          <t>ท่าเรือแหลมฉบัง</t>
        </is>
      </c>
      <c r="E798" s="773" t="n">
        <v>6.5</v>
      </c>
      <c r="F798" s="770" t="inlineStr">
        <is>
          <t>Km</t>
        </is>
      </c>
      <c r="G798" s="770" t="inlineStr">
        <is>
          <t>รถเทรลเลอร์</t>
        </is>
      </c>
      <c r="H798" s="774" t="inlineStr">
        <is>
          <t>UK PORT</t>
        </is>
      </c>
      <c r="I798" s="775" t="n">
        <v>9687</v>
      </c>
      <c r="J798" s="776" t="inlineStr">
        <is>
          <t>Km</t>
        </is>
      </c>
      <c r="K798" s="777" t="n">
        <v>3660</v>
      </c>
      <c r="L798" s="778">
        <f>M798-K798</f>
        <v/>
      </c>
      <c r="M798" s="779" t="n">
        <v>23647</v>
      </c>
      <c r="N798" s="1784" t="n">
        <v>18538.2</v>
      </c>
      <c r="O798" s="1762">
        <f>N798*E798/1000</f>
        <v/>
      </c>
      <c r="P798" s="1763">
        <f>O798/32</f>
        <v/>
      </c>
      <c r="Q798" s="1764">
        <f>N798*I798/1000</f>
        <v/>
      </c>
    </row>
    <row r="799" ht="15.75" customHeight="1">
      <c r="A799" s="721" t="inlineStr">
        <is>
          <t>FO23120007</t>
        </is>
      </c>
      <c r="B799" s="720" t="n">
        <v>45264</v>
      </c>
      <c r="C799" s="719" t="inlineStr">
        <is>
          <t>มัลติแบกซ์</t>
        </is>
      </c>
      <c r="D799" s="719" t="inlineStr">
        <is>
          <t>ท่าเรือแหลมฉบัง</t>
        </is>
      </c>
      <c r="E799" s="722" t="n">
        <v>6.5</v>
      </c>
      <c r="F799" s="721" t="inlineStr">
        <is>
          <t>Km</t>
        </is>
      </c>
      <c r="G799" s="721" t="inlineStr">
        <is>
          <t>รถเทรลเลอร์</t>
        </is>
      </c>
      <c r="H799" s="769" t="inlineStr">
        <is>
          <t>UK PORT</t>
        </is>
      </c>
      <c r="I799" s="724" t="n">
        <v>9687</v>
      </c>
      <c r="J799" s="750" t="inlineStr">
        <is>
          <t>Km</t>
        </is>
      </c>
      <c r="K799" s="725" t="n">
        <v>3730</v>
      </c>
      <c r="L799" s="740">
        <f>M799-K799</f>
        <v/>
      </c>
      <c r="M799" s="1769" t="n">
        <v>23115.8</v>
      </c>
      <c r="N799" s="1773" t="n">
        <v>18145.8</v>
      </c>
      <c r="O799" s="1762">
        <f>N799*E799/1000</f>
        <v/>
      </c>
      <c r="P799" s="1763">
        <f>O799/32</f>
        <v/>
      </c>
      <c r="Q799" s="1764">
        <f>N799*I799/1000</f>
        <v/>
      </c>
    </row>
    <row r="800" ht="15.75" customFormat="1" customHeight="1" s="680">
      <c r="A800" s="780" t="inlineStr">
        <is>
          <t>FO23120008</t>
        </is>
      </c>
      <c r="B800" s="771" t="n">
        <v>45267</v>
      </c>
      <c r="C800" s="772" t="inlineStr">
        <is>
          <t>มัลติแบกซ์</t>
        </is>
      </c>
      <c r="D800" s="772" t="inlineStr">
        <is>
          <t>ท่าเรือแหลมฉบัง</t>
        </is>
      </c>
      <c r="E800" s="773" t="n">
        <v>6.2</v>
      </c>
      <c r="F800" s="770" t="inlineStr">
        <is>
          <t>Km</t>
        </is>
      </c>
      <c r="G800" s="770" t="inlineStr">
        <is>
          <t>รถเทรลเลอร์</t>
        </is>
      </c>
      <c r="H800" s="774" t="inlineStr">
        <is>
          <t>SANTA TERESA, NM USA</t>
        </is>
      </c>
      <c r="I800" s="775" t="n">
        <v>17387</v>
      </c>
      <c r="J800" s="776" t="inlineStr">
        <is>
          <t>Km</t>
        </is>
      </c>
      <c r="K800" s="777" t="n">
        <v>3890</v>
      </c>
      <c r="L800" s="778">
        <f>M800-K800</f>
        <v/>
      </c>
      <c r="M800" s="779" t="n">
        <v>21958.62</v>
      </c>
      <c r="N800" s="1784" t="n">
        <v>15629.54</v>
      </c>
      <c r="O800" s="1762">
        <f>N800*E800/1000</f>
        <v/>
      </c>
      <c r="P800" s="1763">
        <f>O800/32</f>
        <v/>
      </c>
      <c r="Q800" s="1764">
        <f>N800*I800/1000</f>
        <v/>
      </c>
    </row>
    <row r="801" ht="15.75" customHeight="1">
      <c r="A801" s="721" t="inlineStr">
        <is>
          <t>FO23120009</t>
        </is>
      </c>
      <c r="B801" s="720" t="n">
        <v>45265</v>
      </c>
      <c r="C801" s="719" t="inlineStr">
        <is>
          <t>มัลติแบกซ์</t>
        </is>
      </c>
      <c r="D801" s="719" t="inlineStr">
        <is>
          <t>ท่าเรือแหลมฉบัง</t>
        </is>
      </c>
      <c r="E801" s="722" t="n">
        <v>7.1</v>
      </c>
      <c r="F801" s="721" t="inlineStr">
        <is>
          <t>Km</t>
        </is>
      </c>
      <c r="G801" s="721" t="inlineStr">
        <is>
          <t>รถเทรลเลอร์</t>
        </is>
      </c>
      <c r="H801" s="769" t="inlineStr">
        <is>
          <t>MELBOURNE, AUSTRALIA</t>
        </is>
      </c>
      <c r="I801" s="724" t="n">
        <v>7283</v>
      </c>
      <c r="J801" s="750" t="inlineStr">
        <is>
          <t>Km</t>
        </is>
      </c>
      <c r="K801" s="725" t="n">
        <v>3640</v>
      </c>
      <c r="L801" s="740">
        <f>M801-K801</f>
        <v/>
      </c>
      <c r="M801" s="738" t="n">
        <v>27717</v>
      </c>
      <c r="N801" s="1773" t="n">
        <v>20569</v>
      </c>
      <c r="O801" s="1762">
        <f>N801*E801/1000</f>
        <v/>
      </c>
      <c r="P801" s="1763">
        <f>O801/32</f>
        <v/>
      </c>
      <c r="Q801" s="1764">
        <f>N801*I801/1000</f>
        <v/>
      </c>
    </row>
    <row r="802" ht="15.75" customFormat="1" customHeight="1" s="680">
      <c r="A802" s="780" t="inlineStr">
        <is>
          <t>FO23120010</t>
        </is>
      </c>
      <c r="B802" s="771" t="n">
        <v>45266</v>
      </c>
      <c r="C802" s="772" t="inlineStr">
        <is>
          <t>มัลติแบกซ์</t>
        </is>
      </c>
      <c r="D802" s="772" t="inlineStr">
        <is>
          <t>ท่าเรือแหลมฉบัง</t>
        </is>
      </c>
      <c r="E802" s="773" t="n">
        <v>7.1</v>
      </c>
      <c r="F802" s="770" t="inlineStr">
        <is>
          <t>Km</t>
        </is>
      </c>
      <c r="G802" s="770" t="inlineStr">
        <is>
          <t>รถเทรลเลอร์</t>
        </is>
      </c>
      <c r="H802" s="774" t="inlineStr">
        <is>
          <t>MELBOURNE, AUSTRALIA</t>
        </is>
      </c>
      <c r="I802" s="775" t="n">
        <v>7283</v>
      </c>
      <c r="J802" s="776" t="inlineStr">
        <is>
          <t>Km</t>
        </is>
      </c>
      <c r="K802" s="777" t="n">
        <v>3770</v>
      </c>
      <c r="L802" s="778">
        <f>M802-K802</f>
        <v/>
      </c>
      <c r="M802" s="779" t="n">
        <v>28807</v>
      </c>
      <c r="N802" s="1784" t="n">
        <v>19570.5</v>
      </c>
      <c r="O802" s="1762">
        <f>N802*E802/1000</f>
        <v/>
      </c>
      <c r="P802" s="1763">
        <f>O802/32</f>
        <v/>
      </c>
      <c r="Q802" s="1764">
        <f>N802*I802/1000</f>
        <v/>
      </c>
    </row>
    <row r="803" ht="15.75" customHeight="1">
      <c r="A803" s="756" t="inlineStr">
        <is>
          <t>FO23120011</t>
        </is>
      </c>
      <c r="B803" s="720" t="n">
        <v>45276</v>
      </c>
      <c r="C803" s="719" t="inlineStr">
        <is>
          <t>มัลติแบกซ์</t>
        </is>
      </c>
      <c r="D803" s="719" t="inlineStr">
        <is>
          <t>ท่าเรือแหลมฉบัง</t>
        </is>
      </c>
      <c r="E803" s="722" t="n">
        <v>4.1</v>
      </c>
      <c r="F803" s="721" t="inlineStr">
        <is>
          <t>Km</t>
        </is>
      </c>
      <c r="G803" s="721" t="inlineStr">
        <is>
          <t>รถเทรลเลอร์</t>
        </is>
      </c>
      <c r="H803" s="769" t="inlineStr">
        <is>
          <t>UK PORT</t>
        </is>
      </c>
      <c r="I803" s="724" t="n">
        <v>9687</v>
      </c>
      <c r="J803" s="750" t="inlineStr">
        <is>
          <t>Km</t>
        </is>
      </c>
      <c r="K803" s="725" t="n">
        <v>2220</v>
      </c>
      <c r="L803" s="740">
        <f>M803-K803</f>
        <v/>
      </c>
      <c r="M803" s="725" t="n">
        <v>7997</v>
      </c>
      <c r="N803" s="1773" t="n">
        <v>4550</v>
      </c>
      <c r="O803" s="1762">
        <f>N803*E803/1000</f>
        <v/>
      </c>
      <c r="P803" s="1763">
        <f>O803/32</f>
        <v/>
      </c>
      <c r="Q803" s="1764">
        <f>N803*I803/1000</f>
        <v/>
      </c>
    </row>
    <row r="804" ht="15.75" customFormat="1" customHeight="1" s="680">
      <c r="A804" s="780" t="inlineStr">
        <is>
          <t>FO23120012</t>
        </is>
      </c>
      <c r="B804" s="771" t="n">
        <v>45267</v>
      </c>
      <c r="C804" s="772" t="inlineStr">
        <is>
          <t>มัลติแบกซ์</t>
        </is>
      </c>
      <c r="D804" s="772" t="inlineStr">
        <is>
          <t>ท่าเรือแหลมฉบัง</t>
        </is>
      </c>
      <c r="E804" s="773" t="n">
        <v>6.5</v>
      </c>
      <c r="F804" s="770" t="inlineStr">
        <is>
          <t>Km</t>
        </is>
      </c>
      <c r="G804" s="770" t="inlineStr">
        <is>
          <t>รถเทรลเลอร์</t>
        </is>
      </c>
      <c r="H804" s="774" t="inlineStr">
        <is>
          <t>UNIVERSITY PARK IL, USA</t>
        </is>
      </c>
      <c r="I804" s="775" t="n">
        <v>13877</v>
      </c>
      <c r="J804" s="776" t="inlineStr">
        <is>
          <t>Km</t>
        </is>
      </c>
      <c r="K804" s="777" t="n">
        <v>3620</v>
      </c>
      <c r="L804" s="778">
        <f>M804-K804</f>
        <v/>
      </c>
      <c r="M804" s="779" t="n">
        <v>14346</v>
      </c>
      <c r="N804" s="1784" t="n">
        <v>8196.200000000001</v>
      </c>
      <c r="O804" s="1762">
        <f>N804*E804/1000</f>
        <v/>
      </c>
      <c r="P804" s="1763">
        <f>O804/32</f>
        <v/>
      </c>
      <c r="Q804" s="1764">
        <f>N804*I804/1000</f>
        <v/>
      </c>
    </row>
    <row r="805" ht="15.75" customHeight="1">
      <c r="A805" s="756" t="inlineStr">
        <is>
          <t>FO23120013</t>
        </is>
      </c>
      <c r="B805" s="720" t="n">
        <v>45267</v>
      </c>
      <c r="C805" s="719" t="inlineStr">
        <is>
          <t>มัลติแบกซ์</t>
        </is>
      </c>
      <c r="D805" s="719" t="inlineStr">
        <is>
          <t>ท่าเรือแหลมฉบัง</t>
        </is>
      </c>
      <c r="E805" s="722" t="n">
        <v>6.5</v>
      </c>
      <c r="F805" s="721" t="inlineStr">
        <is>
          <t>Km</t>
        </is>
      </c>
      <c r="G805" s="721" t="inlineStr">
        <is>
          <t>รถเทรลเลอร์</t>
        </is>
      </c>
      <c r="H805" s="769" t="inlineStr">
        <is>
          <t>UNIVERSITY PARK IL, USA</t>
        </is>
      </c>
      <c r="I805" s="724" t="n">
        <v>13877</v>
      </c>
      <c r="J805" s="750" t="inlineStr">
        <is>
          <t>Km</t>
        </is>
      </c>
      <c r="K805" s="725" t="n">
        <v>3700</v>
      </c>
      <c r="L805" s="740">
        <f>M805-K805</f>
        <v/>
      </c>
      <c r="M805" s="738" t="n">
        <v>15714</v>
      </c>
      <c r="N805" s="1773" t="n">
        <v>8988</v>
      </c>
      <c r="O805" s="1762">
        <f>N805*E805/1000</f>
        <v/>
      </c>
      <c r="P805" s="1763">
        <f>O805/32</f>
        <v/>
      </c>
      <c r="Q805" s="1764">
        <f>N805*I805/1000</f>
        <v/>
      </c>
    </row>
    <row r="806" ht="15.75" customFormat="1" customHeight="1" s="680">
      <c r="A806" s="780" t="inlineStr">
        <is>
          <t>FO23120014</t>
        </is>
      </c>
      <c r="B806" s="771" t="n">
        <v>45267</v>
      </c>
      <c r="C806" s="772" t="inlineStr">
        <is>
          <t>มัลติแบกซ์</t>
        </is>
      </c>
      <c r="D806" s="772" t="inlineStr">
        <is>
          <t>ท่าเรือแหลมฉบัง</t>
        </is>
      </c>
      <c r="E806" s="773" t="n">
        <v>6.5</v>
      </c>
      <c r="F806" s="770" t="inlineStr">
        <is>
          <t>Km</t>
        </is>
      </c>
      <c r="G806" s="770" t="inlineStr">
        <is>
          <t>รถเทรลเลอร์</t>
        </is>
      </c>
      <c r="H806" s="774" t="inlineStr">
        <is>
          <t>UNIVERSITY PARK IL, USA</t>
        </is>
      </c>
      <c r="I806" s="775" t="n">
        <v>13877</v>
      </c>
      <c r="J806" s="776" t="inlineStr">
        <is>
          <t>Km</t>
        </is>
      </c>
      <c r="K806" s="777" t="n">
        <v>3840</v>
      </c>
      <c r="L806" s="778">
        <f>M806-K806</f>
        <v/>
      </c>
      <c r="M806" s="777" t="n">
        <v>14029.8</v>
      </c>
      <c r="N806" s="1784" t="n">
        <v>7660</v>
      </c>
      <c r="O806" s="1762">
        <f>N806*E806/1000</f>
        <v/>
      </c>
      <c r="P806" s="1763">
        <f>O806/32</f>
        <v/>
      </c>
      <c r="Q806" s="1764">
        <f>N806*I806/1000</f>
        <v/>
      </c>
    </row>
    <row r="807" ht="15.75" customHeight="1">
      <c r="A807" s="721" t="inlineStr">
        <is>
          <t>FO23120015</t>
        </is>
      </c>
      <c r="B807" s="720" t="n">
        <v>45266</v>
      </c>
      <c r="C807" s="719" t="inlineStr">
        <is>
          <t>มัลติแบกซ์</t>
        </is>
      </c>
      <c r="D807" s="719" t="inlineStr">
        <is>
          <t>ท่าเรือแหลมฉบัง</t>
        </is>
      </c>
      <c r="E807" s="722" t="n">
        <v>5.2</v>
      </c>
      <c r="F807" s="721" t="inlineStr">
        <is>
          <t>Km</t>
        </is>
      </c>
      <c r="G807" s="721" t="inlineStr">
        <is>
          <t>รถเทรลเลอร์</t>
        </is>
      </c>
      <c r="H807" s="769" t="inlineStr">
        <is>
          <t>SINGAPORE</t>
        </is>
      </c>
      <c r="I807" s="724" t="n">
        <v>1931</v>
      </c>
      <c r="J807" s="750" t="inlineStr">
        <is>
          <t>Km</t>
        </is>
      </c>
      <c r="K807" s="725" t="n">
        <v>5217.21</v>
      </c>
      <c r="L807" s="740">
        <f>M807-K807</f>
        <v/>
      </c>
      <c r="M807" s="738" t="n">
        <v>6184.99</v>
      </c>
      <c r="N807" s="1773" t="n">
        <v>5217.21</v>
      </c>
      <c r="O807" s="1762">
        <f>N807*E807/1000</f>
        <v/>
      </c>
      <c r="P807" s="1763">
        <f>O807/32</f>
        <v/>
      </c>
      <c r="Q807" s="1764">
        <f>N807*I807/1000</f>
        <v/>
      </c>
    </row>
    <row r="808" ht="15.75" customFormat="1" customHeight="1" s="680">
      <c r="A808" s="780" t="inlineStr">
        <is>
          <t>FO23120016</t>
        </is>
      </c>
      <c r="B808" s="771" t="n">
        <v>45272</v>
      </c>
      <c r="C808" s="772" t="inlineStr">
        <is>
          <t>มัลติแบกซ์</t>
        </is>
      </c>
      <c r="D808" s="772" t="inlineStr">
        <is>
          <t>ท่าเรือแหลมฉบัง</t>
        </is>
      </c>
      <c r="E808" s="773" t="n">
        <v>6.2</v>
      </c>
      <c r="F808" s="770" t="inlineStr">
        <is>
          <t>Km</t>
        </is>
      </c>
      <c r="G808" s="770" t="inlineStr">
        <is>
          <t>รถเทรลเลอร์</t>
        </is>
      </c>
      <c r="H808" s="774" t="inlineStr">
        <is>
          <t>HONG KONG</t>
        </is>
      </c>
      <c r="I808" s="775" t="n">
        <v>1734</v>
      </c>
      <c r="J808" s="776" t="inlineStr">
        <is>
          <t>Km</t>
        </is>
      </c>
      <c r="K808" s="777" t="n">
        <v>3650</v>
      </c>
      <c r="L808" s="778">
        <f>M808-K808</f>
        <v/>
      </c>
      <c r="M808" s="779" t="n">
        <v>15811.7</v>
      </c>
      <c r="N808" s="1784" t="n">
        <v>9457.4</v>
      </c>
      <c r="O808" s="1762">
        <f>N808*E808/1000</f>
        <v/>
      </c>
      <c r="P808" s="1763">
        <f>O808/32</f>
        <v/>
      </c>
      <c r="Q808" s="1764">
        <f>N808*I808/1000</f>
        <v/>
      </c>
    </row>
    <row r="809" ht="15.75" customHeight="1">
      <c r="A809" s="756" t="inlineStr">
        <is>
          <t>FO23120017</t>
        </is>
      </c>
      <c r="B809" s="720" t="n">
        <v>45279</v>
      </c>
      <c r="C809" s="719" t="inlineStr">
        <is>
          <t>มัลติแบกซ์</t>
        </is>
      </c>
      <c r="D809" s="719" t="inlineStr">
        <is>
          <t>ท่าเรือแหลมฉบัง</t>
        </is>
      </c>
      <c r="E809" s="722" t="n">
        <v>6.5</v>
      </c>
      <c r="F809" s="721" t="inlineStr">
        <is>
          <t>Km</t>
        </is>
      </c>
      <c r="G809" s="721" t="inlineStr">
        <is>
          <t>รถเทรลเลอร์</t>
        </is>
      </c>
      <c r="H809" s="769" t="inlineStr">
        <is>
          <t>AUCKLAND, NEW ZEALAND</t>
        </is>
      </c>
      <c r="I809" s="724" t="n">
        <v>9486</v>
      </c>
      <c r="J809" s="750" t="inlineStr">
        <is>
          <t>Km</t>
        </is>
      </c>
      <c r="K809" s="725" t="n">
        <v>3830</v>
      </c>
      <c r="L809" s="740">
        <f>M809-K809</f>
        <v/>
      </c>
      <c r="M809" s="725" t="n">
        <v>18871.1</v>
      </c>
      <c r="N809" s="1773" t="n">
        <v>11254.87</v>
      </c>
      <c r="O809" s="1762">
        <f>N809*E809/1000</f>
        <v/>
      </c>
      <c r="P809" s="1763">
        <f>O809/32</f>
        <v/>
      </c>
      <c r="Q809" s="1764">
        <f>N809*I809/1000</f>
        <v/>
      </c>
    </row>
    <row r="810" ht="15.75" customFormat="1" customHeight="1" s="680">
      <c r="A810" s="780" t="inlineStr">
        <is>
          <t>FO23120018</t>
        </is>
      </c>
      <c r="B810" s="771" t="n">
        <v>45279</v>
      </c>
      <c r="C810" s="772" t="inlineStr">
        <is>
          <t>มัลติแบกซ์</t>
        </is>
      </c>
      <c r="D810" s="772" t="inlineStr">
        <is>
          <t>ท่าเรือแหลมฉบัง</t>
        </is>
      </c>
      <c r="E810" s="773" t="n">
        <v>6.5</v>
      </c>
      <c r="F810" s="770" t="inlineStr">
        <is>
          <t>Km</t>
        </is>
      </c>
      <c r="G810" s="770" t="inlineStr">
        <is>
          <t>รถเทรลเลอร์</t>
        </is>
      </c>
      <c r="H810" s="774" t="inlineStr">
        <is>
          <t>AUCKLAND, NEW ZEALAND</t>
        </is>
      </c>
      <c r="I810" s="775" t="n">
        <v>9486</v>
      </c>
      <c r="J810" s="776" t="inlineStr">
        <is>
          <t>Km</t>
        </is>
      </c>
      <c r="K810" s="777" t="n">
        <v>3770</v>
      </c>
      <c r="L810" s="778">
        <f>M810-K810</f>
        <v/>
      </c>
      <c r="M810" s="777" t="n">
        <v>24221</v>
      </c>
      <c r="N810" s="1784" t="n">
        <v>15031.48</v>
      </c>
      <c r="O810" s="1762">
        <f>N810*E810/1000</f>
        <v/>
      </c>
      <c r="P810" s="1763">
        <f>O810/32</f>
        <v/>
      </c>
      <c r="Q810" s="1764">
        <f>N810*I810/1000</f>
        <v/>
      </c>
    </row>
    <row r="811" ht="15.75" customHeight="1">
      <c r="A811" s="756" t="inlineStr">
        <is>
          <t>FO23120019</t>
        </is>
      </c>
      <c r="B811" s="720" t="n">
        <v>45279</v>
      </c>
      <c r="C811" s="719" t="inlineStr">
        <is>
          <t>มัลติแบกซ์</t>
        </is>
      </c>
      <c r="D811" s="719" t="inlineStr">
        <is>
          <t>ท่าเรือแหลมฉบัง</t>
        </is>
      </c>
      <c r="E811" s="722" t="n">
        <v>6.5</v>
      </c>
      <c r="F811" s="721" t="inlineStr">
        <is>
          <t>Km</t>
        </is>
      </c>
      <c r="G811" s="721" t="inlineStr">
        <is>
          <t>รถเทรลเลอร์</t>
        </is>
      </c>
      <c r="H811" s="769" t="inlineStr">
        <is>
          <t>AUCKLAND, NEW ZEALAND</t>
        </is>
      </c>
      <c r="I811" s="724" t="n">
        <v>9486</v>
      </c>
      <c r="J811" s="750" t="inlineStr">
        <is>
          <t>Km</t>
        </is>
      </c>
      <c r="K811" s="725" t="n">
        <v>3830</v>
      </c>
      <c r="L811" s="740">
        <f>M811-K811</f>
        <v/>
      </c>
      <c r="M811" s="725" t="n">
        <v>20809.7</v>
      </c>
      <c r="N811" s="1773" t="n">
        <v>13441.45</v>
      </c>
      <c r="O811" s="1762">
        <f>N811*E811/1000</f>
        <v/>
      </c>
      <c r="P811" s="1763">
        <f>O811/32</f>
        <v/>
      </c>
      <c r="Q811" s="1764">
        <f>N811*I811/1000</f>
        <v/>
      </c>
    </row>
    <row r="812" ht="15.75" customFormat="1" customHeight="1" s="680">
      <c r="A812" s="770" t="inlineStr">
        <is>
          <t>FO23120020</t>
        </is>
      </c>
      <c r="B812" s="771" t="n">
        <v>45266</v>
      </c>
      <c r="C812" s="772" t="inlineStr">
        <is>
          <t>มัลติแบกซ์</t>
        </is>
      </c>
      <c r="D812" s="772" t="inlineStr">
        <is>
          <t>ท่าเรือแหลมฉบัง</t>
        </is>
      </c>
      <c r="E812" s="773" t="n">
        <v>6.2</v>
      </c>
      <c r="F812" s="770" t="inlineStr">
        <is>
          <t>Km</t>
        </is>
      </c>
      <c r="G812" s="770" t="inlineStr">
        <is>
          <t>รถเทรลเลอร์</t>
        </is>
      </c>
      <c r="H812" s="774" t="inlineStr">
        <is>
          <t>LOUISVILLE KY, USA</t>
        </is>
      </c>
      <c r="I812" s="775" t="n">
        <v>14253</v>
      </c>
      <c r="J812" s="776" t="inlineStr">
        <is>
          <t>Km</t>
        </is>
      </c>
      <c r="K812" s="777" t="n">
        <v>3700</v>
      </c>
      <c r="L812" s="778">
        <f>M812-K812</f>
        <v/>
      </c>
      <c r="M812" s="779" t="n">
        <v>15102.82</v>
      </c>
      <c r="N812" s="1784" t="n">
        <v>8563.440000000001</v>
      </c>
      <c r="O812" s="1762">
        <f>N812*E812/1000</f>
        <v/>
      </c>
      <c r="P812" s="1763">
        <f>O812/32</f>
        <v/>
      </c>
      <c r="Q812" s="1764">
        <f>N812*I812/1000</f>
        <v/>
      </c>
    </row>
    <row r="813" ht="15.75" customHeight="1">
      <c r="A813" s="721" t="inlineStr">
        <is>
          <t>FO23120021</t>
        </is>
      </c>
      <c r="B813" s="720" t="n">
        <v>45266</v>
      </c>
      <c r="C813" s="719" t="inlineStr">
        <is>
          <t>มัลติแบกซ์</t>
        </is>
      </c>
      <c r="D813" s="719" t="inlineStr">
        <is>
          <t>ท่าเรือแหลมฉบัง</t>
        </is>
      </c>
      <c r="E813" s="722" t="n">
        <v>6.2</v>
      </c>
      <c r="F813" s="721" t="inlineStr">
        <is>
          <t>Km</t>
        </is>
      </c>
      <c r="G813" s="721" t="inlineStr">
        <is>
          <t>รถเทรลเลอร์</t>
        </is>
      </c>
      <c r="H813" s="769" t="inlineStr">
        <is>
          <t>LOUISVILLE KY, USA</t>
        </is>
      </c>
      <c r="I813" s="724" t="n">
        <v>14253</v>
      </c>
      <c r="J813" s="750" t="inlineStr">
        <is>
          <t>Km</t>
        </is>
      </c>
      <c r="K813" s="725" t="n">
        <v>3700</v>
      </c>
      <c r="L813" s="740">
        <f>M813-K813</f>
        <v/>
      </c>
      <c r="M813" s="738" t="n">
        <v>15936.38</v>
      </c>
      <c r="N813" s="1773" t="n">
        <v>9343.92</v>
      </c>
      <c r="O813" s="1762">
        <f>N813*E813/1000</f>
        <v/>
      </c>
      <c r="P813" s="1763">
        <f>O813/32</f>
        <v/>
      </c>
      <c r="Q813" s="1764">
        <f>N813*I813/1000</f>
        <v/>
      </c>
    </row>
    <row r="814" ht="15.75" customFormat="1" customHeight="1" s="680">
      <c r="A814" s="770" t="inlineStr">
        <is>
          <t>FO23120022</t>
        </is>
      </c>
      <c r="B814" s="771" t="n">
        <v>45274</v>
      </c>
      <c r="C814" s="781" t="inlineStr">
        <is>
          <t>มัลติแบกซ์</t>
        </is>
      </c>
      <c r="D814" s="781" t="inlineStr">
        <is>
          <t>ท่าเรือแหลมฉบัง</t>
        </is>
      </c>
      <c r="E814" s="782" t="n">
        <v>6.2</v>
      </c>
      <c r="F814" s="781" t="inlineStr">
        <is>
          <t>Km</t>
        </is>
      </c>
      <c r="G814" s="781" t="inlineStr">
        <is>
          <t>รถเทรลเลอร์</t>
        </is>
      </c>
      <c r="H814" s="774" t="inlineStr">
        <is>
          <t>SINGAPORE</t>
        </is>
      </c>
      <c r="I814" s="775" t="n">
        <v>1931</v>
      </c>
      <c r="J814" s="783" t="inlineStr">
        <is>
          <t>Km</t>
        </is>
      </c>
      <c r="K814" s="784" t="n">
        <v>2272.2</v>
      </c>
      <c r="L814" s="785" t="n">
        <v>1125.6</v>
      </c>
      <c r="M814" s="786" t="n">
        <v>3397.8</v>
      </c>
      <c r="N814" s="1785" t="n">
        <v>2272.2</v>
      </c>
      <c r="O814" s="1762">
        <f>N814*E814/1000</f>
        <v/>
      </c>
      <c r="P814" s="1763">
        <f>O814/32</f>
        <v/>
      </c>
      <c r="Q814" s="1764">
        <f>N814*I814/1000</f>
        <v/>
      </c>
    </row>
    <row r="815" ht="15.75" customHeight="1">
      <c r="A815" s="721" t="inlineStr">
        <is>
          <t>FO23120023</t>
        </is>
      </c>
      <c r="B815" s="720" t="n">
        <v>45272</v>
      </c>
      <c r="C815" s="698" t="inlineStr">
        <is>
          <t>มัลติแบกซ์</t>
        </is>
      </c>
      <c r="D815" s="698" t="inlineStr">
        <is>
          <t>ท่าเรือแหลมฉบัง</t>
        </is>
      </c>
      <c r="E815" s="700" t="n">
        <v>6.2</v>
      </c>
      <c r="F815" s="698" t="inlineStr">
        <is>
          <t>Km</t>
        </is>
      </c>
      <c r="G815" s="698" t="inlineStr">
        <is>
          <t>รถเทรลเลอร์</t>
        </is>
      </c>
      <c r="H815" s="769" t="inlineStr">
        <is>
          <t>SINGAPORE</t>
        </is>
      </c>
      <c r="I815" s="724" t="n">
        <v>1931</v>
      </c>
      <c r="J815" s="703" t="inlineStr">
        <is>
          <t>Km</t>
        </is>
      </c>
      <c r="K815" s="704" t="n">
        <v>4186.24</v>
      </c>
      <c r="L815" s="744" t="n">
        <v>1496.12</v>
      </c>
      <c r="M815" s="751" t="n">
        <v>5682.36</v>
      </c>
      <c r="N815" s="1774" t="n">
        <v>4186.24</v>
      </c>
      <c r="O815" s="1762">
        <f>N815*E815/1000</f>
        <v/>
      </c>
      <c r="P815" s="1763">
        <f>O815/32</f>
        <v/>
      </c>
      <c r="Q815" s="1764">
        <f>N815*I815/1000</f>
        <v/>
      </c>
    </row>
    <row r="816" ht="15.75" customFormat="1" customHeight="1" s="680">
      <c r="A816" s="780" t="inlineStr">
        <is>
          <t>FO23120024</t>
        </is>
      </c>
      <c r="B816" s="771" t="n">
        <v>45267</v>
      </c>
      <c r="C816" s="772" t="inlineStr">
        <is>
          <t>มัลติแบกซ์</t>
        </is>
      </c>
      <c r="D816" s="772" t="inlineStr">
        <is>
          <t>ท่าเรือแหลมฉบัง</t>
        </is>
      </c>
      <c r="E816" s="773" t="n">
        <v>6.2</v>
      </c>
      <c r="F816" s="770" t="inlineStr">
        <is>
          <t>Km</t>
        </is>
      </c>
      <c r="G816" s="770" t="inlineStr">
        <is>
          <t>รถเทรลเลอร์</t>
        </is>
      </c>
      <c r="H816" s="774" t="inlineStr">
        <is>
          <t>JACKSONVILLE IL, USA</t>
        </is>
      </c>
      <c r="I816" s="775" t="n">
        <v>15168</v>
      </c>
      <c r="J816" s="776" t="inlineStr">
        <is>
          <t>Km</t>
        </is>
      </c>
      <c r="K816" s="777" t="n">
        <v>3690</v>
      </c>
      <c r="L816" s="778">
        <f>M816-K816</f>
        <v/>
      </c>
      <c r="M816" s="779" t="n">
        <v>23915.2</v>
      </c>
      <c r="N816" s="1784" t="n">
        <v>16320</v>
      </c>
      <c r="O816" s="1762">
        <f>N816*E816/1000</f>
        <v/>
      </c>
      <c r="P816" s="1763">
        <f>O816/32</f>
        <v/>
      </c>
      <c r="Q816" s="1764">
        <f>N816*I816/1000</f>
        <v/>
      </c>
    </row>
    <row r="817" ht="15.75" customHeight="1">
      <c r="A817" s="756" t="inlineStr">
        <is>
          <t>FO23120025</t>
        </is>
      </c>
      <c r="B817" s="720" t="n">
        <v>45268</v>
      </c>
      <c r="C817" s="719" t="inlineStr">
        <is>
          <t>มัลติแบกซ์</t>
        </is>
      </c>
      <c r="D817" s="719" t="inlineStr">
        <is>
          <t>ท่าเรือแหลมฉบัง</t>
        </is>
      </c>
      <c r="E817" s="722" t="n">
        <v>6.2</v>
      </c>
      <c r="F817" s="721" t="inlineStr">
        <is>
          <t>Km</t>
        </is>
      </c>
      <c r="G817" s="721" t="inlineStr">
        <is>
          <t>รถเทรลเลอร์</t>
        </is>
      </c>
      <c r="H817" s="769" t="inlineStr">
        <is>
          <t>LOUISVILLE KY, USA</t>
        </is>
      </c>
      <c r="I817" s="724" t="n">
        <v>14253</v>
      </c>
      <c r="J817" s="750" t="inlineStr">
        <is>
          <t>Km</t>
        </is>
      </c>
      <c r="K817" s="725" t="n">
        <v>3850</v>
      </c>
      <c r="L817" s="740">
        <f>M817-K817</f>
        <v/>
      </c>
      <c r="M817" s="738" t="n">
        <v>15155.4</v>
      </c>
      <c r="N817" s="1773" t="n">
        <v>8474.360000000001</v>
      </c>
      <c r="O817" s="1762">
        <f>N817*E817/1000</f>
        <v/>
      </c>
      <c r="P817" s="1763">
        <f>O817/32</f>
        <v/>
      </c>
      <c r="Q817" s="1764">
        <f>N817*I817/1000</f>
        <v/>
      </c>
    </row>
    <row r="818" ht="15.75" customFormat="1" customHeight="1" s="680">
      <c r="A818" s="780" t="inlineStr">
        <is>
          <t>FO23120026</t>
        </is>
      </c>
      <c r="B818" s="771" t="n">
        <v>45270</v>
      </c>
      <c r="C818" s="772" t="inlineStr">
        <is>
          <t>มัลติแบกซ์</t>
        </is>
      </c>
      <c r="D818" s="772" t="inlineStr">
        <is>
          <t>ท่าเรือแหลมฉบัง</t>
        </is>
      </c>
      <c r="E818" s="773" t="n">
        <v>7.1</v>
      </c>
      <c r="F818" s="770" t="inlineStr">
        <is>
          <t>Km</t>
        </is>
      </c>
      <c r="G818" s="770" t="inlineStr">
        <is>
          <t>รถเทรลเลอร์</t>
        </is>
      </c>
      <c r="H818" s="774" t="inlineStr">
        <is>
          <t>APPLETON WI , USA</t>
        </is>
      </c>
      <c r="I818" s="775" t="n">
        <v>13558</v>
      </c>
      <c r="J818" s="776" t="inlineStr">
        <is>
          <t>Km</t>
        </is>
      </c>
      <c r="K818" s="777" t="n">
        <v>3700</v>
      </c>
      <c r="L818" s="778">
        <f>M818-K818</f>
        <v/>
      </c>
      <c r="M818" s="779" t="n">
        <v>20062.8</v>
      </c>
      <c r="N818" s="1784" t="n">
        <v>14035</v>
      </c>
      <c r="O818" s="1762">
        <f>N818*E818/1000</f>
        <v/>
      </c>
      <c r="P818" s="1763">
        <f>O818/32</f>
        <v/>
      </c>
      <c r="Q818" s="1764">
        <f>N818*I818/1000</f>
        <v/>
      </c>
    </row>
    <row r="819" ht="15.75" customHeight="1">
      <c r="A819" s="756" t="inlineStr">
        <is>
          <t>FO23120027</t>
        </is>
      </c>
      <c r="B819" s="720" t="n">
        <v>45271</v>
      </c>
      <c r="C819" s="719" t="inlineStr">
        <is>
          <t>มัลติแบกซ์</t>
        </is>
      </c>
      <c r="D819" s="719" t="inlineStr">
        <is>
          <t>ท่าเรือแหลมฉบัง</t>
        </is>
      </c>
      <c r="E819" s="722" t="n">
        <v>7.1</v>
      </c>
      <c r="F819" s="721" t="inlineStr">
        <is>
          <t>Km</t>
        </is>
      </c>
      <c r="G819" s="721" t="inlineStr">
        <is>
          <t>รถเทรลเลอร์</t>
        </is>
      </c>
      <c r="H819" s="769" t="inlineStr">
        <is>
          <t>MANILA, PHILIPPINES</t>
        </is>
      </c>
      <c r="I819" s="724" t="n">
        <v>2167</v>
      </c>
      <c r="J819" s="750" t="inlineStr">
        <is>
          <t>Km</t>
        </is>
      </c>
      <c r="K819" s="725" t="n">
        <v>2200</v>
      </c>
      <c r="L819" s="740">
        <f>M819-K819</f>
        <v/>
      </c>
      <c r="M819" s="738" t="n">
        <v>6642.55</v>
      </c>
      <c r="N819" s="1773" t="n">
        <v>3332.95</v>
      </c>
      <c r="O819" s="1762">
        <f>N819*E819/1000</f>
        <v/>
      </c>
      <c r="P819" s="1763">
        <f>O819/32</f>
        <v/>
      </c>
      <c r="Q819" s="1764">
        <f>N819*I819/1000</f>
        <v/>
      </c>
    </row>
    <row r="820" ht="15.75" customFormat="1" customHeight="1" s="680">
      <c r="A820" s="780" t="inlineStr">
        <is>
          <t>FO23120028</t>
        </is>
      </c>
      <c r="B820" s="771" t="n">
        <v>45272</v>
      </c>
      <c r="C820" s="772" t="inlineStr">
        <is>
          <t>มัลติแบกซ์</t>
        </is>
      </c>
      <c r="D820" s="772" t="inlineStr">
        <is>
          <t>ท่าเรือแหลมฉบัง</t>
        </is>
      </c>
      <c r="E820" s="773" t="n">
        <v>6.5</v>
      </c>
      <c r="F820" s="770" t="inlineStr">
        <is>
          <t>Km</t>
        </is>
      </c>
      <c r="G820" s="770" t="inlineStr">
        <is>
          <t>รถเทรลเลอร์</t>
        </is>
      </c>
      <c r="H820" s="774" t="inlineStr">
        <is>
          <t>CARROLLTON TX, USA</t>
        </is>
      </c>
      <c r="I820" s="775" t="n">
        <v>14544</v>
      </c>
      <c r="J820" s="776" t="inlineStr">
        <is>
          <t>Km</t>
        </is>
      </c>
      <c r="K820" s="777" t="n">
        <v>3840</v>
      </c>
      <c r="L820" s="778">
        <f>M820-K820</f>
        <v/>
      </c>
      <c r="M820" s="779" t="n">
        <v>21729.1</v>
      </c>
      <c r="N820" s="1784" t="n">
        <v>14665.2</v>
      </c>
      <c r="O820" s="1762">
        <f>N820*E820/1000</f>
        <v/>
      </c>
      <c r="P820" s="1763">
        <f>O820/32</f>
        <v/>
      </c>
      <c r="Q820" s="1764">
        <f>N820*I820/1000</f>
        <v/>
      </c>
    </row>
    <row r="821" ht="15.75" customHeight="1">
      <c r="A821" s="756" t="inlineStr">
        <is>
          <t>FO23120029</t>
        </is>
      </c>
      <c r="B821" s="720" t="n">
        <v>45274</v>
      </c>
      <c r="C821" s="719" t="inlineStr">
        <is>
          <t>มัลติแบกซ์</t>
        </is>
      </c>
      <c r="D821" s="719" t="inlineStr">
        <is>
          <t>ท่าเรือแหลมฉบัง</t>
        </is>
      </c>
      <c r="E821" s="722" t="n">
        <v>6.2</v>
      </c>
      <c r="F821" s="721" t="inlineStr">
        <is>
          <t>Km</t>
        </is>
      </c>
      <c r="G821" s="721" t="inlineStr">
        <is>
          <t>รถเทรลเลอร์</t>
        </is>
      </c>
      <c r="H821" s="769" t="inlineStr">
        <is>
          <t>SANTA TERESA, NM USA</t>
        </is>
      </c>
      <c r="I821" s="724" t="n">
        <v>17387</v>
      </c>
      <c r="J821" s="750" t="inlineStr">
        <is>
          <t>Km</t>
        </is>
      </c>
      <c r="K821" s="725" t="n">
        <v>3840</v>
      </c>
      <c r="L821" s="740">
        <f>M821-K821</f>
        <v/>
      </c>
      <c r="M821" s="1769" t="n">
        <v>21010.88</v>
      </c>
      <c r="N821" s="1773" t="n">
        <v>14892.1</v>
      </c>
      <c r="O821" s="1762">
        <f>N821*E821/1000</f>
        <v/>
      </c>
      <c r="P821" s="1763">
        <f>O821/32</f>
        <v/>
      </c>
      <c r="Q821" s="1764">
        <f>N821*I821/1000</f>
        <v/>
      </c>
    </row>
    <row r="822" ht="15.75" customFormat="1" customHeight="1" s="680">
      <c r="A822" s="780" t="inlineStr">
        <is>
          <t>FO23120030</t>
        </is>
      </c>
      <c r="B822" s="771" t="n">
        <v>45273</v>
      </c>
      <c r="C822" s="772" t="inlineStr">
        <is>
          <t>มัลติแบกซ์</t>
        </is>
      </c>
      <c r="D822" s="772" t="inlineStr">
        <is>
          <t>ท่าเรือแหลมฉบัง</t>
        </is>
      </c>
      <c r="E822" s="773" t="n">
        <v>6.2</v>
      </c>
      <c r="F822" s="770" t="inlineStr">
        <is>
          <t>Km</t>
        </is>
      </c>
      <c r="G822" s="770" t="inlineStr">
        <is>
          <t>รถเทรลเลอร์</t>
        </is>
      </c>
      <c r="H822" s="774" t="inlineStr">
        <is>
          <t>APPLETON WI , USA</t>
        </is>
      </c>
      <c r="I822" s="775" t="n">
        <v>13558</v>
      </c>
      <c r="J822" s="776" t="inlineStr">
        <is>
          <t>Km</t>
        </is>
      </c>
      <c r="K822" s="777" t="n">
        <v>3700</v>
      </c>
      <c r="L822" s="778">
        <f>M822-K822</f>
        <v/>
      </c>
      <c r="M822" s="1786" t="n">
        <v>22771.6</v>
      </c>
      <c r="N822" s="1784" t="n">
        <v>15602.4</v>
      </c>
      <c r="O822" s="1762">
        <f>N822*E822/1000</f>
        <v/>
      </c>
      <c r="P822" s="1763">
        <f>O822/32</f>
        <v/>
      </c>
      <c r="Q822" s="1764">
        <f>N822*I822/1000</f>
        <v/>
      </c>
    </row>
    <row r="823" ht="15.75" customHeight="1">
      <c r="A823" s="756" t="inlineStr">
        <is>
          <t>FO23120031</t>
        </is>
      </c>
      <c r="B823" s="720" t="n">
        <v>45271</v>
      </c>
      <c r="C823" s="719" t="inlineStr">
        <is>
          <t>มัลติแบกซ์</t>
        </is>
      </c>
      <c r="D823" s="719" t="inlineStr">
        <is>
          <t>ท่าเรือแหลมฉบัง</t>
        </is>
      </c>
      <c r="E823" s="722" t="n">
        <v>6.5</v>
      </c>
      <c r="F823" s="721" t="inlineStr">
        <is>
          <t>Km</t>
        </is>
      </c>
      <c r="G823" s="721" t="inlineStr">
        <is>
          <t>รถเทรลเลอร์</t>
        </is>
      </c>
      <c r="H823" s="769" t="inlineStr">
        <is>
          <t>HAMBURG, GERMANY</t>
        </is>
      </c>
      <c r="I823" s="724" t="n">
        <v>8894</v>
      </c>
      <c r="J823" s="750" t="inlineStr">
        <is>
          <t>Km</t>
        </is>
      </c>
      <c r="K823" s="725" t="n">
        <v>2260</v>
      </c>
      <c r="L823" s="740">
        <f>M823-K823</f>
        <v/>
      </c>
      <c r="M823" s="738" t="n">
        <v>15727</v>
      </c>
      <c r="N823" s="1773" t="n">
        <v>12812.32</v>
      </c>
      <c r="O823" s="1762">
        <f>N823*E823/1000</f>
        <v/>
      </c>
      <c r="P823" s="1763">
        <f>O823/32</f>
        <v/>
      </c>
      <c r="Q823" s="1764">
        <f>N823*I823/1000</f>
        <v/>
      </c>
    </row>
    <row r="824" ht="15.75" customFormat="1" customHeight="1" s="680">
      <c r="A824" s="780" t="inlineStr">
        <is>
          <t>FO23120032</t>
        </is>
      </c>
      <c r="B824" s="771" t="n">
        <v>45273</v>
      </c>
      <c r="C824" s="772" t="inlineStr">
        <is>
          <t>มัลติแบกซ์</t>
        </is>
      </c>
      <c r="D824" s="772" t="inlineStr">
        <is>
          <t>ท่าเรือแหลมฉบัง</t>
        </is>
      </c>
      <c r="E824" s="773" t="n">
        <v>6</v>
      </c>
      <c r="F824" s="770" t="inlineStr">
        <is>
          <t>Km</t>
        </is>
      </c>
      <c r="G824" s="770" t="inlineStr">
        <is>
          <t>รถเทรลเลอร์</t>
        </is>
      </c>
      <c r="H824" s="774" t="inlineStr">
        <is>
          <t>COLUMBUS OHIO, USA</t>
        </is>
      </c>
      <c r="I824" s="775" t="n">
        <v>14000</v>
      </c>
      <c r="J824" s="776" t="inlineStr">
        <is>
          <t>Km</t>
        </is>
      </c>
      <c r="K824" s="777" t="n">
        <v>3820</v>
      </c>
      <c r="L824" s="778">
        <f>M824-K824</f>
        <v/>
      </c>
      <c r="M824" s="1786" t="n">
        <v>22149.92</v>
      </c>
      <c r="N824" s="1784" t="n">
        <v>16103.96</v>
      </c>
      <c r="O824" s="1762">
        <f>N824*E824/1000</f>
        <v/>
      </c>
      <c r="P824" s="1763">
        <f>O824/32</f>
        <v/>
      </c>
      <c r="Q824" s="1764">
        <f>N824*I824/1000</f>
        <v/>
      </c>
    </row>
    <row r="825" ht="15.75" customHeight="1">
      <c r="A825" s="756" t="inlineStr">
        <is>
          <t>FO23120033</t>
        </is>
      </c>
      <c r="B825" s="720" t="n">
        <v>45273</v>
      </c>
      <c r="C825" s="719" t="inlineStr">
        <is>
          <t>มัลติแบกซ์</t>
        </is>
      </c>
      <c r="D825" s="719" t="inlineStr">
        <is>
          <t>ท่าเรือแหลมฉบัง</t>
        </is>
      </c>
      <c r="E825" s="722" t="n">
        <v>6</v>
      </c>
      <c r="F825" s="721" t="inlineStr">
        <is>
          <t>Km</t>
        </is>
      </c>
      <c r="G825" s="721" t="inlineStr">
        <is>
          <t>รถเทรลเลอร์</t>
        </is>
      </c>
      <c r="H825" s="769" t="inlineStr">
        <is>
          <t>COLUMBUS OHIO, USA</t>
        </is>
      </c>
      <c r="I825" s="724" t="n">
        <v>14000</v>
      </c>
      <c r="J825" s="750" t="inlineStr">
        <is>
          <t>Km</t>
        </is>
      </c>
      <c r="K825" s="725" t="n">
        <v>3750</v>
      </c>
      <c r="L825" s="740">
        <f>M825-K825</f>
        <v/>
      </c>
      <c r="M825" s="1769" t="n">
        <v>21670.98</v>
      </c>
      <c r="N825" s="1773" t="n">
        <v>15745.74</v>
      </c>
      <c r="O825" s="1762">
        <f>N825*E825/1000</f>
        <v/>
      </c>
      <c r="P825" s="1763">
        <f>O825/32</f>
        <v/>
      </c>
      <c r="Q825" s="1764">
        <f>N825*I825/1000</f>
        <v/>
      </c>
    </row>
    <row r="826" ht="15.75" customFormat="1" customHeight="1" s="680">
      <c r="A826" s="772" t="inlineStr">
        <is>
          <t>FO23120034</t>
        </is>
      </c>
      <c r="B826" s="771" t="n">
        <v>45273</v>
      </c>
      <c r="C826" s="772" t="inlineStr">
        <is>
          <t>มัลติแบกซ์</t>
        </is>
      </c>
      <c r="D826" s="772" t="inlineStr">
        <is>
          <t>ท่าเรือแหลมฉบัง</t>
        </is>
      </c>
      <c r="E826" s="773" t="n">
        <v>6</v>
      </c>
      <c r="F826" s="770" t="inlineStr">
        <is>
          <t>Km</t>
        </is>
      </c>
      <c r="G826" s="770" t="inlineStr">
        <is>
          <t>รถเทรลเลอร์</t>
        </is>
      </c>
      <c r="H826" s="774" t="inlineStr">
        <is>
          <t>COLUMBUS OHIO, USA</t>
        </is>
      </c>
      <c r="I826" s="775" t="n">
        <v>14000</v>
      </c>
      <c r="J826" s="776" t="inlineStr">
        <is>
          <t>Km</t>
        </is>
      </c>
      <c r="K826" s="777" t="n">
        <v>3700</v>
      </c>
      <c r="L826" s="778">
        <f>M826-K826</f>
        <v/>
      </c>
      <c r="M826" s="1786" t="n">
        <v>21329.98</v>
      </c>
      <c r="N826" s="1784" t="n">
        <v>15474.22</v>
      </c>
      <c r="O826" s="1762">
        <f>N826*E826/1000</f>
        <v/>
      </c>
      <c r="P826" s="1763">
        <f>O826/32</f>
        <v/>
      </c>
      <c r="Q826" s="1764">
        <f>N826*I826/1000</f>
        <v/>
      </c>
    </row>
    <row r="827" ht="15.75" customHeight="1">
      <c r="A827" s="756" t="inlineStr">
        <is>
          <t>FO23120035</t>
        </is>
      </c>
      <c r="B827" s="720" t="n">
        <v>45273</v>
      </c>
      <c r="C827" s="719" t="inlineStr">
        <is>
          <t>มัลติแบกซ์</t>
        </is>
      </c>
      <c r="D827" s="719" t="inlineStr">
        <is>
          <t>ท่าเรือแหลมฉบัง</t>
        </is>
      </c>
      <c r="E827" s="722" t="n">
        <v>6</v>
      </c>
      <c r="F827" s="721" t="inlineStr">
        <is>
          <t>Km</t>
        </is>
      </c>
      <c r="G827" s="721" t="inlineStr">
        <is>
          <t>รถเทรลเลอร์</t>
        </is>
      </c>
      <c r="H827" s="769" t="inlineStr">
        <is>
          <t>COLUMBUS OHIO, USA</t>
        </is>
      </c>
      <c r="I827" s="724" t="n">
        <v>14000</v>
      </c>
      <c r="J827" s="750" t="inlineStr">
        <is>
          <t>Km</t>
        </is>
      </c>
      <c r="K827" s="725" t="n">
        <v>3670</v>
      </c>
      <c r="L827" s="740">
        <f>M827-K827</f>
        <v/>
      </c>
      <c r="M827" s="1769" t="n">
        <v>21607.72</v>
      </c>
      <c r="N827" s="1773" t="n">
        <v>15964.7</v>
      </c>
      <c r="O827" s="1762">
        <f>N827*E827/1000</f>
        <v/>
      </c>
      <c r="P827" s="1763">
        <f>O827/32</f>
        <v/>
      </c>
      <c r="Q827" s="1764">
        <f>N827*I827/1000</f>
        <v/>
      </c>
    </row>
    <row r="828" ht="15.75" customFormat="1" customHeight="1" s="680">
      <c r="A828" s="780" t="inlineStr">
        <is>
          <t>FO23120036</t>
        </is>
      </c>
      <c r="B828" s="771" t="n">
        <v>45285</v>
      </c>
      <c r="C828" s="772" t="inlineStr">
        <is>
          <t>มัลติแบกซ์</t>
        </is>
      </c>
      <c r="D828" s="772" t="inlineStr">
        <is>
          <t>ท่าเรือแหลมฉบัง</t>
        </is>
      </c>
      <c r="E828" s="773" t="n">
        <v>3.6</v>
      </c>
      <c r="F828" s="770" t="inlineStr">
        <is>
          <t>Km</t>
        </is>
      </c>
      <c r="G828" s="770" t="inlineStr">
        <is>
          <t>รถเทรลเลอร์</t>
        </is>
      </c>
      <c r="H828" s="774" t="inlineStr">
        <is>
          <t>OSAKA, JAPAN</t>
        </is>
      </c>
      <c r="I828" s="775" t="n">
        <v>4220</v>
      </c>
      <c r="J828" s="776" t="inlineStr">
        <is>
          <t>Km</t>
        </is>
      </c>
      <c r="K828" s="773" t="n">
        <v>2210</v>
      </c>
      <c r="L828" s="778">
        <f>M828-K828</f>
        <v/>
      </c>
      <c r="M828" s="773" t="n">
        <v>7450.35</v>
      </c>
      <c r="N828" s="1784" t="n">
        <v>4100.44</v>
      </c>
      <c r="O828" s="1762">
        <f>N828*E828/1000</f>
        <v/>
      </c>
      <c r="P828" s="1763">
        <f>O828/32</f>
        <v/>
      </c>
      <c r="Q828" s="1764">
        <f>N828*I828/1000</f>
        <v/>
      </c>
    </row>
    <row r="829" ht="15.75" customHeight="1">
      <c r="A829" s="756" t="inlineStr">
        <is>
          <t>FO23120037</t>
        </is>
      </c>
      <c r="B829" s="720" t="n">
        <v>45273</v>
      </c>
      <c r="C829" s="719" t="inlineStr">
        <is>
          <t>มัลติแบกซ์</t>
        </is>
      </c>
      <c r="D829" s="719" t="inlineStr">
        <is>
          <t>ท่าเรือแหลมฉบัง</t>
        </is>
      </c>
      <c r="E829" s="722" t="n">
        <v>5.8</v>
      </c>
      <c r="F829" s="721" t="inlineStr">
        <is>
          <t>Km</t>
        </is>
      </c>
      <c r="G829" s="721" t="inlineStr">
        <is>
          <t>รถเทรลเลอร์</t>
        </is>
      </c>
      <c r="H829" s="769" t="inlineStr">
        <is>
          <t>UK PORT</t>
        </is>
      </c>
      <c r="I829" s="724" t="n">
        <v>9687</v>
      </c>
      <c r="J829" s="750" t="inlineStr">
        <is>
          <t>Km</t>
        </is>
      </c>
      <c r="K829" s="725" t="n">
        <v>3800</v>
      </c>
      <c r="L829" s="740">
        <f>M829-K829</f>
        <v/>
      </c>
      <c r="M829" s="738" t="n">
        <v>23697</v>
      </c>
      <c r="N829" s="1773" t="n">
        <v>18561</v>
      </c>
      <c r="O829" s="1762">
        <f>N829*E829/1000</f>
        <v/>
      </c>
      <c r="P829" s="1763">
        <f>O829/32</f>
        <v/>
      </c>
      <c r="Q829" s="1764">
        <f>N829*I829/1000</f>
        <v/>
      </c>
    </row>
    <row r="830" ht="15.75" customFormat="1" customHeight="1" s="680">
      <c r="A830" s="780" t="inlineStr">
        <is>
          <t>FO23120038</t>
        </is>
      </c>
      <c r="B830" s="771" t="n">
        <v>45274</v>
      </c>
      <c r="C830" s="772" t="inlineStr">
        <is>
          <t>มัลติแบกซ์</t>
        </is>
      </c>
      <c r="D830" s="772" t="inlineStr">
        <is>
          <t>ท่าเรือแหลมฉบัง</t>
        </is>
      </c>
      <c r="E830" s="773" t="n">
        <v>6.2</v>
      </c>
      <c r="F830" s="770" t="inlineStr">
        <is>
          <t>Km</t>
        </is>
      </c>
      <c r="G830" s="770" t="inlineStr">
        <is>
          <t>รถเทรลเลอร์</t>
        </is>
      </c>
      <c r="H830" s="774" t="inlineStr">
        <is>
          <t>CARROLLTON TX, USA</t>
        </is>
      </c>
      <c r="I830" s="775" t="n">
        <v>14544</v>
      </c>
      <c r="J830" s="776" t="inlineStr">
        <is>
          <t>Km</t>
        </is>
      </c>
      <c r="K830" s="777" t="n">
        <v>3700</v>
      </c>
      <c r="L830" s="778">
        <f>M830-K830</f>
        <v/>
      </c>
      <c r="M830" s="1786" t="n">
        <v>20062.8</v>
      </c>
      <c r="N830" s="1784" t="n">
        <v>14035</v>
      </c>
      <c r="O830" s="1762">
        <f>N830*E830/1000</f>
        <v/>
      </c>
      <c r="P830" s="1763">
        <f>O830/32</f>
        <v/>
      </c>
      <c r="Q830" s="1764">
        <f>N830*I830/1000</f>
        <v/>
      </c>
    </row>
    <row r="831" ht="15.75" customHeight="1">
      <c r="A831" s="756" t="inlineStr">
        <is>
          <t>FO23120039</t>
        </is>
      </c>
      <c r="B831" s="720" t="n">
        <v>45275</v>
      </c>
      <c r="C831" s="719" t="inlineStr">
        <is>
          <t>มัลติแบกซ์</t>
        </is>
      </c>
      <c r="D831" s="719" t="inlineStr">
        <is>
          <t>ท่าเรือแหลมฉบัง</t>
        </is>
      </c>
      <c r="E831" s="722" t="n">
        <v>7.1</v>
      </c>
      <c r="F831" s="721" t="inlineStr">
        <is>
          <t>Km</t>
        </is>
      </c>
      <c r="G831" s="721" t="inlineStr">
        <is>
          <t>รถเทรลเลอร์</t>
        </is>
      </c>
      <c r="H831" s="769" t="inlineStr">
        <is>
          <t>APPLETON WI , USA</t>
        </is>
      </c>
      <c r="I831" s="724" t="n">
        <v>13558</v>
      </c>
      <c r="J831" s="750" t="inlineStr">
        <is>
          <t>Km</t>
        </is>
      </c>
      <c r="K831" s="725" t="n">
        <v>3700</v>
      </c>
      <c r="L831" s="740">
        <f>M831-K831</f>
        <v/>
      </c>
      <c r="M831" s="725" t="n">
        <v>20062.8</v>
      </c>
      <c r="N831" s="1773" t="n">
        <v>14035</v>
      </c>
      <c r="O831" s="1762">
        <f>N831*E831/1000</f>
        <v/>
      </c>
      <c r="P831" s="1763">
        <f>O831/32</f>
        <v/>
      </c>
      <c r="Q831" s="1764">
        <f>N831*I831/1000</f>
        <v/>
      </c>
    </row>
    <row r="832" ht="15.75" customFormat="1" customHeight="1" s="680">
      <c r="A832" s="780" t="inlineStr">
        <is>
          <t>FO23120040</t>
        </is>
      </c>
      <c r="B832" s="771" t="n">
        <v>45275</v>
      </c>
      <c r="C832" s="772" t="inlineStr">
        <is>
          <t>มัลติแบกซ์</t>
        </is>
      </c>
      <c r="D832" s="772" t="inlineStr">
        <is>
          <t>ท่าเรือแหลมฉบัง</t>
        </is>
      </c>
      <c r="E832" s="773" t="n">
        <v>7.1</v>
      </c>
      <c r="F832" s="770" t="inlineStr">
        <is>
          <t>Km</t>
        </is>
      </c>
      <c r="G832" s="770" t="inlineStr">
        <is>
          <t>รถเทรลเลอร์</t>
        </is>
      </c>
      <c r="H832" s="774" t="inlineStr">
        <is>
          <t>APPLETON WI , USA</t>
        </is>
      </c>
      <c r="I832" s="775" t="n">
        <v>13558</v>
      </c>
      <c r="J832" s="776" t="inlineStr">
        <is>
          <t>Km</t>
        </is>
      </c>
      <c r="K832" s="777" t="n">
        <v>3900</v>
      </c>
      <c r="L832" s="778">
        <f>M832-K832</f>
        <v/>
      </c>
      <c r="M832" s="1786" t="n">
        <v>16460</v>
      </c>
      <c r="N832" s="1784" t="n">
        <v>9747.4</v>
      </c>
      <c r="O832" s="1762">
        <f>N832*E832/1000</f>
        <v/>
      </c>
      <c r="P832" s="1763">
        <f>O832/32</f>
        <v/>
      </c>
      <c r="Q832" s="1764">
        <f>N832*I832/1000</f>
        <v/>
      </c>
    </row>
    <row r="833" ht="15.75" customHeight="1">
      <c r="A833" s="756" t="inlineStr">
        <is>
          <t>FO23120041</t>
        </is>
      </c>
      <c r="B833" s="720" t="n">
        <v>45276</v>
      </c>
      <c r="C833" s="719" t="inlineStr">
        <is>
          <t>มัลติแบกซ์</t>
        </is>
      </c>
      <c r="D833" s="719" t="inlineStr">
        <is>
          <t>ท่าเรือแหลมฉบัง</t>
        </is>
      </c>
      <c r="E833" s="722" t="n">
        <v>7.5</v>
      </c>
      <c r="F833" s="721" t="inlineStr">
        <is>
          <t>Km</t>
        </is>
      </c>
      <c r="G833" s="721" t="inlineStr">
        <is>
          <t>รถเทรลเลอร์</t>
        </is>
      </c>
      <c r="H833" s="769" t="inlineStr">
        <is>
          <t>SHUWAIKH, KUWAIT</t>
        </is>
      </c>
      <c r="I833" s="724" t="n">
        <v>5727</v>
      </c>
      <c r="J833" s="750" t="inlineStr">
        <is>
          <t>Km</t>
        </is>
      </c>
      <c r="K833" s="725" t="n">
        <v>3770</v>
      </c>
      <c r="L833" s="740">
        <f>M833-K833</f>
        <v/>
      </c>
      <c r="M833" s="738" t="n">
        <v>11987.26</v>
      </c>
      <c r="N833" s="1773" t="n">
        <v>6143.94</v>
      </c>
      <c r="O833" s="1762">
        <f>N833*E833/1000</f>
        <v/>
      </c>
      <c r="P833" s="1763">
        <f>O833/32</f>
        <v/>
      </c>
      <c r="Q833" s="1764">
        <f>N833*I833/1000</f>
        <v/>
      </c>
    </row>
    <row r="834" ht="15.75" customFormat="1" customHeight="1" s="680">
      <c r="A834" s="780" t="inlineStr">
        <is>
          <t>FO23120042</t>
        </is>
      </c>
      <c r="B834" s="771" t="n">
        <v>45285</v>
      </c>
      <c r="C834" s="772" t="inlineStr">
        <is>
          <t>มัลติแบกซ์</t>
        </is>
      </c>
      <c r="D834" s="772" t="inlineStr">
        <is>
          <t>ท่าเรือแหลมฉบัง</t>
        </is>
      </c>
      <c r="E834" s="773" t="n">
        <v>5.8</v>
      </c>
      <c r="F834" s="770" t="inlineStr">
        <is>
          <t>Km</t>
        </is>
      </c>
      <c r="G834" s="770" t="inlineStr">
        <is>
          <t>รถเทรลเลอร์</t>
        </is>
      </c>
      <c r="H834" s="774" t="inlineStr">
        <is>
          <t>DURBAN, SOUTH AFRICA</t>
        </is>
      </c>
      <c r="I834" s="775" t="n">
        <v>8865</v>
      </c>
      <c r="J834" s="776" t="inlineStr">
        <is>
          <t>Km</t>
        </is>
      </c>
      <c r="K834" s="773" t="n">
        <v>2150</v>
      </c>
      <c r="L834" s="778">
        <f>M834-K834</f>
        <v/>
      </c>
      <c r="M834" s="773" t="n">
        <v>13768</v>
      </c>
      <c r="N834" s="1784" t="n">
        <v>9875</v>
      </c>
      <c r="O834" s="1762">
        <f>N834*E834/1000</f>
        <v/>
      </c>
      <c r="P834" s="1763">
        <f>O834/32</f>
        <v/>
      </c>
      <c r="Q834" s="1764">
        <f>N834*I834/1000</f>
        <v/>
      </c>
    </row>
    <row r="835" ht="15.75" customHeight="1">
      <c r="A835" s="756" t="inlineStr">
        <is>
          <t>FO23120044</t>
        </is>
      </c>
      <c r="B835" s="720" t="n">
        <v>45281</v>
      </c>
      <c r="C835" s="719" t="inlineStr">
        <is>
          <t>มัลติแบกซ์</t>
        </is>
      </c>
      <c r="D835" s="719" t="inlineStr">
        <is>
          <t>ท่าเรือแหลมฉบัง</t>
        </is>
      </c>
      <c r="E835" s="722" t="n">
        <v>3.6</v>
      </c>
      <c r="F835" s="721" t="inlineStr">
        <is>
          <t>Km</t>
        </is>
      </c>
      <c r="G835" s="721" t="inlineStr">
        <is>
          <t>รถเทรลเลอร์</t>
        </is>
      </c>
      <c r="H835" s="769" t="inlineStr">
        <is>
          <t>TOKYO, JAPAN</t>
        </is>
      </c>
      <c r="I835" s="724" t="n">
        <v>4608</v>
      </c>
      <c r="J835" s="750" t="inlineStr">
        <is>
          <t>Km</t>
        </is>
      </c>
      <c r="K835" s="725" t="n">
        <v>2100</v>
      </c>
      <c r="L835" s="740">
        <f>M835-K835</f>
        <v/>
      </c>
      <c r="M835" s="738" t="n">
        <v>7449.3</v>
      </c>
      <c r="N835" s="1773" t="n">
        <v>4211.98</v>
      </c>
      <c r="O835" s="1762">
        <f>N835*E835/1000</f>
        <v/>
      </c>
      <c r="P835" s="1763">
        <f>O835/32</f>
        <v/>
      </c>
      <c r="Q835" s="1764">
        <f>N835*I835/1000</f>
        <v/>
      </c>
    </row>
    <row r="836" ht="15.75" customFormat="1" customHeight="1" s="680">
      <c r="A836" s="780" t="inlineStr">
        <is>
          <t>FO23120045</t>
        </is>
      </c>
      <c r="B836" s="771" t="n">
        <v>45275</v>
      </c>
      <c r="C836" s="772" t="inlineStr">
        <is>
          <t>มัลติแบกซ์</t>
        </is>
      </c>
      <c r="D836" s="772" t="inlineStr">
        <is>
          <t>ท่าเรือแหลมฉบัง</t>
        </is>
      </c>
      <c r="E836" s="773" t="n">
        <v>7.1</v>
      </c>
      <c r="F836" s="770" t="inlineStr">
        <is>
          <t>Km</t>
        </is>
      </c>
      <c r="G836" s="770" t="inlineStr">
        <is>
          <t>รถเทรลเลอร์</t>
        </is>
      </c>
      <c r="H836" s="774" t="inlineStr">
        <is>
          <t>JACKSONVILLE IL, USA</t>
        </is>
      </c>
      <c r="I836" s="775" t="n">
        <v>15168</v>
      </c>
      <c r="J836" s="776" t="inlineStr">
        <is>
          <t>Km</t>
        </is>
      </c>
      <c r="K836" s="777" t="n">
        <v>3950</v>
      </c>
      <c r="L836" s="778">
        <f>M836-K836</f>
        <v/>
      </c>
      <c r="M836" s="1786" t="n">
        <v>24614.6</v>
      </c>
      <c r="N836" s="1784" t="n">
        <v>16464</v>
      </c>
      <c r="O836" s="1762">
        <f>N836*E836/1000</f>
        <v/>
      </c>
      <c r="P836" s="1763">
        <f>O836/32</f>
        <v/>
      </c>
      <c r="Q836" s="1764">
        <f>N836*I836/1000</f>
        <v/>
      </c>
    </row>
    <row r="837" ht="15.75" customHeight="1">
      <c r="A837" s="756" t="inlineStr">
        <is>
          <t>FO23120046</t>
        </is>
      </c>
      <c r="B837" s="720" t="n">
        <v>45278</v>
      </c>
      <c r="C837" s="719" t="inlineStr">
        <is>
          <t>มัลติแบกซ์</t>
        </is>
      </c>
      <c r="D837" s="719" t="inlineStr">
        <is>
          <t>ท่าเรือแหลมฉบัง</t>
        </is>
      </c>
      <c r="E837" s="722" t="n">
        <v>11.9</v>
      </c>
      <c r="F837" s="721" t="inlineStr">
        <is>
          <t>Km</t>
        </is>
      </c>
      <c r="G837" s="721" t="inlineStr">
        <is>
          <t>รถเทรลเลอร์</t>
        </is>
      </c>
      <c r="H837" s="769" t="inlineStr">
        <is>
          <t>HONG KONG</t>
        </is>
      </c>
      <c r="I837" s="724" t="n">
        <v>1734</v>
      </c>
      <c r="J837" s="750" t="inlineStr">
        <is>
          <t>Km</t>
        </is>
      </c>
      <c r="K837" s="725" t="n">
        <v>3650</v>
      </c>
      <c r="L837" s="740">
        <f>M837-K837</f>
        <v/>
      </c>
      <c r="M837" s="725" t="n">
        <v>13708.6</v>
      </c>
      <c r="N837" s="1773" t="n">
        <v>7931.1</v>
      </c>
      <c r="O837" s="1762">
        <f>N837*E837/1000</f>
        <v/>
      </c>
      <c r="P837" s="1763">
        <f>O837/32</f>
        <v/>
      </c>
      <c r="Q837" s="1764">
        <f>N837*I837/1000</f>
        <v/>
      </c>
    </row>
    <row r="838" ht="15.75" customFormat="1" customHeight="1" s="680">
      <c r="A838" s="780" t="inlineStr">
        <is>
          <t>FO23120047</t>
        </is>
      </c>
      <c r="B838" s="771" t="n">
        <v>45278</v>
      </c>
      <c r="C838" s="772" t="inlineStr">
        <is>
          <t>มัลติแบกซ์</t>
        </is>
      </c>
      <c r="D838" s="772" t="inlineStr">
        <is>
          <t>ท่าเรือแหลมฉบัง</t>
        </is>
      </c>
      <c r="E838" s="773" t="n">
        <v>11.9</v>
      </c>
      <c r="F838" s="770" t="inlineStr">
        <is>
          <t>Km</t>
        </is>
      </c>
      <c r="G838" s="770" t="inlineStr">
        <is>
          <t>รถเทรลเลอร์</t>
        </is>
      </c>
      <c r="H838" s="774" t="inlineStr">
        <is>
          <t>HONG KONG</t>
        </is>
      </c>
      <c r="I838" s="775" t="n">
        <v>1734</v>
      </c>
      <c r="J838" s="776" t="inlineStr">
        <is>
          <t>Km</t>
        </is>
      </c>
      <c r="K838" s="777" t="n">
        <v>3590</v>
      </c>
      <c r="L838" s="778">
        <f>M838-K838</f>
        <v/>
      </c>
      <c r="M838" s="777" t="n">
        <v>15932</v>
      </c>
      <c r="N838" s="1784" t="n">
        <v>9511</v>
      </c>
      <c r="O838" s="1762">
        <f>N838*E838/1000</f>
        <v/>
      </c>
      <c r="P838" s="1763">
        <f>O838/32</f>
        <v/>
      </c>
      <c r="Q838" s="1764">
        <f>N838*I838/1000</f>
        <v/>
      </c>
    </row>
    <row r="839" ht="15.75" customHeight="1">
      <c r="A839" s="756" t="inlineStr">
        <is>
          <t>FO23120048</t>
        </is>
      </c>
      <c r="B839" s="720" t="n">
        <v>45278</v>
      </c>
      <c r="C839" s="719" t="inlineStr">
        <is>
          <t>มัลติแบกซ์</t>
        </is>
      </c>
      <c r="D839" s="719" t="inlineStr">
        <is>
          <t>ท่าเรือแหลมฉบัง</t>
        </is>
      </c>
      <c r="E839" s="722" t="n">
        <v>6.5</v>
      </c>
      <c r="F839" s="721" t="inlineStr">
        <is>
          <t>Km</t>
        </is>
      </c>
      <c r="G839" s="721" t="inlineStr">
        <is>
          <t>รถเทรลเลอร์</t>
        </is>
      </c>
      <c r="H839" s="769" t="inlineStr">
        <is>
          <t>LOUISVILLE KY, USA</t>
        </is>
      </c>
      <c r="I839" s="724" t="n">
        <v>14253</v>
      </c>
      <c r="J839" s="750" t="inlineStr">
        <is>
          <t>Km</t>
        </is>
      </c>
      <c r="K839" s="725" t="n">
        <v>3700</v>
      </c>
      <c r="L839" s="740">
        <f>M839-K839</f>
        <v/>
      </c>
      <c r="M839" s="725" t="n">
        <v>14082.77</v>
      </c>
      <c r="N839" s="1773" t="n">
        <v>7650.69</v>
      </c>
      <c r="O839" s="1762">
        <f>N839*E839/1000</f>
        <v/>
      </c>
      <c r="P839" s="1763">
        <f>O839/32</f>
        <v/>
      </c>
      <c r="Q839" s="1764">
        <f>N839*I839/1000</f>
        <v/>
      </c>
    </row>
    <row r="840" ht="15.75" customFormat="1" customHeight="1" s="680">
      <c r="A840" s="780" t="inlineStr">
        <is>
          <t>FO23120049</t>
        </is>
      </c>
      <c r="B840" s="771" t="n">
        <v>45279</v>
      </c>
      <c r="C840" s="772" t="inlineStr">
        <is>
          <t>มัลติแบกซ์</t>
        </is>
      </c>
      <c r="D840" s="772" t="inlineStr">
        <is>
          <t>ท่าเรือแหลมฉบัง</t>
        </is>
      </c>
      <c r="E840" s="773" t="n">
        <v>6.2</v>
      </c>
      <c r="F840" s="770" t="inlineStr">
        <is>
          <t>Km</t>
        </is>
      </c>
      <c r="G840" s="770" t="inlineStr">
        <is>
          <t>รถเทรลเลอร์</t>
        </is>
      </c>
      <c r="H840" s="774" t="inlineStr">
        <is>
          <t>CARROLLTON TX, USA</t>
        </is>
      </c>
      <c r="I840" s="775" t="n">
        <v>14544</v>
      </c>
      <c r="J840" s="776" t="inlineStr">
        <is>
          <t>Km</t>
        </is>
      </c>
      <c r="K840" s="777" t="n">
        <v>3700</v>
      </c>
      <c r="L840" s="778">
        <f>M840-K840</f>
        <v/>
      </c>
      <c r="M840" s="777" t="n">
        <v>21589.1</v>
      </c>
      <c r="N840" s="1784" t="n">
        <v>14665.2</v>
      </c>
      <c r="O840" s="1762">
        <f>N840*E840/1000</f>
        <v/>
      </c>
      <c r="P840" s="1763">
        <f>O840/32</f>
        <v/>
      </c>
      <c r="Q840" s="1764">
        <f>N840*I840/1000</f>
        <v/>
      </c>
    </row>
    <row r="841" ht="15.75" customHeight="1">
      <c r="A841" s="719" t="inlineStr">
        <is>
          <t>FO23120050</t>
        </is>
      </c>
      <c r="B841" s="720" t="n">
        <v>45279</v>
      </c>
      <c r="C841" s="698" t="inlineStr">
        <is>
          <t>มัลติแบกซ์</t>
        </is>
      </c>
      <c r="D841" s="698" t="inlineStr">
        <is>
          <t>ท่าเรือแหลมฉบัง</t>
        </is>
      </c>
      <c r="E841" s="700" t="n">
        <v>6.5</v>
      </c>
      <c r="F841" s="698" t="inlineStr">
        <is>
          <t>Km</t>
        </is>
      </c>
      <c r="G841" s="698" t="inlineStr">
        <is>
          <t>รถเทรลเลอร์</t>
        </is>
      </c>
      <c r="H841" s="769" t="inlineStr">
        <is>
          <t>HAMAD, QATAR</t>
        </is>
      </c>
      <c r="I841" s="724" t="n">
        <v>5317</v>
      </c>
      <c r="J841" s="703" t="inlineStr">
        <is>
          <t>Km</t>
        </is>
      </c>
      <c r="K841" s="704" t="n">
        <v>2220</v>
      </c>
      <c r="L841" s="744" t="n">
        <v>3802.89</v>
      </c>
      <c r="M841" s="751" t="n">
        <v>6023</v>
      </c>
      <c r="N841" s="1773" t="n">
        <v>2636.01</v>
      </c>
      <c r="O841" s="1762">
        <f>N841*E841/1000</f>
        <v/>
      </c>
      <c r="P841" s="1763">
        <f>O841/32</f>
        <v/>
      </c>
      <c r="Q841" s="1764">
        <f>N841*I841/1000</f>
        <v/>
      </c>
    </row>
    <row r="842" ht="15.75" customFormat="1" customHeight="1" s="680">
      <c r="A842" s="780" t="inlineStr">
        <is>
          <t>FO23120051</t>
        </is>
      </c>
      <c r="B842" s="771" t="n">
        <v>45280</v>
      </c>
      <c r="C842" s="772" t="inlineStr">
        <is>
          <t>มัลติแบกซ์</t>
        </is>
      </c>
      <c r="D842" s="772" t="inlineStr">
        <is>
          <t>ท่าเรือแหลมฉบัง</t>
        </is>
      </c>
      <c r="E842" s="773" t="n">
        <v>6.2</v>
      </c>
      <c r="F842" s="770" t="inlineStr">
        <is>
          <t>Km</t>
        </is>
      </c>
      <c r="G842" s="770" t="inlineStr">
        <is>
          <t>รถเทรลเลอร์</t>
        </is>
      </c>
      <c r="H842" s="774" t="inlineStr">
        <is>
          <t>APPLETON WI , USA</t>
        </is>
      </c>
      <c r="I842" s="775" t="n">
        <v>13558</v>
      </c>
      <c r="J842" s="776" t="inlineStr">
        <is>
          <t>Km</t>
        </is>
      </c>
      <c r="K842" s="777" t="n">
        <v>3700</v>
      </c>
      <c r="L842" s="778">
        <f>M842-K842</f>
        <v/>
      </c>
      <c r="M842" s="779" t="n">
        <v>22771.6</v>
      </c>
      <c r="N842" s="1784" t="n">
        <v>15602.4</v>
      </c>
      <c r="O842" s="1762">
        <f>N842*E842/1000</f>
        <v/>
      </c>
      <c r="P842" s="1763">
        <f>O842/32</f>
        <v/>
      </c>
      <c r="Q842" s="1764">
        <f>N842*I842/1000</f>
        <v/>
      </c>
    </row>
    <row r="843" ht="15.75" customHeight="1">
      <c r="A843" s="756" t="inlineStr">
        <is>
          <t>FO23120052</t>
        </is>
      </c>
      <c r="B843" s="720" t="n">
        <v>45279</v>
      </c>
      <c r="C843" s="719" t="inlineStr">
        <is>
          <t>มัลติแบกซ์</t>
        </is>
      </c>
      <c r="D843" s="719" t="inlineStr">
        <is>
          <t>ท่าเรือแหลมฉบัง</t>
        </is>
      </c>
      <c r="E843" s="722" t="n">
        <v>6.5</v>
      </c>
      <c r="F843" s="721" t="inlineStr">
        <is>
          <t>Km</t>
        </is>
      </c>
      <c r="G843" s="721" t="inlineStr">
        <is>
          <t>รถเทรลเลอร์</t>
        </is>
      </c>
      <c r="H843" s="769" t="inlineStr">
        <is>
          <t>UNIVERSITY PARK IL, USA</t>
        </is>
      </c>
      <c r="I843" s="724" t="n">
        <v>13877</v>
      </c>
      <c r="J843" s="750" t="inlineStr">
        <is>
          <t>Km</t>
        </is>
      </c>
      <c r="K843" s="725" t="n">
        <v>3870</v>
      </c>
      <c r="L843" s="740">
        <f>M843-K843</f>
        <v/>
      </c>
      <c r="M843" s="725" t="n">
        <v>13644.2</v>
      </c>
      <c r="N843" s="1773" t="n">
        <v>6917.4</v>
      </c>
      <c r="O843" s="1762">
        <f>N843*E843/1000</f>
        <v/>
      </c>
      <c r="P843" s="1763">
        <f>O843/32</f>
        <v/>
      </c>
      <c r="Q843" s="1764">
        <f>N843*I843/1000</f>
        <v/>
      </c>
    </row>
    <row r="844" ht="15.75" customFormat="1" customHeight="1" s="680">
      <c r="A844" s="780" t="inlineStr">
        <is>
          <t>FO23120053</t>
        </is>
      </c>
      <c r="B844" s="771" t="n">
        <v>45281</v>
      </c>
      <c r="C844" s="772" t="inlineStr">
        <is>
          <t>มัลติแบกซ์</t>
        </is>
      </c>
      <c r="D844" s="772" t="inlineStr">
        <is>
          <t>ท่าเรือแหลมฉบัง</t>
        </is>
      </c>
      <c r="E844" s="773" t="n">
        <v>6.5</v>
      </c>
      <c r="F844" s="770" t="inlineStr">
        <is>
          <t>Km</t>
        </is>
      </c>
      <c r="G844" s="770" t="inlineStr">
        <is>
          <t>รถเทรลเลอร์</t>
        </is>
      </c>
      <c r="H844" s="774" t="inlineStr">
        <is>
          <t>UNIVERSITY PARK IL, USA</t>
        </is>
      </c>
      <c r="I844" s="775" t="n">
        <v>13877</v>
      </c>
      <c r="J844" s="776" t="inlineStr">
        <is>
          <t>Km</t>
        </is>
      </c>
      <c r="K844" s="777" t="n">
        <v>3900</v>
      </c>
      <c r="L844" s="778">
        <f>M844-K844</f>
        <v/>
      </c>
      <c r="M844" s="779" t="n">
        <v>14113.4</v>
      </c>
      <c r="N844" s="1784" t="n">
        <v>7356.6</v>
      </c>
      <c r="O844" s="1762">
        <f>N844*E844/1000</f>
        <v/>
      </c>
      <c r="P844" s="1763">
        <f>O844/32</f>
        <v/>
      </c>
      <c r="Q844" s="1764">
        <f>N844*I844/1000</f>
        <v/>
      </c>
    </row>
    <row r="845" ht="15.75" customHeight="1">
      <c r="A845" s="756" t="inlineStr">
        <is>
          <t>FO23120054</t>
        </is>
      </c>
      <c r="B845" s="720" t="n">
        <v>45281</v>
      </c>
      <c r="C845" s="719" t="inlineStr">
        <is>
          <t>มัลติแบกซ์</t>
        </is>
      </c>
      <c r="D845" s="719" t="inlineStr">
        <is>
          <t>ท่าเรือแหลมฉบัง</t>
        </is>
      </c>
      <c r="E845" s="722" t="n">
        <v>6.5</v>
      </c>
      <c r="F845" s="721" t="inlineStr">
        <is>
          <t>Km</t>
        </is>
      </c>
      <c r="G845" s="721" t="inlineStr">
        <is>
          <t>รถเทรลเลอร์</t>
        </is>
      </c>
      <c r="H845" s="769" t="inlineStr">
        <is>
          <t>UNIVERSITY PARK IL, USA</t>
        </is>
      </c>
      <c r="I845" s="724" t="n">
        <v>13877</v>
      </c>
      <c r="J845" s="750" t="inlineStr">
        <is>
          <t>Km</t>
        </is>
      </c>
      <c r="K845" s="725" t="n">
        <v>3840</v>
      </c>
      <c r="L845" s="740">
        <f>M845-K845</f>
        <v/>
      </c>
      <c r="M845" s="1769" t="n">
        <v>14566</v>
      </c>
      <c r="N845" s="1773" t="n">
        <v>8196.200000000001</v>
      </c>
      <c r="O845" s="1762">
        <f>N845*E845/1000</f>
        <v/>
      </c>
      <c r="P845" s="1763">
        <f>O845/32</f>
        <v/>
      </c>
      <c r="Q845" s="1764">
        <f>N845*I845/1000</f>
        <v/>
      </c>
    </row>
    <row r="846" ht="15.75" customFormat="1" customHeight="1" s="680">
      <c r="A846" s="780" t="inlineStr">
        <is>
          <t>FO23120055</t>
        </is>
      </c>
      <c r="B846" s="771" t="n">
        <v>45280</v>
      </c>
      <c r="C846" s="772" t="inlineStr">
        <is>
          <t>มัลติแบกซ์</t>
        </is>
      </c>
      <c r="D846" s="772" t="inlineStr">
        <is>
          <t>ท่าเรือแหลมฉบัง</t>
        </is>
      </c>
      <c r="E846" s="773" t="n">
        <v>6.5</v>
      </c>
      <c r="F846" s="770" t="inlineStr">
        <is>
          <t>Km</t>
        </is>
      </c>
      <c r="G846" s="770" t="inlineStr">
        <is>
          <t>รถเทรลเลอร์</t>
        </is>
      </c>
      <c r="H846" s="774" t="inlineStr">
        <is>
          <t>UNIVERSITY PARK IL, USA</t>
        </is>
      </c>
      <c r="I846" s="775" t="n">
        <v>13877</v>
      </c>
      <c r="J846" s="776" t="inlineStr">
        <is>
          <t>Km</t>
        </is>
      </c>
      <c r="K846" s="777" t="n">
        <v>3860</v>
      </c>
      <c r="L846" s="778">
        <f>M846-K846</f>
        <v/>
      </c>
      <c r="M846" s="779" t="n">
        <v>14049.8</v>
      </c>
      <c r="N846" s="1784" t="n">
        <v>7660</v>
      </c>
      <c r="O846" s="1762">
        <f>N846*E846/1000</f>
        <v/>
      </c>
      <c r="P846" s="1763">
        <f>O846/32</f>
        <v/>
      </c>
      <c r="Q846" s="1764">
        <f>N846*I846/1000</f>
        <v/>
      </c>
    </row>
    <row r="847" ht="15.75" customHeight="1">
      <c r="A847" s="756" t="inlineStr">
        <is>
          <t>FO23120056</t>
        </is>
      </c>
      <c r="B847" s="720" t="n">
        <v>45280</v>
      </c>
      <c r="C847" s="719" t="inlineStr">
        <is>
          <t>มัลติแบกซ์</t>
        </is>
      </c>
      <c r="D847" s="719" t="inlineStr">
        <is>
          <t>ท่าเรือแหลมฉบัง</t>
        </is>
      </c>
      <c r="E847" s="722" t="n">
        <v>6</v>
      </c>
      <c r="F847" s="721" t="inlineStr">
        <is>
          <t>Km</t>
        </is>
      </c>
      <c r="G847" s="721" t="inlineStr">
        <is>
          <t>รถเทรลเลอร์</t>
        </is>
      </c>
      <c r="H847" s="769" t="inlineStr">
        <is>
          <t>NAGOYA, JAPAN</t>
        </is>
      </c>
      <c r="I847" s="724" t="n">
        <v>4358</v>
      </c>
      <c r="J847" s="750" t="inlineStr">
        <is>
          <t>Km</t>
        </is>
      </c>
      <c r="K847" s="725" t="n">
        <v>2245</v>
      </c>
      <c r="L847" s="740">
        <f>M847-K847</f>
        <v/>
      </c>
      <c r="M847" s="738" t="n">
        <v>7598.25</v>
      </c>
      <c r="N847" s="1773" t="n">
        <v>4242.94</v>
      </c>
      <c r="O847" s="1762">
        <f>N847*E847/1000</f>
        <v/>
      </c>
      <c r="P847" s="1763">
        <f>O847/32</f>
        <v/>
      </c>
      <c r="Q847" s="1764">
        <f>N847*I847/1000</f>
        <v/>
      </c>
    </row>
    <row r="848" ht="15.75" customFormat="1" customHeight="1" s="680">
      <c r="A848" s="780" t="inlineStr">
        <is>
          <t>FO23120057</t>
        </is>
      </c>
      <c r="B848" s="771" t="n">
        <v>45282</v>
      </c>
      <c r="C848" s="772" t="inlineStr">
        <is>
          <t>มัลติแบกซ์</t>
        </is>
      </c>
      <c r="D848" s="772" t="inlineStr">
        <is>
          <t>ท่าเรือแหลมฉบัง</t>
        </is>
      </c>
      <c r="E848" s="773" t="n">
        <v>3.6</v>
      </c>
      <c r="F848" s="770" t="inlineStr">
        <is>
          <t>Km</t>
        </is>
      </c>
      <c r="G848" s="770" t="inlineStr">
        <is>
          <t>รถเทรลเลอร์</t>
        </is>
      </c>
      <c r="H848" s="774" t="inlineStr">
        <is>
          <t>TOMAKOMAI, JAPAN</t>
        </is>
      </c>
      <c r="I848" s="775" t="n">
        <v>5092</v>
      </c>
      <c r="J848" s="776" t="inlineStr">
        <is>
          <t>Km</t>
        </is>
      </c>
      <c r="K848" s="777" t="n">
        <v>2200</v>
      </c>
      <c r="L848" s="778">
        <f>M848-K848</f>
        <v/>
      </c>
      <c r="M848" s="779" t="n">
        <v>7536.4</v>
      </c>
      <c r="N848" s="1784" t="n">
        <v>4173.4</v>
      </c>
      <c r="O848" s="1762">
        <f>N848*E848/1000</f>
        <v/>
      </c>
      <c r="P848" s="1763">
        <f>O848/32</f>
        <v/>
      </c>
      <c r="Q848" s="1764">
        <f>N848*I848/1000</f>
        <v/>
      </c>
    </row>
    <row r="849" ht="15.75" customHeight="1">
      <c r="A849" s="756" t="inlineStr">
        <is>
          <t>FO23120058</t>
        </is>
      </c>
      <c r="B849" s="720" t="n">
        <v>45285</v>
      </c>
      <c r="C849" s="719" t="inlineStr">
        <is>
          <t>มัลติแบกซ์</t>
        </is>
      </c>
      <c r="D849" s="719" t="inlineStr">
        <is>
          <t>ท่าเรือแหลมฉบัง</t>
        </is>
      </c>
      <c r="E849" s="722" t="n">
        <v>3.6</v>
      </c>
      <c r="F849" s="721" t="inlineStr">
        <is>
          <t>Km</t>
        </is>
      </c>
      <c r="G849" s="721" t="inlineStr">
        <is>
          <t>รถเทรลเลอร์</t>
        </is>
      </c>
      <c r="H849" s="769" t="inlineStr">
        <is>
          <t>SENDAI, JAPAN</t>
        </is>
      </c>
      <c r="I849" s="724" t="n">
        <v>4823</v>
      </c>
      <c r="J849" s="750" t="inlineStr">
        <is>
          <t>Km</t>
        </is>
      </c>
      <c r="K849" s="722" t="n">
        <v>2180</v>
      </c>
      <c r="L849" s="740">
        <f>M849-K849</f>
        <v/>
      </c>
      <c r="M849" s="722" t="n">
        <v>7560.1</v>
      </c>
      <c r="N849" s="1773" t="n">
        <v>4218.92</v>
      </c>
      <c r="O849" s="1762">
        <f>N849*E849/1000</f>
        <v/>
      </c>
      <c r="P849" s="1763">
        <f>O849/32</f>
        <v/>
      </c>
      <c r="Q849" s="1764">
        <f>N849*I849/1000</f>
        <v/>
      </c>
    </row>
    <row r="850" ht="15.75" customFormat="1" customHeight="1" s="680">
      <c r="A850" s="780" t="inlineStr">
        <is>
          <t>FO23120059</t>
        </is>
      </c>
      <c r="B850" s="771" t="n">
        <v>45279</v>
      </c>
      <c r="C850" s="772" t="inlineStr">
        <is>
          <t>มัลติแบกซ์</t>
        </is>
      </c>
      <c r="D850" s="772" t="inlineStr">
        <is>
          <t>ท่าเรือแหลมฉบัง</t>
        </is>
      </c>
      <c r="E850" s="773" t="n">
        <v>5.2</v>
      </c>
      <c r="F850" s="770" t="inlineStr">
        <is>
          <t>Km</t>
        </is>
      </c>
      <c r="G850" s="770" t="inlineStr">
        <is>
          <t>รถเทรลเลอร์</t>
        </is>
      </c>
      <c r="H850" s="774" t="inlineStr">
        <is>
          <t>MANZANILLO, MEXICO</t>
        </is>
      </c>
      <c r="I850" s="775" t="n">
        <v>15486</v>
      </c>
      <c r="J850" s="776" t="inlineStr">
        <is>
          <t>Km</t>
        </is>
      </c>
      <c r="K850" s="777" t="n">
        <v>3800</v>
      </c>
      <c r="L850" s="778">
        <f>M850-K850</f>
        <v/>
      </c>
      <c r="M850" s="777" t="n">
        <v>14706.4</v>
      </c>
      <c r="N850" s="1784" t="n">
        <v>8324.879999999999</v>
      </c>
      <c r="O850" s="1762">
        <f>N850*E850/1000</f>
        <v/>
      </c>
      <c r="P850" s="1763">
        <f>O850/32</f>
        <v/>
      </c>
      <c r="Q850" s="1764">
        <f>N850*I850/1000</f>
        <v/>
      </c>
    </row>
    <row r="851" ht="15.75" customHeight="1">
      <c r="A851" s="756" t="inlineStr">
        <is>
          <t>FO23120060</t>
        </is>
      </c>
      <c r="B851" s="720" t="n">
        <v>45281</v>
      </c>
      <c r="C851" s="719" t="inlineStr">
        <is>
          <t>มัลติแบกซ์</t>
        </is>
      </c>
      <c r="D851" s="719" t="inlineStr">
        <is>
          <t>ท่าเรือแหลมฉบัง</t>
        </is>
      </c>
      <c r="E851" s="722" t="n">
        <v>6.2</v>
      </c>
      <c r="F851" s="721" t="inlineStr">
        <is>
          <t>Km</t>
        </is>
      </c>
      <c r="G851" s="721" t="inlineStr">
        <is>
          <t>รถเทรลเลอร์</t>
        </is>
      </c>
      <c r="H851" s="769" t="inlineStr">
        <is>
          <t>SANTA TERESA, NM USA</t>
        </is>
      </c>
      <c r="I851" s="724" t="n">
        <v>17387</v>
      </c>
      <c r="J851" s="750" t="inlineStr">
        <is>
          <t>Km</t>
        </is>
      </c>
      <c r="K851" s="725" t="n">
        <v>3860</v>
      </c>
      <c r="L851" s="740">
        <f>M851-K851</f>
        <v/>
      </c>
      <c r="M851" s="738" t="n">
        <v>22909.16</v>
      </c>
      <c r="N851" s="1773" t="n">
        <v>16904.16</v>
      </c>
      <c r="O851" s="1762">
        <f>N851*E851/1000</f>
        <v/>
      </c>
      <c r="P851" s="1763">
        <f>O851/32</f>
        <v/>
      </c>
      <c r="Q851" s="1764">
        <f>N851*I851/1000</f>
        <v/>
      </c>
    </row>
    <row r="852" ht="15.75" customFormat="1" customHeight="1" s="680">
      <c r="A852" s="780" t="inlineStr">
        <is>
          <t>FO23120061</t>
        </is>
      </c>
      <c r="B852" s="771" t="n">
        <v>45280</v>
      </c>
      <c r="C852" s="772" t="inlineStr">
        <is>
          <t>มัลติแบกซ์</t>
        </is>
      </c>
      <c r="D852" s="772" t="inlineStr">
        <is>
          <t>ท่าเรือแหลมฉบัง</t>
        </is>
      </c>
      <c r="E852" s="773" t="n">
        <v>6.2</v>
      </c>
      <c r="F852" s="770" t="inlineStr">
        <is>
          <t>Km</t>
        </is>
      </c>
      <c r="G852" s="770" t="inlineStr">
        <is>
          <t>รถเทรลเลอร์</t>
        </is>
      </c>
      <c r="H852" s="774" t="inlineStr">
        <is>
          <t>MELBOURNE, AUSTRALIA</t>
        </is>
      </c>
      <c r="I852" s="775" t="n">
        <v>7283</v>
      </c>
      <c r="J852" s="776" t="inlineStr">
        <is>
          <t>Km</t>
        </is>
      </c>
      <c r="K852" s="777" t="n">
        <v>3700</v>
      </c>
      <c r="L852" s="778">
        <f>M852-K852</f>
        <v/>
      </c>
      <c r="M852" s="779" t="n">
        <v>28342</v>
      </c>
      <c r="N852" s="1784" t="n">
        <v>20093</v>
      </c>
      <c r="O852" s="1762">
        <f>N852*E852/1000</f>
        <v/>
      </c>
      <c r="P852" s="1763">
        <f>O852/32</f>
        <v/>
      </c>
      <c r="Q852" s="1764">
        <f>N852*I852/1000</f>
        <v/>
      </c>
    </row>
    <row r="853" ht="15.75" customHeight="1">
      <c r="A853" s="756" t="inlineStr">
        <is>
          <t>FO23120062</t>
        </is>
      </c>
      <c r="B853" s="720" t="n">
        <v>45279</v>
      </c>
      <c r="C853" s="719" t="inlineStr">
        <is>
          <t>มัลติแบกซ์</t>
        </is>
      </c>
      <c r="D853" s="719" t="inlineStr">
        <is>
          <t>ท่าเรือแหลมฉบัง</t>
        </is>
      </c>
      <c r="E853" s="722" t="n">
        <v>5.2</v>
      </c>
      <c r="F853" s="721" t="inlineStr">
        <is>
          <t>Km</t>
        </is>
      </c>
      <c r="G853" s="721" t="inlineStr">
        <is>
          <t>รถเทรลเลอร์</t>
        </is>
      </c>
      <c r="H853" s="769" t="inlineStr">
        <is>
          <t>MANZANILLO, MEXICO</t>
        </is>
      </c>
      <c r="I853" s="724" t="n">
        <v>15486</v>
      </c>
      <c r="J853" s="750" t="inlineStr">
        <is>
          <t>Km</t>
        </is>
      </c>
      <c r="K853" s="725" t="n">
        <v>3700</v>
      </c>
      <c r="L853" s="740">
        <f>M853-K853</f>
        <v/>
      </c>
      <c r="M853" s="725" t="n">
        <v>14288</v>
      </c>
      <c r="N853" s="1773" t="n">
        <v>7899</v>
      </c>
      <c r="O853" s="1762">
        <f>N853*E853/1000</f>
        <v/>
      </c>
      <c r="P853" s="1763">
        <f>O853/32</f>
        <v/>
      </c>
      <c r="Q853" s="1764">
        <f>N853*I853/1000</f>
        <v/>
      </c>
    </row>
    <row r="854" ht="15.75" customFormat="1" customHeight="1" s="680">
      <c r="A854" s="780" t="inlineStr">
        <is>
          <t>FO23120063</t>
        </is>
      </c>
      <c r="B854" s="771" t="n">
        <v>45282</v>
      </c>
      <c r="C854" s="772" t="inlineStr">
        <is>
          <t>มัลติแบกซ์</t>
        </is>
      </c>
      <c r="D854" s="772" t="inlineStr">
        <is>
          <t>ท่าเรือแหลมฉบัง</t>
        </is>
      </c>
      <c r="E854" s="773" t="n">
        <v>6.2</v>
      </c>
      <c r="F854" s="770" t="inlineStr">
        <is>
          <t>Km</t>
        </is>
      </c>
      <c r="G854" s="770" t="inlineStr">
        <is>
          <t>รถเทรลเลอร์</t>
        </is>
      </c>
      <c r="H854" s="774" t="inlineStr">
        <is>
          <t>CARROLLTON TX, USA</t>
        </is>
      </c>
      <c r="I854" s="775" t="n">
        <v>14544</v>
      </c>
      <c r="J854" s="776" t="inlineStr">
        <is>
          <t>Km</t>
        </is>
      </c>
      <c r="K854" s="777" t="n">
        <v>3800</v>
      </c>
      <c r="L854" s="778">
        <f>M854-K854</f>
        <v/>
      </c>
      <c r="M854" s="779" t="n">
        <v>20162.8</v>
      </c>
      <c r="N854" s="1784" t="n">
        <v>14035</v>
      </c>
      <c r="O854" s="1762">
        <f>N854*E854/1000</f>
        <v/>
      </c>
      <c r="P854" s="1763">
        <f>O854/32</f>
        <v/>
      </c>
      <c r="Q854" s="1764">
        <f>N854*I854/1000</f>
        <v/>
      </c>
    </row>
    <row r="855" ht="15.75" customHeight="1">
      <c r="A855" s="756" t="inlineStr">
        <is>
          <t>FO23120064</t>
        </is>
      </c>
      <c r="B855" s="720" t="n">
        <v>45281</v>
      </c>
      <c r="C855" s="719" t="inlineStr">
        <is>
          <t>มัลติแบกซ์</t>
        </is>
      </c>
      <c r="D855" s="719" t="inlineStr">
        <is>
          <t>ท่าเรือแหลมฉบัง</t>
        </is>
      </c>
      <c r="E855" s="722" t="n">
        <v>6.2</v>
      </c>
      <c r="F855" s="721" t="inlineStr">
        <is>
          <t>Km</t>
        </is>
      </c>
      <c r="G855" s="721" t="inlineStr">
        <is>
          <t>รถเทรลเลอร์</t>
        </is>
      </c>
      <c r="H855" s="769" t="inlineStr">
        <is>
          <t>CARROLLTON TX, USA</t>
        </is>
      </c>
      <c r="I855" s="724" t="n">
        <v>14544</v>
      </c>
      <c r="J855" s="750" t="inlineStr">
        <is>
          <t>Km</t>
        </is>
      </c>
      <c r="K855" s="725" t="n">
        <v>3840</v>
      </c>
      <c r="L855" s="740">
        <f>M855-K855</f>
        <v/>
      </c>
      <c r="M855" s="738" t="n">
        <v>20202.8</v>
      </c>
      <c r="N855" s="1773" t="n">
        <v>14035</v>
      </c>
      <c r="O855" s="1762">
        <f>N855*E855/1000</f>
        <v/>
      </c>
      <c r="P855" s="1763">
        <f>O855/32</f>
        <v/>
      </c>
      <c r="Q855" s="1764">
        <f>N855*I855/1000</f>
        <v/>
      </c>
    </row>
    <row r="856" ht="15.75" customFormat="1" customHeight="1" s="680">
      <c r="A856" s="780" t="inlineStr">
        <is>
          <t>FO23120065</t>
        </is>
      </c>
      <c r="B856" s="771" t="n">
        <v>45282</v>
      </c>
      <c r="C856" s="772" t="inlineStr">
        <is>
          <t>มัลติแบกซ์</t>
        </is>
      </c>
      <c r="D856" s="772" t="inlineStr">
        <is>
          <t>ท่าเรือแหลมฉบัง</t>
        </is>
      </c>
      <c r="E856" s="773" t="n">
        <v>6.5</v>
      </c>
      <c r="F856" s="770" t="inlineStr">
        <is>
          <t>Km</t>
        </is>
      </c>
      <c r="G856" s="770" t="inlineStr">
        <is>
          <t>รถเทรลเลอร์</t>
        </is>
      </c>
      <c r="H856" s="774" t="inlineStr">
        <is>
          <t>CARROLLTON TX, USA</t>
        </is>
      </c>
      <c r="I856" s="775" t="n">
        <v>14544</v>
      </c>
      <c r="J856" s="776" t="inlineStr">
        <is>
          <t>Km</t>
        </is>
      </c>
      <c r="K856" s="777" t="n">
        <v>3840</v>
      </c>
      <c r="L856" s="778">
        <f>M856-K856</f>
        <v/>
      </c>
      <c r="M856" s="1786" t="n">
        <v>22911.6</v>
      </c>
      <c r="N856" s="1784" t="n">
        <v>15602.4</v>
      </c>
      <c r="O856" s="1762">
        <f>N856*E856/1000</f>
        <v/>
      </c>
      <c r="P856" s="1763">
        <f>O856/32</f>
        <v/>
      </c>
      <c r="Q856" s="1764">
        <f>N856*I856/1000</f>
        <v/>
      </c>
    </row>
    <row r="857" ht="15.75" customHeight="1">
      <c r="A857" s="756" t="inlineStr">
        <is>
          <t>FO23120066</t>
        </is>
      </c>
      <c r="B857" s="720" t="n">
        <v>45282</v>
      </c>
      <c r="C857" s="719" t="inlineStr">
        <is>
          <t>มัลติแบกซ์</t>
        </is>
      </c>
      <c r="D857" s="719" t="inlineStr">
        <is>
          <t>ท่าเรือแหลมฉบัง</t>
        </is>
      </c>
      <c r="E857" s="722" t="n">
        <v>6.2</v>
      </c>
      <c r="F857" s="721" t="inlineStr">
        <is>
          <t>Km</t>
        </is>
      </c>
      <c r="G857" s="721" t="inlineStr">
        <is>
          <t>รถเทรลเลอร์</t>
        </is>
      </c>
      <c r="H857" s="769" t="inlineStr">
        <is>
          <t>LOUISVILLE KY, USA</t>
        </is>
      </c>
      <c r="I857" s="724" t="n">
        <v>14253</v>
      </c>
      <c r="J857" s="750" t="inlineStr">
        <is>
          <t>Km</t>
        </is>
      </c>
      <c r="K857" s="725" t="n">
        <v>3700</v>
      </c>
      <c r="L857" s="740">
        <f>M857-K857</f>
        <v/>
      </c>
      <c r="M857" s="788" t="n">
        <v>14565.66</v>
      </c>
      <c r="N857" s="1773" t="n">
        <v>8109.74</v>
      </c>
      <c r="O857" s="1762">
        <f>N857*E857/1000</f>
        <v/>
      </c>
      <c r="P857" s="1763">
        <f>O857/32</f>
        <v/>
      </c>
      <c r="Q857" s="1764">
        <f>N857*I857/1000</f>
        <v/>
      </c>
    </row>
    <row r="858" ht="15.75" customFormat="1" customHeight="1" s="680">
      <c r="A858" s="780" t="inlineStr">
        <is>
          <t>FO23120067</t>
        </is>
      </c>
      <c r="B858" s="771" t="n">
        <v>45283</v>
      </c>
      <c r="C858" s="772" t="inlineStr">
        <is>
          <t>มัลติแบกซ์</t>
        </is>
      </c>
      <c r="D858" s="772" t="inlineStr">
        <is>
          <t>ท่าเรือแหลมฉบัง</t>
        </is>
      </c>
      <c r="E858" s="773" t="n">
        <v>6.5</v>
      </c>
      <c r="F858" s="770" t="inlineStr">
        <is>
          <t>Km</t>
        </is>
      </c>
      <c r="G858" s="770" t="inlineStr">
        <is>
          <t>รถเทรลเลอร์</t>
        </is>
      </c>
      <c r="H858" s="774" t="inlineStr">
        <is>
          <t>PERRIS CA, USA</t>
        </is>
      </c>
      <c r="I858" s="775" t="n">
        <v>13413</v>
      </c>
      <c r="J858" s="776" t="inlineStr">
        <is>
          <t>Km</t>
        </is>
      </c>
      <c r="K858" s="777" t="n">
        <v>3700</v>
      </c>
      <c r="L858" s="778">
        <f>M858-K858</f>
        <v/>
      </c>
      <c r="M858" s="779" t="n">
        <v>16260</v>
      </c>
      <c r="N858" s="1784" t="n">
        <v>9747.4</v>
      </c>
      <c r="O858" s="1762">
        <f>N858*E858/1000</f>
        <v/>
      </c>
      <c r="P858" s="1763">
        <f>O858/32</f>
        <v/>
      </c>
      <c r="Q858" s="1764">
        <f>N858*I858/1000</f>
        <v/>
      </c>
    </row>
    <row r="859" ht="15.75" customHeight="1">
      <c r="A859" s="719" t="inlineStr">
        <is>
          <t>FO23120068</t>
        </is>
      </c>
      <c r="B859" s="720" t="n">
        <v>45285</v>
      </c>
      <c r="C859" s="719" t="inlineStr">
        <is>
          <t>มัลติแบกซ์</t>
        </is>
      </c>
      <c r="D859" s="719" t="inlineStr">
        <is>
          <t>ท่าเรือแหลมฉบัง</t>
        </is>
      </c>
      <c r="E859" s="722" t="n">
        <v>6.5</v>
      </c>
      <c r="F859" s="721" t="inlineStr">
        <is>
          <t>Km</t>
        </is>
      </c>
      <c r="G859" s="721" t="inlineStr">
        <is>
          <t>รถเทรลเลอร์</t>
        </is>
      </c>
      <c r="H859" s="769" t="inlineStr">
        <is>
          <t>PERRIS CA, USA</t>
        </is>
      </c>
      <c r="I859" s="724" t="n">
        <v>13413</v>
      </c>
      <c r="J859" s="750" t="inlineStr">
        <is>
          <t>Km</t>
        </is>
      </c>
      <c r="K859" s="722" t="n">
        <v>3750</v>
      </c>
      <c r="L859" s="740">
        <f>M859-K859</f>
        <v/>
      </c>
      <c r="M859" s="722" t="n">
        <v>20112.8</v>
      </c>
      <c r="N859" s="1773" t="n">
        <v>14035</v>
      </c>
      <c r="O859" s="1762">
        <f>N859*E859/1000</f>
        <v/>
      </c>
      <c r="P859" s="1763">
        <f>O859/32</f>
        <v/>
      </c>
      <c r="Q859" s="1764">
        <f>N859*I859/1000</f>
        <v/>
      </c>
    </row>
    <row r="860" ht="15.75" customFormat="1" customHeight="1" s="680">
      <c r="A860" s="780" t="inlineStr">
        <is>
          <t>FO23120069</t>
        </is>
      </c>
      <c r="B860" s="771" t="n">
        <v>45281</v>
      </c>
      <c r="C860" s="772" t="inlineStr">
        <is>
          <t>มัลติแบกซ์</t>
        </is>
      </c>
      <c r="D860" s="772" t="inlineStr">
        <is>
          <t>ท่าเรือแหลมฉบัง</t>
        </is>
      </c>
      <c r="E860" s="773" t="n">
        <v>6.2</v>
      </c>
      <c r="F860" s="770" t="inlineStr">
        <is>
          <t>Km</t>
        </is>
      </c>
      <c r="G860" s="770" t="inlineStr">
        <is>
          <t>รถเทรลเลอร์</t>
        </is>
      </c>
      <c r="H860" s="774" t="inlineStr">
        <is>
          <t>SYDNEY, AUSTRALIA</t>
        </is>
      </c>
      <c r="I860" s="775" t="n">
        <v>7448</v>
      </c>
      <c r="J860" s="776" t="inlineStr">
        <is>
          <t>Km</t>
        </is>
      </c>
      <c r="K860" s="777" t="n">
        <v>3890</v>
      </c>
      <c r="L860" s="778">
        <f>M860-K860</f>
        <v/>
      </c>
      <c r="M860" s="779" t="n">
        <v>27792</v>
      </c>
      <c r="N860" s="1784" t="n">
        <v>16992</v>
      </c>
      <c r="O860" s="1762">
        <f>N860*E860/1000</f>
        <v/>
      </c>
      <c r="P860" s="1763">
        <f>O860/32</f>
        <v/>
      </c>
      <c r="Q860" s="1764">
        <f>N860*I860/1000</f>
        <v/>
      </c>
    </row>
    <row r="861" ht="15.75" customHeight="1">
      <c r="A861" s="756" t="inlineStr">
        <is>
          <t>FO23120070</t>
        </is>
      </c>
      <c r="B861" s="720" t="n">
        <v>45280</v>
      </c>
      <c r="C861" s="719" t="inlineStr">
        <is>
          <t>มัลติแบกซ์</t>
        </is>
      </c>
      <c r="D861" s="719" t="inlineStr">
        <is>
          <t>ท่าเรือแหลมฉบัง</t>
        </is>
      </c>
      <c r="E861" s="722" t="n">
        <v>6.2</v>
      </c>
      <c r="F861" s="721" t="inlineStr">
        <is>
          <t>Km</t>
        </is>
      </c>
      <c r="G861" s="721" t="inlineStr">
        <is>
          <t>รถเทรลเลอร์</t>
        </is>
      </c>
      <c r="H861" s="769" t="inlineStr">
        <is>
          <t>SYDNEY, AUSTRALIA</t>
        </is>
      </c>
      <c r="I861" s="724" t="n">
        <v>7448</v>
      </c>
      <c r="J861" s="750" t="inlineStr">
        <is>
          <t>Km</t>
        </is>
      </c>
      <c r="K861" s="725" t="n">
        <v>3900</v>
      </c>
      <c r="L861" s="740">
        <f>M861-K861</f>
        <v/>
      </c>
      <c r="M861" s="738" t="n">
        <v>23252</v>
      </c>
      <c r="N861" s="1773" t="n">
        <v>15181.5</v>
      </c>
      <c r="O861" s="1762">
        <f>N861*E861/1000</f>
        <v/>
      </c>
      <c r="P861" s="1763">
        <f>O861/32</f>
        <v/>
      </c>
      <c r="Q861" s="1764">
        <f>N861*I861/1000</f>
        <v/>
      </c>
    </row>
    <row r="862" ht="15.75" customFormat="1" customHeight="1" s="680">
      <c r="A862" s="780" t="inlineStr">
        <is>
          <t>FO23120071</t>
        </is>
      </c>
      <c r="B862" s="771" t="n">
        <v>45280</v>
      </c>
      <c r="C862" s="772" t="inlineStr">
        <is>
          <t>มัลติแบกซ์</t>
        </is>
      </c>
      <c r="D862" s="772" t="inlineStr">
        <is>
          <t>ท่าเรือแหลมฉบัง</t>
        </is>
      </c>
      <c r="E862" s="773" t="n">
        <v>6.2</v>
      </c>
      <c r="F862" s="770" t="inlineStr">
        <is>
          <t>Km</t>
        </is>
      </c>
      <c r="G862" s="770" t="inlineStr">
        <is>
          <t>รถเทรลเลอร์</t>
        </is>
      </c>
      <c r="H862" s="774" t="inlineStr">
        <is>
          <t>SYDNEY, AUSTRALIA</t>
        </is>
      </c>
      <c r="I862" s="775" t="n">
        <v>7448</v>
      </c>
      <c r="J862" s="776" t="inlineStr">
        <is>
          <t>Km</t>
        </is>
      </c>
      <c r="K862" s="777" t="n">
        <v>3850</v>
      </c>
      <c r="L862" s="778">
        <f>M862-K862</f>
        <v/>
      </c>
      <c r="M862" s="779" t="n">
        <v>28582</v>
      </c>
      <c r="N862" s="1784" t="n">
        <v>21189.5</v>
      </c>
      <c r="O862" s="1762">
        <f>N862*E862/1000</f>
        <v/>
      </c>
      <c r="P862" s="1763">
        <f>O862/32</f>
        <v/>
      </c>
      <c r="Q862" s="1764">
        <f>N862*I862/1000</f>
        <v/>
      </c>
    </row>
    <row r="863" ht="15.75" customHeight="1">
      <c r="A863" s="756" t="inlineStr">
        <is>
          <t>FO23120072</t>
        </is>
      </c>
      <c r="B863" s="720" t="n">
        <v>45280</v>
      </c>
      <c r="C863" s="719" t="inlineStr">
        <is>
          <t>มัลติแบกซ์</t>
        </is>
      </c>
      <c r="D863" s="719" t="inlineStr">
        <is>
          <t>ท่าเรือแหลมฉบัง</t>
        </is>
      </c>
      <c r="E863" s="722" t="n">
        <v>6.2</v>
      </c>
      <c r="F863" s="721" t="inlineStr">
        <is>
          <t>Km</t>
        </is>
      </c>
      <c r="G863" s="721" t="inlineStr">
        <is>
          <t>รถเทรลเลอร์</t>
        </is>
      </c>
      <c r="H863" s="769" t="inlineStr">
        <is>
          <t>SYDNEY, AUSTRALIA</t>
        </is>
      </c>
      <c r="I863" s="724" t="n">
        <v>7448</v>
      </c>
      <c r="J863" s="750" t="inlineStr">
        <is>
          <t>Km</t>
        </is>
      </c>
      <c r="K863" s="725" t="n">
        <v>3680</v>
      </c>
      <c r="L863" s="740">
        <f>M863-K863</f>
        <v/>
      </c>
      <c r="M863" s="738" t="n">
        <v>28687</v>
      </c>
      <c r="N863" s="1773" t="n">
        <v>21405</v>
      </c>
      <c r="O863" s="1762">
        <f>N863*E863/1000</f>
        <v/>
      </c>
      <c r="P863" s="1763">
        <f>O863/32</f>
        <v/>
      </c>
      <c r="Q863" s="1764">
        <f>N863*I863/1000</f>
        <v/>
      </c>
    </row>
    <row r="864" ht="15.75" customFormat="1" customHeight="1" s="680">
      <c r="A864" s="780" t="inlineStr">
        <is>
          <t>FO23120073</t>
        </is>
      </c>
      <c r="B864" s="771" t="n">
        <v>45280</v>
      </c>
      <c r="C864" s="772" t="inlineStr">
        <is>
          <t>มัลติแบกซ์</t>
        </is>
      </c>
      <c r="D864" s="772" t="inlineStr">
        <is>
          <t>ท่าเรือแหลมฉบัง</t>
        </is>
      </c>
      <c r="E864" s="773" t="n">
        <v>6.2</v>
      </c>
      <c r="F864" s="770" t="inlineStr">
        <is>
          <t>Km</t>
        </is>
      </c>
      <c r="G864" s="770" t="inlineStr">
        <is>
          <t>รถเทรลเลอร์</t>
        </is>
      </c>
      <c r="H864" s="774" t="inlineStr">
        <is>
          <t>SYDNEY, AUSTRALIA</t>
        </is>
      </c>
      <c r="I864" s="775" t="n">
        <v>7448</v>
      </c>
      <c r="J864" s="776" t="inlineStr">
        <is>
          <t>Km</t>
        </is>
      </c>
      <c r="K864" s="777" t="n">
        <v>3750</v>
      </c>
      <c r="L864" s="778">
        <f>M864-K864</f>
        <v/>
      </c>
      <c r="M864" s="779" t="n">
        <v>15952</v>
      </c>
      <c r="N864" s="1784" t="n">
        <v>6797.5</v>
      </c>
      <c r="O864" s="1762">
        <f>N864*E864/1000</f>
        <v/>
      </c>
      <c r="P864" s="1763">
        <f>O864/32</f>
        <v/>
      </c>
      <c r="Q864" s="1764">
        <f>N864*I864/1000</f>
        <v/>
      </c>
    </row>
    <row r="865" ht="15.75" customHeight="1">
      <c r="A865" s="756" t="inlineStr">
        <is>
          <t>FO23120074</t>
        </is>
      </c>
      <c r="B865" s="720" t="n">
        <v>45281</v>
      </c>
      <c r="C865" s="719" t="inlineStr">
        <is>
          <t>มัลติแบกซ์</t>
        </is>
      </c>
      <c r="D865" s="719" t="inlineStr">
        <is>
          <t>ท่าเรือแหลมฉบัง</t>
        </is>
      </c>
      <c r="E865" s="722" t="n">
        <v>6.2</v>
      </c>
      <c r="F865" s="721" t="inlineStr">
        <is>
          <t>Km</t>
        </is>
      </c>
      <c r="G865" s="721" t="inlineStr">
        <is>
          <t>รถเทรลเลอร์</t>
        </is>
      </c>
      <c r="H865" s="769" t="inlineStr">
        <is>
          <t>SYDNEY, AUSTRALIA</t>
        </is>
      </c>
      <c r="I865" s="724" t="n">
        <v>7448</v>
      </c>
      <c r="J865" s="750" t="inlineStr">
        <is>
          <t>Km</t>
        </is>
      </c>
      <c r="K865" s="725" t="n">
        <v>3750</v>
      </c>
      <c r="L865" s="740">
        <f>M865-K865</f>
        <v/>
      </c>
      <c r="M865" s="738" t="n">
        <v>22977</v>
      </c>
      <c r="N865" s="1773" t="n">
        <v>14621</v>
      </c>
      <c r="O865" s="1762">
        <f>N865*E865/1000</f>
        <v/>
      </c>
      <c r="P865" s="1763">
        <f>O865/32</f>
        <v/>
      </c>
      <c r="Q865" s="1764">
        <f>N865*I865/1000</f>
        <v/>
      </c>
    </row>
    <row r="866" ht="15.75" customFormat="1" customHeight="1" s="680">
      <c r="A866" s="780" t="inlineStr">
        <is>
          <t>FO23120075</t>
        </is>
      </c>
      <c r="B866" s="771" t="n">
        <v>45282</v>
      </c>
      <c r="C866" s="772" t="inlineStr">
        <is>
          <t>มัลติแบกซ์</t>
        </is>
      </c>
      <c r="D866" s="772" t="inlineStr">
        <is>
          <t>ท่าเรือแหลมฉบัง</t>
        </is>
      </c>
      <c r="E866" s="773" t="n">
        <v>6</v>
      </c>
      <c r="F866" s="770" t="inlineStr">
        <is>
          <t>Km</t>
        </is>
      </c>
      <c r="G866" s="770" t="inlineStr">
        <is>
          <t>รถเทรลเลอร์</t>
        </is>
      </c>
      <c r="H866" s="774" t="inlineStr">
        <is>
          <t>JEBEL ALI, UAE</t>
        </is>
      </c>
      <c r="I866" s="775" t="n">
        <v>4972</v>
      </c>
      <c r="J866" s="776" t="inlineStr">
        <is>
          <t>Km</t>
        </is>
      </c>
      <c r="K866" s="777" t="n">
        <v>2210</v>
      </c>
      <c r="L866" s="778">
        <f>M866-K866</f>
        <v/>
      </c>
      <c r="M866" s="779" t="n">
        <v>7899.66</v>
      </c>
      <c r="N866" s="1784" t="n">
        <v>4646.82</v>
      </c>
      <c r="O866" s="1762">
        <f>N866*E866/1000</f>
        <v/>
      </c>
      <c r="P866" s="1763">
        <f>O866/32</f>
        <v/>
      </c>
      <c r="Q866" s="1764">
        <f>N866*I866/1000</f>
        <v/>
      </c>
    </row>
    <row r="867" ht="15.75" customHeight="1">
      <c r="A867" s="756" t="inlineStr">
        <is>
          <t>FO23120076</t>
        </is>
      </c>
      <c r="B867" s="720" t="n">
        <v>45285</v>
      </c>
      <c r="C867" s="719" t="inlineStr">
        <is>
          <t>มัลติแบกซ์</t>
        </is>
      </c>
      <c r="D867" s="719" t="inlineStr">
        <is>
          <t>ท่าเรือแหลมฉบัง</t>
        </is>
      </c>
      <c r="E867" s="722" t="n">
        <v>6</v>
      </c>
      <c r="F867" s="721" t="inlineStr">
        <is>
          <t>Km</t>
        </is>
      </c>
      <c r="G867" s="721" t="inlineStr">
        <is>
          <t>รถเทรลเลอร์</t>
        </is>
      </c>
      <c r="H867" s="769" t="inlineStr">
        <is>
          <t>HAMAD, QATAR</t>
        </is>
      </c>
      <c r="I867" s="724" t="n">
        <v>5317</v>
      </c>
      <c r="J867" s="750" t="inlineStr">
        <is>
          <t>Km</t>
        </is>
      </c>
      <c r="K867" s="722" t="n">
        <v>2245</v>
      </c>
      <c r="L867" s="740">
        <f>M867-K867</f>
        <v/>
      </c>
      <c r="M867" s="722" t="n">
        <v>6039.72</v>
      </c>
      <c r="N867" s="1773" t="n">
        <v>2768.85</v>
      </c>
      <c r="O867" s="1762">
        <f>N867*E867/1000</f>
        <v/>
      </c>
      <c r="P867" s="1763">
        <f>O867/32</f>
        <v/>
      </c>
      <c r="Q867" s="1764">
        <f>N867*I867/1000</f>
        <v/>
      </c>
    </row>
    <row r="868" ht="15.75" customHeight="1">
      <c r="A868" s="635" t="n"/>
      <c r="B868" s="635" t="n"/>
      <c r="C868" s="635" t="n"/>
      <c r="D868" s="635" t="n"/>
      <c r="E868" s="634" t="n"/>
      <c r="F868" s="631" t="n"/>
      <c r="G868" s="631" t="n"/>
      <c r="H868" s="635" t="n"/>
      <c r="I868" s="687" t="n"/>
      <c r="J868" s="635" t="n"/>
      <c r="K868" s="634" t="n"/>
      <c r="L868" s="635" t="n"/>
      <c r="M868" s="634" t="n"/>
      <c r="N868" s="631" t="n"/>
      <c r="O868" s="1787" t="n"/>
      <c r="P868" s="1787" t="n"/>
      <c r="Q868" s="1788" t="n"/>
    </row>
    <row r="869" ht="15.75" customHeight="1">
      <c r="A869" s="628" t="n"/>
      <c r="B869" s="628" t="n"/>
      <c r="C869" s="628" t="n"/>
      <c r="D869" s="628" t="n"/>
      <c r="E869" s="627" t="n"/>
      <c r="F869" s="625" t="n"/>
      <c r="G869" s="625" t="n"/>
      <c r="H869" s="628" t="n"/>
      <c r="I869" s="688" t="n"/>
      <c r="J869" s="628" t="n"/>
      <c r="K869" s="627" t="n"/>
      <c r="L869" s="628" t="n"/>
      <c r="M869" s="627" t="n"/>
      <c r="N869" s="625" t="n"/>
      <c r="O869" s="628" t="n"/>
      <c r="P869" s="628" t="n"/>
    </row>
    <row r="870" ht="15.75" customHeight="1">
      <c r="A870" s="635" t="n"/>
      <c r="B870" s="635" t="n"/>
      <c r="C870" s="635" t="n"/>
      <c r="D870" s="635" t="n"/>
      <c r="E870" s="634" t="n"/>
      <c r="F870" s="631" t="n"/>
      <c r="G870" s="631" t="n"/>
      <c r="H870" s="635" t="n"/>
      <c r="I870" s="687" t="n"/>
      <c r="J870" s="635" t="n"/>
      <c r="K870" s="634" t="n"/>
      <c r="L870" s="635" t="n"/>
      <c r="M870" s="634" t="n"/>
      <c r="N870" s="631" t="n"/>
      <c r="O870" s="635" t="n"/>
      <c r="P870" s="635" t="n"/>
    </row>
    <row r="871" ht="15.75" customHeight="1">
      <c r="A871" s="628" t="n"/>
      <c r="B871" s="628" t="n"/>
      <c r="C871" s="628" t="n"/>
      <c r="D871" s="628" t="n"/>
      <c r="E871" s="627" t="n"/>
      <c r="F871" s="625" t="n"/>
      <c r="G871" s="625" t="n"/>
      <c r="H871" s="628" t="n"/>
      <c r="I871" s="688" t="n"/>
      <c r="J871" s="628" t="n"/>
      <c r="K871" s="627" t="n"/>
      <c r="L871" s="628" t="n"/>
      <c r="M871" s="627" t="n"/>
      <c r="N871" s="625" t="n"/>
      <c r="O871" s="628" t="n"/>
      <c r="P871" s="628" t="n"/>
    </row>
    <row r="872" ht="15.75" customHeight="1">
      <c r="A872" s="635" t="n"/>
      <c r="B872" s="635" t="n"/>
      <c r="C872" s="635" t="n"/>
      <c r="D872" s="635" t="n"/>
      <c r="E872" s="634" t="n"/>
      <c r="F872" s="631" t="n"/>
      <c r="G872" s="631" t="n"/>
      <c r="H872" s="635" t="n"/>
      <c r="I872" s="687" t="n"/>
      <c r="J872" s="635" t="n"/>
      <c r="K872" s="634" t="n"/>
      <c r="L872" s="635" t="n"/>
      <c r="M872" s="634" t="n"/>
      <c r="N872" s="631" t="n"/>
      <c r="O872" s="635" t="n"/>
      <c r="P872" s="635" t="n"/>
    </row>
    <row r="873" ht="15.75" customHeight="1">
      <c r="A873" s="628" t="n"/>
      <c r="B873" s="628" t="n"/>
      <c r="C873" s="628" t="n"/>
      <c r="D873" s="628" t="n"/>
      <c r="E873" s="627" t="n"/>
      <c r="F873" s="625" t="n"/>
      <c r="G873" s="625" t="n"/>
      <c r="H873" s="628" t="n"/>
      <c r="I873" s="688" t="n"/>
      <c r="J873" s="628" t="n"/>
      <c r="K873" s="627" t="n"/>
      <c r="L873" s="628" t="n"/>
      <c r="M873" s="627" t="n"/>
      <c r="N873" s="625" t="n"/>
      <c r="O873" s="628" t="n"/>
      <c r="P873" s="628" t="n"/>
    </row>
    <row r="874" ht="15.75" customHeight="1">
      <c r="A874" s="635" t="n"/>
      <c r="B874" s="635" t="n"/>
      <c r="C874" s="635" t="n"/>
      <c r="D874" s="635" t="n"/>
      <c r="E874" s="634" t="n"/>
      <c r="F874" s="631" t="n"/>
      <c r="G874" s="631" t="n"/>
      <c r="H874" s="635" t="n"/>
      <c r="I874" s="687" t="n"/>
      <c r="J874" s="635" t="n"/>
      <c r="K874" s="634" t="n"/>
      <c r="L874" s="635" t="n"/>
      <c r="M874" s="634" t="n"/>
      <c r="N874" s="631" t="n"/>
      <c r="O874" s="635" t="n"/>
      <c r="P874" s="635" t="n"/>
    </row>
    <row r="875" ht="15.75" customHeight="1">
      <c r="A875" s="628" t="n"/>
      <c r="B875" s="628" t="n"/>
      <c r="C875" s="628" t="n"/>
      <c r="D875" s="628" t="n"/>
      <c r="E875" s="627" t="n"/>
      <c r="F875" s="625" t="n"/>
      <c r="G875" s="625" t="n"/>
      <c r="H875" s="628" t="n"/>
      <c r="I875" s="688" t="n"/>
      <c r="J875" s="628" t="n"/>
      <c r="K875" s="627" t="n"/>
      <c r="L875" s="628" t="n"/>
      <c r="M875" s="627" t="n"/>
      <c r="N875" s="625" t="n"/>
      <c r="O875" s="628" t="n"/>
      <c r="P875" s="628" t="n"/>
    </row>
    <row r="876" ht="15.75" customHeight="1">
      <c r="A876" s="635" t="n"/>
      <c r="B876" s="635" t="n"/>
      <c r="C876" s="635" t="n"/>
      <c r="D876" s="635" t="n"/>
      <c r="E876" s="634" t="n"/>
      <c r="F876" s="631" t="n"/>
      <c r="G876" s="631" t="n"/>
      <c r="H876" s="635" t="n"/>
      <c r="I876" s="687" t="n"/>
      <c r="J876" s="635" t="n"/>
      <c r="K876" s="634" t="n"/>
      <c r="L876" s="635" t="n"/>
      <c r="M876" s="634" t="n"/>
      <c r="N876" s="631" t="n"/>
      <c r="O876" s="635" t="n"/>
      <c r="P876" s="635" t="n"/>
    </row>
    <row r="877" ht="15.75" customHeight="1">
      <c r="A877" s="628" t="n"/>
      <c r="B877" s="628" t="n"/>
      <c r="C877" s="628" t="n"/>
      <c r="D877" s="628" t="n"/>
      <c r="E877" s="627" t="n"/>
      <c r="F877" s="625" t="n"/>
      <c r="G877" s="625" t="n"/>
      <c r="H877" s="628" t="n"/>
      <c r="I877" s="688" t="n"/>
      <c r="J877" s="628" t="n"/>
      <c r="K877" s="627" t="n"/>
      <c r="L877" s="628" t="n"/>
      <c r="M877" s="627" t="n"/>
      <c r="N877" s="625" t="n"/>
      <c r="O877" s="628" t="n"/>
      <c r="P877" s="628" t="n"/>
    </row>
    <row r="878" ht="15.75" customHeight="1">
      <c r="A878" s="635" t="n"/>
      <c r="B878" s="635" t="n"/>
      <c r="C878" s="635" t="n"/>
      <c r="D878" s="635" t="n"/>
      <c r="E878" s="634" t="n"/>
      <c r="F878" s="631" t="n"/>
      <c r="G878" s="631" t="n"/>
      <c r="H878" s="635" t="n"/>
      <c r="I878" s="687" t="n"/>
      <c r="J878" s="635" t="n"/>
      <c r="K878" s="634" t="n"/>
      <c r="L878" s="635" t="n"/>
      <c r="M878" s="634" t="n"/>
      <c r="N878" s="631" t="n"/>
      <c r="O878" s="635" t="n"/>
      <c r="P878" s="635" t="n"/>
    </row>
    <row r="879" ht="15.75" customHeight="1">
      <c r="A879" s="628" t="n"/>
      <c r="B879" s="628" t="n"/>
      <c r="C879" s="628" t="n"/>
      <c r="D879" s="628" t="n"/>
      <c r="E879" s="627" t="n"/>
      <c r="F879" s="625" t="n"/>
      <c r="G879" s="625" t="n"/>
      <c r="H879" s="628" t="n"/>
      <c r="I879" s="688" t="n"/>
      <c r="J879" s="628" t="n"/>
      <c r="K879" s="627" t="n"/>
      <c r="L879" s="628" t="n"/>
      <c r="M879" s="627" t="n"/>
      <c r="N879" s="625" t="n"/>
      <c r="O879" s="628" t="n"/>
      <c r="P879" s="628" t="n"/>
    </row>
    <row r="880" ht="15.75" customHeight="1">
      <c r="A880" s="635" t="n"/>
      <c r="B880" s="635" t="n"/>
      <c r="C880" s="635" t="n"/>
      <c r="D880" s="635" t="n"/>
      <c r="E880" s="634" t="n"/>
      <c r="F880" s="631" t="n"/>
      <c r="G880" s="631" t="n"/>
      <c r="H880" s="635" t="n"/>
      <c r="I880" s="687" t="n"/>
      <c r="J880" s="635" t="n"/>
      <c r="K880" s="634" t="n"/>
      <c r="L880" s="635" t="n"/>
      <c r="M880" s="634" t="n"/>
      <c r="N880" s="631" t="n"/>
      <c r="O880" s="635" t="n"/>
      <c r="P880" s="635" t="n"/>
    </row>
    <row r="881" ht="15.75" customHeight="1">
      <c r="A881" s="628" t="n"/>
      <c r="B881" s="628" t="n"/>
      <c r="C881" s="628" t="n"/>
      <c r="D881" s="628" t="n"/>
      <c r="E881" s="627" t="n"/>
      <c r="F881" s="625" t="n"/>
      <c r="G881" s="625" t="n"/>
      <c r="H881" s="628" t="n"/>
      <c r="I881" s="688" t="n"/>
      <c r="J881" s="628" t="n"/>
      <c r="K881" s="627" t="n"/>
      <c r="L881" s="628" t="n"/>
      <c r="M881" s="627" t="n"/>
      <c r="N881" s="625" t="n"/>
      <c r="O881" s="628" t="n"/>
      <c r="P881" s="628" t="n"/>
    </row>
    <row r="882" ht="15.75" customHeight="1">
      <c r="A882" s="635" t="n"/>
      <c r="B882" s="635" t="n"/>
      <c r="C882" s="635" t="n"/>
      <c r="D882" s="635" t="n"/>
      <c r="E882" s="634" t="n"/>
      <c r="F882" s="631" t="n"/>
      <c r="G882" s="631" t="n"/>
      <c r="H882" s="635" t="n"/>
      <c r="I882" s="687" t="n"/>
      <c r="J882" s="635" t="n"/>
      <c r="K882" s="634" t="n"/>
      <c r="L882" s="635" t="n"/>
      <c r="M882" s="634" t="n"/>
      <c r="N882" s="631" t="n"/>
      <c r="O882" s="635" t="n"/>
      <c r="P882" s="635" t="n"/>
    </row>
    <row r="883" ht="15.75" customHeight="1">
      <c r="A883" s="628" t="n"/>
      <c r="B883" s="628" t="n"/>
      <c r="C883" s="628" t="n"/>
      <c r="D883" s="628" t="n"/>
      <c r="E883" s="627" t="n"/>
      <c r="F883" s="625" t="n"/>
      <c r="G883" s="625" t="n"/>
      <c r="H883" s="628" t="n"/>
      <c r="I883" s="688" t="n"/>
      <c r="J883" s="628" t="n"/>
      <c r="K883" s="627" t="n"/>
      <c r="L883" s="628" t="n"/>
      <c r="M883" s="627" t="n"/>
      <c r="N883" s="625" t="n"/>
      <c r="O883" s="628" t="n"/>
      <c r="P883" s="628" t="n"/>
    </row>
    <row r="884" ht="15.75" customHeight="1">
      <c r="A884" s="635" t="n"/>
      <c r="B884" s="635" t="n"/>
      <c r="C884" s="635" t="n"/>
      <c r="D884" s="635" t="n"/>
      <c r="E884" s="634" t="n"/>
      <c r="F884" s="631" t="n"/>
      <c r="G884" s="631" t="n"/>
      <c r="H884" s="635" t="n"/>
      <c r="I884" s="687" t="n"/>
      <c r="J884" s="635" t="n"/>
      <c r="K884" s="634" t="n"/>
      <c r="L884" s="635" t="n"/>
      <c r="M884" s="634" t="n"/>
      <c r="N884" s="631" t="n"/>
      <c r="O884" s="635" t="n"/>
      <c r="P884" s="635" t="n"/>
    </row>
    <row r="885" ht="15.75" customHeight="1">
      <c r="A885" s="628" t="n"/>
      <c r="B885" s="628" t="n"/>
      <c r="C885" s="628" t="n"/>
      <c r="D885" s="628" t="n"/>
      <c r="E885" s="627" t="n"/>
      <c r="F885" s="625" t="n"/>
      <c r="G885" s="625" t="n"/>
      <c r="H885" s="628" t="n"/>
      <c r="I885" s="688" t="n"/>
      <c r="J885" s="628" t="n"/>
      <c r="K885" s="627" t="n"/>
      <c r="L885" s="628" t="n"/>
      <c r="M885" s="627" t="n"/>
      <c r="N885" s="625" t="n"/>
      <c r="O885" s="628" t="n"/>
      <c r="P885" s="628" t="n"/>
    </row>
    <row r="886" ht="15.75" customHeight="1">
      <c r="A886" s="635" t="n"/>
      <c r="B886" s="635" t="n"/>
      <c r="C886" s="635" t="n"/>
      <c r="D886" s="635" t="n"/>
      <c r="E886" s="634" t="n"/>
      <c r="F886" s="631" t="n"/>
      <c r="G886" s="631" t="n"/>
      <c r="H886" s="635" t="n"/>
      <c r="I886" s="687" t="n"/>
      <c r="J886" s="635" t="n"/>
      <c r="K886" s="634" t="n"/>
      <c r="L886" s="635" t="n"/>
      <c r="M886" s="634" t="n"/>
      <c r="N886" s="631" t="n"/>
      <c r="O886" s="635" t="n"/>
      <c r="P886" s="635" t="n"/>
    </row>
    <row r="887" ht="15.75" customHeight="1">
      <c r="A887" s="628" t="n"/>
      <c r="B887" s="628" t="n"/>
      <c r="C887" s="628" t="n"/>
      <c r="D887" s="628" t="n"/>
      <c r="E887" s="627" t="n"/>
      <c r="F887" s="625" t="n"/>
      <c r="G887" s="625" t="n"/>
      <c r="H887" s="628" t="n"/>
      <c r="I887" s="688" t="n"/>
      <c r="J887" s="628" t="n"/>
      <c r="K887" s="627" t="n"/>
      <c r="L887" s="628" t="n"/>
      <c r="M887" s="627" t="n"/>
      <c r="N887" s="625" t="n"/>
      <c r="O887" s="628" t="n"/>
      <c r="P887" s="628" t="n"/>
    </row>
    <row r="888" ht="15.75" customHeight="1">
      <c r="A888" s="635" t="n"/>
      <c r="B888" s="635" t="n"/>
      <c r="C888" s="635" t="n"/>
      <c r="D888" s="635" t="n"/>
      <c r="E888" s="634" t="n"/>
      <c r="F888" s="631" t="n"/>
      <c r="G888" s="631" t="n"/>
      <c r="H888" s="635" t="n"/>
      <c r="I888" s="687" t="n"/>
      <c r="J888" s="635" t="n"/>
      <c r="K888" s="634" t="n"/>
      <c r="L888" s="635" t="n"/>
      <c r="M888" s="634" t="n"/>
      <c r="N888" s="631" t="n"/>
      <c r="O888" s="635" t="n"/>
      <c r="P888" s="635" t="n"/>
    </row>
    <row r="889" ht="15.75" customHeight="1">
      <c r="A889" s="628" t="n"/>
      <c r="B889" s="628" t="n"/>
      <c r="C889" s="628" t="n"/>
      <c r="D889" s="628" t="n"/>
      <c r="E889" s="627" t="n"/>
      <c r="F889" s="625" t="n"/>
      <c r="G889" s="625" t="n"/>
      <c r="H889" s="628" t="n"/>
      <c r="I889" s="688" t="n"/>
      <c r="J889" s="628" t="n"/>
      <c r="K889" s="627" t="n"/>
      <c r="L889" s="628" t="n"/>
      <c r="M889" s="627" t="n"/>
      <c r="N889" s="625" t="n"/>
      <c r="O889" s="628" t="n"/>
      <c r="P889" s="628" t="n"/>
    </row>
    <row r="890" ht="15.75" customHeight="1">
      <c r="A890" s="635" t="n"/>
      <c r="B890" s="635" t="n"/>
      <c r="C890" s="635" t="n"/>
      <c r="D890" s="635" t="n"/>
      <c r="E890" s="634" t="n"/>
      <c r="F890" s="631" t="n"/>
      <c r="G890" s="631" t="n"/>
      <c r="H890" s="635" t="n"/>
      <c r="I890" s="687" t="n"/>
      <c r="J890" s="635" t="n"/>
      <c r="K890" s="634" t="n"/>
      <c r="L890" s="635" t="n"/>
      <c r="M890" s="634" t="n"/>
      <c r="N890" s="631" t="n"/>
      <c r="O890" s="635" t="n"/>
      <c r="P890" s="635" t="n"/>
    </row>
    <row r="891" ht="15.75" customHeight="1">
      <c r="A891" s="628" t="n"/>
      <c r="B891" s="628" t="n"/>
      <c r="C891" s="628" t="n"/>
      <c r="D891" s="628" t="n"/>
      <c r="E891" s="627" t="n"/>
      <c r="F891" s="625" t="n"/>
      <c r="G891" s="625" t="n"/>
      <c r="H891" s="628" t="n"/>
      <c r="I891" s="688" t="n"/>
      <c r="J891" s="628" t="n"/>
      <c r="K891" s="627" t="n"/>
      <c r="L891" s="628" t="n"/>
      <c r="M891" s="627" t="n"/>
      <c r="N891" s="625" t="n"/>
      <c r="O891" s="628" t="n"/>
      <c r="P891" s="628" t="n"/>
    </row>
    <row r="892" ht="15.75" customHeight="1">
      <c r="A892" s="635" t="n"/>
      <c r="B892" s="635" t="n"/>
      <c r="C892" s="635" t="n"/>
      <c r="D892" s="635" t="n"/>
      <c r="E892" s="634" t="n"/>
      <c r="F892" s="631" t="n"/>
      <c r="G892" s="631" t="n"/>
      <c r="H892" s="635" t="n"/>
      <c r="I892" s="687" t="n"/>
      <c r="J892" s="635" t="n"/>
      <c r="K892" s="634" t="n"/>
      <c r="L892" s="635" t="n"/>
      <c r="M892" s="634" t="n"/>
      <c r="N892" s="631" t="n"/>
      <c r="O892" s="635" t="n"/>
      <c r="P892" s="635" t="n"/>
    </row>
    <row r="893" ht="15.75" customHeight="1">
      <c r="A893" s="628" t="n"/>
      <c r="B893" s="628" t="n"/>
      <c r="C893" s="628" t="n"/>
      <c r="D893" s="628" t="n"/>
      <c r="E893" s="627" t="n"/>
      <c r="F893" s="625" t="n"/>
      <c r="G893" s="625" t="n"/>
      <c r="H893" s="628" t="n"/>
      <c r="I893" s="688" t="n"/>
      <c r="J893" s="628" t="n"/>
      <c r="K893" s="627" t="n"/>
      <c r="L893" s="628" t="n"/>
      <c r="M893" s="627" t="n"/>
      <c r="N893" s="625" t="n"/>
      <c r="O893" s="628" t="n"/>
      <c r="P893" s="628" t="n"/>
    </row>
    <row r="894" ht="15.75" customHeight="1">
      <c r="A894" s="635" t="n"/>
      <c r="B894" s="635" t="n"/>
      <c r="C894" s="635" t="n"/>
      <c r="D894" s="635" t="n"/>
      <c r="E894" s="634" t="n"/>
      <c r="F894" s="631" t="n"/>
      <c r="G894" s="631" t="n"/>
      <c r="H894" s="635" t="n"/>
      <c r="I894" s="687" t="n"/>
      <c r="J894" s="635" t="n"/>
      <c r="K894" s="634" t="n"/>
      <c r="L894" s="635" t="n"/>
      <c r="M894" s="634" t="n"/>
      <c r="N894" s="631" t="n"/>
      <c r="O894" s="635" t="n"/>
      <c r="P894" s="635" t="n"/>
    </row>
    <row r="895" ht="15.75" customHeight="1">
      <c r="A895" s="628" t="n"/>
      <c r="B895" s="628" t="n"/>
      <c r="C895" s="628" t="n"/>
      <c r="D895" s="628" t="n"/>
      <c r="E895" s="627" t="n"/>
      <c r="F895" s="625" t="n"/>
      <c r="G895" s="625" t="n"/>
      <c r="H895" s="628" t="n"/>
      <c r="I895" s="688" t="n"/>
      <c r="J895" s="628" t="n"/>
      <c r="K895" s="627" t="n"/>
      <c r="L895" s="628" t="n"/>
      <c r="M895" s="627" t="n"/>
      <c r="N895" s="625" t="n"/>
      <c r="O895" s="628" t="n"/>
      <c r="P895" s="628" t="n"/>
    </row>
    <row r="896" ht="15.75" customHeight="1">
      <c r="A896" s="635" t="n"/>
      <c r="B896" s="635" t="n"/>
      <c r="C896" s="635" t="n"/>
      <c r="D896" s="635" t="n"/>
      <c r="E896" s="634" t="n"/>
      <c r="F896" s="631" t="n"/>
      <c r="G896" s="631" t="n"/>
      <c r="H896" s="635" t="n"/>
      <c r="I896" s="687" t="n"/>
      <c r="J896" s="635" t="n"/>
      <c r="K896" s="634" t="n"/>
      <c r="L896" s="635" t="n"/>
      <c r="M896" s="634" t="n"/>
      <c r="N896" s="631" t="n"/>
      <c r="O896" s="635" t="n"/>
      <c r="P896" s="635" t="n"/>
    </row>
    <row r="897" ht="15.75" customHeight="1">
      <c r="A897" s="628" t="n"/>
      <c r="B897" s="628" t="n"/>
      <c r="C897" s="628" t="n"/>
      <c r="D897" s="628" t="n"/>
      <c r="E897" s="627" t="n"/>
      <c r="F897" s="625" t="n"/>
      <c r="G897" s="625" t="n"/>
      <c r="H897" s="628" t="n"/>
      <c r="I897" s="688" t="n"/>
      <c r="J897" s="628" t="n"/>
      <c r="K897" s="627" t="n"/>
      <c r="L897" s="628" t="n"/>
      <c r="M897" s="627" t="n"/>
      <c r="N897" s="625" t="n"/>
      <c r="O897" s="628" t="n"/>
      <c r="P897" s="628" t="n"/>
    </row>
    <row r="898" ht="15.75" customHeight="1">
      <c r="A898" s="635" t="n"/>
      <c r="B898" s="635" t="n"/>
      <c r="C898" s="635" t="n"/>
      <c r="D898" s="635" t="n"/>
      <c r="E898" s="634" t="n"/>
      <c r="F898" s="631" t="n"/>
      <c r="G898" s="631" t="n"/>
      <c r="H898" s="635" t="n"/>
      <c r="I898" s="687" t="n"/>
      <c r="J898" s="635" t="n"/>
      <c r="K898" s="634" t="n"/>
      <c r="L898" s="635" t="n"/>
      <c r="M898" s="634" t="n"/>
      <c r="N898" s="631" t="n"/>
      <c r="O898" s="635" t="n"/>
      <c r="P898" s="635" t="n"/>
    </row>
    <row r="899" ht="15.75" customHeight="1">
      <c r="A899" s="628" t="n"/>
      <c r="B899" s="628" t="n"/>
      <c r="C899" s="628" t="n"/>
      <c r="D899" s="628" t="n"/>
      <c r="E899" s="627" t="n"/>
      <c r="F899" s="625" t="n"/>
      <c r="G899" s="625" t="n"/>
      <c r="H899" s="628" t="n"/>
      <c r="I899" s="688" t="n"/>
      <c r="J899" s="628" t="n"/>
      <c r="K899" s="627" t="n"/>
      <c r="L899" s="628" t="n"/>
      <c r="M899" s="627" t="n"/>
      <c r="N899" s="625" t="n"/>
      <c r="O899" s="628" t="n"/>
      <c r="P899" s="628" t="n"/>
    </row>
    <row r="900" ht="15.75" customHeight="1">
      <c r="A900" s="635" t="n"/>
      <c r="B900" s="635" t="n"/>
      <c r="C900" s="635" t="n"/>
      <c r="D900" s="635" t="n"/>
      <c r="E900" s="634" t="n"/>
      <c r="F900" s="631" t="n"/>
      <c r="G900" s="631" t="n"/>
      <c r="H900" s="635" t="n"/>
      <c r="I900" s="687" t="n"/>
      <c r="J900" s="635" t="n"/>
      <c r="K900" s="634" t="n"/>
      <c r="L900" s="635" t="n"/>
      <c r="M900" s="634" t="n"/>
      <c r="N900" s="631" t="n"/>
      <c r="O900" s="635" t="n"/>
      <c r="P900" s="635" t="n"/>
    </row>
    <row r="901" ht="15.75" customHeight="1">
      <c r="A901" s="628" t="n"/>
      <c r="B901" s="628" t="n"/>
      <c r="C901" s="628" t="n"/>
      <c r="D901" s="628" t="n"/>
      <c r="E901" s="627" t="n"/>
      <c r="F901" s="625" t="n"/>
      <c r="G901" s="625" t="n"/>
      <c r="H901" s="628" t="n"/>
      <c r="I901" s="688" t="n"/>
      <c r="J901" s="628" t="n"/>
      <c r="K901" s="627" t="n"/>
      <c r="L901" s="628" t="n"/>
      <c r="M901" s="627" t="n"/>
      <c r="N901" s="625" t="n"/>
      <c r="O901" s="628" t="n"/>
      <c r="P901" s="628" t="n"/>
    </row>
    <row r="902" ht="15.75" customHeight="1">
      <c r="A902" s="635" t="n"/>
      <c r="B902" s="635" t="n"/>
      <c r="C902" s="635" t="n"/>
      <c r="D902" s="635" t="n"/>
      <c r="E902" s="634" t="n"/>
      <c r="F902" s="631" t="n"/>
      <c r="G902" s="631" t="n"/>
      <c r="H902" s="635" t="n"/>
      <c r="I902" s="687" t="n"/>
      <c r="J902" s="635" t="n"/>
      <c r="K902" s="634" t="n"/>
      <c r="L902" s="635" t="n"/>
      <c r="M902" s="634" t="n"/>
      <c r="N902" s="631" t="n"/>
      <c r="O902" s="635" t="n"/>
      <c r="P902" s="635" t="n"/>
    </row>
    <row r="903" ht="15.75" customHeight="1">
      <c r="A903" s="628" t="n"/>
      <c r="B903" s="628" t="n"/>
      <c r="C903" s="628" t="n"/>
      <c r="D903" s="628" t="n"/>
      <c r="E903" s="627" t="n"/>
      <c r="F903" s="625" t="n"/>
      <c r="G903" s="625" t="n"/>
      <c r="H903" s="628" t="n"/>
      <c r="I903" s="688" t="n"/>
      <c r="J903" s="628" t="n"/>
      <c r="K903" s="627" t="n"/>
      <c r="L903" s="628" t="n"/>
      <c r="M903" s="627" t="n"/>
      <c r="N903" s="625" t="n"/>
      <c r="O903" s="628" t="n"/>
      <c r="P903" s="628" t="n"/>
    </row>
    <row r="904" ht="15.75" customHeight="1">
      <c r="A904" s="635" t="n"/>
      <c r="B904" s="635" t="n"/>
      <c r="C904" s="635" t="n"/>
      <c r="D904" s="635" t="n"/>
      <c r="E904" s="634" t="n"/>
      <c r="F904" s="631" t="n"/>
      <c r="G904" s="631" t="n"/>
      <c r="H904" s="635" t="n"/>
      <c r="I904" s="687" t="n"/>
      <c r="J904" s="635" t="n"/>
      <c r="K904" s="634" t="n"/>
      <c r="L904" s="635" t="n"/>
      <c r="M904" s="634" t="n"/>
      <c r="N904" s="631" t="n"/>
      <c r="O904" s="635" t="n"/>
      <c r="P904" s="635" t="n"/>
    </row>
    <row r="905" ht="15.75" customHeight="1">
      <c r="A905" s="628" t="n"/>
      <c r="B905" s="628" t="n"/>
      <c r="C905" s="628" t="n"/>
      <c r="D905" s="628" t="n"/>
      <c r="E905" s="627" t="n"/>
      <c r="F905" s="625" t="n"/>
      <c r="G905" s="625" t="n"/>
      <c r="H905" s="628" t="n"/>
      <c r="I905" s="688" t="n"/>
      <c r="J905" s="628" t="n"/>
      <c r="K905" s="627" t="n"/>
      <c r="L905" s="628" t="n"/>
      <c r="M905" s="627" t="n"/>
      <c r="N905" s="625" t="n"/>
      <c r="O905" s="628" t="n"/>
      <c r="P905" s="628" t="n"/>
    </row>
    <row r="906" ht="15.75" customHeight="1">
      <c r="A906" s="635" t="n"/>
      <c r="B906" s="635" t="n"/>
      <c r="C906" s="635" t="n"/>
      <c r="D906" s="635" t="n"/>
      <c r="E906" s="634" t="n"/>
      <c r="F906" s="631" t="n"/>
      <c r="G906" s="631" t="n"/>
      <c r="H906" s="635" t="n"/>
      <c r="I906" s="687" t="n"/>
      <c r="J906" s="635" t="n"/>
      <c r="K906" s="634" t="n"/>
      <c r="L906" s="635" t="n"/>
      <c r="M906" s="634" t="n"/>
      <c r="N906" s="631" t="n"/>
      <c r="O906" s="635" t="n"/>
      <c r="P906" s="635" t="n"/>
    </row>
    <row r="907" ht="15.75" customHeight="1">
      <c r="A907" s="628" t="n"/>
      <c r="B907" s="628" t="n"/>
      <c r="C907" s="628" t="n"/>
      <c r="D907" s="628" t="n"/>
      <c r="E907" s="627" t="n"/>
      <c r="F907" s="625" t="n"/>
      <c r="G907" s="625" t="n"/>
      <c r="H907" s="628" t="n"/>
      <c r="I907" s="688" t="n"/>
      <c r="J907" s="628" t="n"/>
      <c r="K907" s="627" t="n"/>
      <c r="L907" s="628" t="n"/>
      <c r="M907" s="627" t="n"/>
      <c r="N907" s="625" t="n"/>
      <c r="O907" s="628" t="n"/>
      <c r="P907" s="628" t="n"/>
    </row>
    <row r="908" ht="15.75" customHeight="1">
      <c r="A908" s="635" t="n"/>
      <c r="B908" s="635" t="n"/>
      <c r="C908" s="635" t="n"/>
      <c r="D908" s="635" t="n"/>
      <c r="E908" s="634" t="n"/>
      <c r="F908" s="631" t="n"/>
      <c r="G908" s="631" t="n"/>
      <c r="H908" s="635" t="n"/>
      <c r="I908" s="687" t="n"/>
      <c r="J908" s="635" t="n"/>
      <c r="K908" s="634" t="n"/>
      <c r="L908" s="635" t="n"/>
      <c r="M908" s="634" t="n"/>
      <c r="N908" s="631" t="n"/>
      <c r="O908" s="635" t="n"/>
      <c r="P908" s="635" t="n"/>
    </row>
    <row r="909" ht="15.75" customHeight="1">
      <c r="A909" s="628" t="n"/>
      <c r="B909" s="628" t="n"/>
      <c r="C909" s="628" t="n"/>
      <c r="D909" s="628" t="n"/>
      <c r="E909" s="627" t="n"/>
      <c r="F909" s="625" t="n"/>
      <c r="G909" s="625" t="n"/>
      <c r="H909" s="628" t="n"/>
      <c r="I909" s="688" t="n"/>
      <c r="J909" s="628" t="n"/>
      <c r="K909" s="627" t="n"/>
      <c r="L909" s="628" t="n"/>
      <c r="M909" s="627" t="n"/>
      <c r="N909" s="625" t="n"/>
      <c r="O909" s="628" t="n"/>
      <c r="P909" s="628" t="n"/>
    </row>
    <row r="910" ht="15.75" customHeight="1">
      <c r="A910" s="635" t="n"/>
      <c r="B910" s="635" t="n"/>
      <c r="C910" s="635" t="n"/>
      <c r="D910" s="635" t="n"/>
      <c r="E910" s="634" t="n"/>
      <c r="F910" s="631" t="n"/>
      <c r="G910" s="631" t="n"/>
      <c r="H910" s="635" t="n"/>
      <c r="I910" s="687" t="n"/>
      <c r="J910" s="635" t="n"/>
      <c r="K910" s="634" t="n"/>
      <c r="L910" s="635" t="n"/>
      <c r="M910" s="634" t="n"/>
      <c r="N910" s="631" t="n"/>
      <c r="O910" s="635" t="n"/>
      <c r="P910" s="635" t="n"/>
    </row>
    <row r="911" ht="15.75" customHeight="1">
      <c r="A911" s="628" t="n"/>
      <c r="B911" s="628" t="n"/>
      <c r="C911" s="628" t="n"/>
      <c r="D911" s="628" t="n"/>
      <c r="E911" s="627" t="n"/>
      <c r="F911" s="625" t="n"/>
      <c r="G911" s="625" t="n"/>
      <c r="H911" s="628" t="n"/>
      <c r="I911" s="688" t="n"/>
      <c r="J911" s="628" t="n"/>
      <c r="K911" s="627" t="n"/>
      <c r="L911" s="628" t="n"/>
      <c r="M911" s="627" t="n"/>
      <c r="N911" s="625" t="n"/>
      <c r="O911" s="628" t="n"/>
      <c r="P911" s="628" t="n"/>
    </row>
    <row r="912" ht="15.75" customHeight="1">
      <c r="A912" s="635" t="n"/>
      <c r="B912" s="635" t="n"/>
      <c r="C912" s="635" t="n"/>
      <c r="D912" s="635" t="n"/>
      <c r="E912" s="634" t="n"/>
      <c r="F912" s="631" t="n"/>
      <c r="G912" s="631" t="n"/>
      <c r="H912" s="635" t="n"/>
      <c r="I912" s="687" t="n"/>
      <c r="J912" s="635" t="n"/>
      <c r="K912" s="634" t="n"/>
      <c r="L912" s="635" t="n"/>
      <c r="M912" s="634" t="n"/>
      <c r="N912" s="631" t="n"/>
      <c r="O912" s="635" t="n"/>
      <c r="P912" s="635" t="n"/>
    </row>
    <row r="913" ht="15.75" customHeight="1">
      <c r="A913" s="628" t="n"/>
      <c r="B913" s="628" t="n"/>
      <c r="C913" s="628" t="n"/>
      <c r="D913" s="628" t="n"/>
      <c r="E913" s="627" t="n"/>
      <c r="F913" s="625" t="n"/>
      <c r="G913" s="625" t="n"/>
      <c r="H913" s="628" t="n"/>
      <c r="I913" s="688" t="n"/>
      <c r="J913" s="628" t="n"/>
      <c r="K913" s="627" t="n"/>
      <c r="L913" s="628" t="n"/>
      <c r="M913" s="627" t="n"/>
      <c r="N913" s="625" t="n"/>
      <c r="O913" s="628" t="n"/>
      <c r="P913" s="628" t="n"/>
    </row>
    <row r="914" ht="15.75" customHeight="1">
      <c r="A914" s="635" t="n"/>
      <c r="B914" s="635" t="n"/>
      <c r="C914" s="635" t="n"/>
      <c r="D914" s="635" t="n"/>
      <c r="E914" s="634" t="n"/>
      <c r="F914" s="631" t="n"/>
      <c r="G914" s="631" t="n"/>
      <c r="H914" s="635" t="n"/>
      <c r="I914" s="687" t="n"/>
      <c r="J914" s="635" t="n"/>
      <c r="K914" s="634" t="n"/>
      <c r="L914" s="635" t="n"/>
      <c r="M914" s="634" t="n"/>
      <c r="N914" s="631" t="n"/>
      <c r="O914" s="635" t="n"/>
      <c r="P914" s="635" t="n"/>
    </row>
    <row r="915" ht="15.75" customHeight="1">
      <c r="A915" s="628" t="n"/>
      <c r="B915" s="628" t="n"/>
      <c r="C915" s="628" t="n"/>
      <c r="D915" s="628" t="n"/>
      <c r="E915" s="627" t="n"/>
      <c r="F915" s="625" t="n"/>
      <c r="G915" s="625" t="n"/>
      <c r="H915" s="628" t="n"/>
      <c r="I915" s="688" t="n"/>
      <c r="J915" s="628" t="n"/>
      <c r="K915" s="627" t="n"/>
      <c r="L915" s="628" t="n"/>
      <c r="M915" s="627" t="n"/>
      <c r="N915" s="625" t="n"/>
      <c r="O915" s="628" t="n"/>
      <c r="P915" s="628" t="n"/>
    </row>
    <row r="916" ht="15.75" customHeight="1">
      <c r="A916" s="635" t="n"/>
      <c r="B916" s="635" t="n"/>
      <c r="C916" s="635" t="n"/>
      <c r="D916" s="635" t="n"/>
      <c r="E916" s="634" t="n"/>
      <c r="F916" s="631" t="n"/>
      <c r="G916" s="631" t="n"/>
      <c r="H916" s="635" t="n"/>
      <c r="I916" s="687" t="n"/>
      <c r="J916" s="635" t="n"/>
      <c r="K916" s="634" t="n"/>
      <c r="L916" s="635" t="n"/>
      <c r="M916" s="634" t="n"/>
      <c r="N916" s="631" t="n"/>
      <c r="O916" s="635" t="n"/>
      <c r="P916" s="635" t="n"/>
    </row>
    <row r="917" ht="15.75" customHeight="1">
      <c r="A917" s="628" t="n"/>
      <c r="B917" s="628" t="n"/>
      <c r="C917" s="628" t="n"/>
      <c r="D917" s="628" t="n"/>
      <c r="E917" s="627" t="n"/>
      <c r="F917" s="625" t="n"/>
      <c r="G917" s="625" t="n"/>
      <c r="H917" s="628" t="n"/>
      <c r="I917" s="688" t="n"/>
      <c r="J917" s="628" t="n"/>
      <c r="K917" s="627" t="n"/>
      <c r="L917" s="628" t="n"/>
      <c r="M917" s="627" t="n"/>
      <c r="N917" s="625" t="n"/>
      <c r="O917" s="628" t="n"/>
      <c r="P917" s="628" t="n"/>
    </row>
    <row r="918" ht="15.75" customHeight="1">
      <c r="A918" s="635" t="n"/>
      <c r="B918" s="635" t="n"/>
      <c r="C918" s="635" t="n"/>
      <c r="D918" s="635" t="n"/>
      <c r="E918" s="634" t="n"/>
      <c r="F918" s="631" t="n"/>
      <c r="G918" s="631" t="n"/>
      <c r="H918" s="635" t="n"/>
      <c r="I918" s="687" t="n"/>
      <c r="J918" s="635" t="n"/>
      <c r="K918" s="634" t="n"/>
      <c r="L918" s="635" t="n"/>
      <c r="M918" s="634" t="n"/>
      <c r="N918" s="631" t="n"/>
      <c r="O918" s="635" t="n"/>
      <c r="P918" s="635" t="n"/>
    </row>
    <row r="919" ht="15.75" customHeight="1">
      <c r="A919" s="628" t="n"/>
      <c r="B919" s="628" t="n"/>
      <c r="C919" s="628" t="n"/>
      <c r="D919" s="628" t="n"/>
      <c r="E919" s="627" t="n"/>
      <c r="F919" s="625" t="n"/>
      <c r="G919" s="625" t="n"/>
      <c r="H919" s="628" t="n"/>
      <c r="I919" s="688" t="n"/>
      <c r="J919" s="628" t="n"/>
      <c r="K919" s="627" t="n"/>
      <c r="L919" s="628" t="n"/>
      <c r="M919" s="627" t="n"/>
      <c r="N919" s="625" t="n"/>
      <c r="O919" s="628" t="n"/>
      <c r="P919" s="628" t="n"/>
    </row>
    <row r="920" ht="15.75" customHeight="1">
      <c r="A920" s="635" t="n"/>
      <c r="B920" s="635" t="n"/>
      <c r="C920" s="635" t="n"/>
      <c r="D920" s="635" t="n"/>
      <c r="E920" s="634" t="n"/>
      <c r="F920" s="631" t="n"/>
      <c r="G920" s="631" t="n"/>
      <c r="H920" s="635" t="n"/>
      <c r="I920" s="687" t="n"/>
      <c r="J920" s="635" t="n"/>
      <c r="K920" s="634" t="n"/>
      <c r="L920" s="635" t="n"/>
      <c r="M920" s="634" t="n"/>
      <c r="N920" s="631" t="n"/>
      <c r="O920" s="635" t="n"/>
      <c r="P920" s="635" t="n"/>
    </row>
    <row r="921" ht="15.75" customHeight="1">
      <c r="A921" s="628" t="n"/>
      <c r="B921" s="628" t="n"/>
      <c r="C921" s="628" t="n"/>
      <c r="D921" s="628" t="n"/>
      <c r="E921" s="627" t="n"/>
      <c r="F921" s="625" t="n"/>
      <c r="G921" s="625" t="n"/>
      <c r="H921" s="628" t="n"/>
      <c r="I921" s="688" t="n"/>
      <c r="J921" s="628" t="n"/>
      <c r="K921" s="627" t="n"/>
      <c r="L921" s="628" t="n"/>
      <c r="M921" s="627" t="n"/>
      <c r="N921" s="625" t="n"/>
      <c r="O921" s="628" t="n"/>
      <c r="P921" s="628" t="n"/>
    </row>
    <row r="922" ht="15.75" customHeight="1">
      <c r="A922" s="635" t="n"/>
      <c r="B922" s="635" t="n"/>
      <c r="C922" s="635" t="n"/>
      <c r="D922" s="635" t="n"/>
      <c r="E922" s="634" t="n"/>
      <c r="F922" s="631" t="n"/>
      <c r="G922" s="631" t="n"/>
      <c r="H922" s="635" t="n"/>
      <c r="I922" s="687" t="n"/>
      <c r="J922" s="635" t="n"/>
      <c r="K922" s="634" t="n"/>
      <c r="L922" s="635" t="n"/>
      <c r="M922" s="634" t="n"/>
      <c r="N922" s="631" t="n"/>
      <c r="O922" s="635" t="n"/>
      <c r="P922" s="635" t="n"/>
    </row>
    <row r="923" ht="15.75" customHeight="1">
      <c r="A923" s="628" t="n"/>
      <c r="B923" s="628" t="n"/>
      <c r="C923" s="628" t="n"/>
      <c r="D923" s="628" t="n"/>
      <c r="E923" s="627" t="n"/>
      <c r="F923" s="625" t="n"/>
      <c r="G923" s="625" t="n"/>
      <c r="H923" s="628" t="n"/>
      <c r="I923" s="688" t="n"/>
      <c r="J923" s="628" t="n"/>
      <c r="K923" s="627" t="n"/>
      <c r="L923" s="628" t="n"/>
      <c r="M923" s="627" t="n"/>
      <c r="N923" s="625" t="n"/>
      <c r="O923" s="628" t="n"/>
      <c r="P923" s="628" t="n"/>
    </row>
    <row r="924" ht="15.75" customHeight="1">
      <c r="A924" s="635" t="n"/>
      <c r="B924" s="635" t="n"/>
      <c r="C924" s="635" t="n"/>
      <c r="D924" s="635" t="n"/>
      <c r="E924" s="634" t="n"/>
      <c r="F924" s="631" t="n"/>
      <c r="G924" s="631" t="n"/>
      <c r="H924" s="635" t="n"/>
      <c r="I924" s="687" t="n"/>
      <c r="J924" s="635" t="n"/>
      <c r="K924" s="634" t="n"/>
      <c r="L924" s="635" t="n"/>
      <c r="M924" s="634" t="n"/>
      <c r="N924" s="631" t="n"/>
      <c r="O924" s="635" t="n"/>
      <c r="P924" s="635" t="n"/>
    </row>
    <row r="925" ht="15.75" customHeight="1">
      <c r="A925" s="628" t="n"/>
      <c r="B925" s="628" t="n"/>
      <c r="C925" s="628" t="n"/>
      <c r="D925" s="628" t="n"/>
      <c r="E925" s="627" t="n"/>
      <c r="F925" s="625" t="n"/>
      <c r="G925" s="625" t="n"/>
      <c r="H925" s="628" t="n"/>
      <c r="I925" s="688" t="n"/>
      <c r="J925" s="628" t="n"/>
      <c r="K925" s="627" t="n"/>
      <c r="L925" s="628" t="n"/>
      <c r="M925" s="627" t="n"/>
      <c r="N925" s="625" t="n"/>
      <c r="O925" s="628" t="n"/>
      <c r="P925" s="628" t="n"/>
    </row>
    <row r="926" ht="15.75" customHeight="1">
      <c r="A926" s="635" t="n"/>
      <c r="B926" s="635" t="n"/>
      <c r="C926" s="635" t="n"/>
      <c r="D926" s="635" t="n"/>
      <c r="E926" s="634" t="n"/>
      <c r="F926" s="631" t="n"/>
      <c r="G926" s="631" t="n"/>
      <c r="H926" s="635" t="n"/>
      <c r="I926" s="687" t="n"/>
      <c r="J926" s="635" t="n"/>
      <c r="K926" s="634" t="n"/>
      <c r="L926" s="635" t="n"/>
      <c r="M926" s="634" t="n"/>
      <c r="N926" s="631" t="n"/>
      <c r="O926" s="635" t="n"/>
      <c r="P926" s="635" t="n"/>
    </row>
    <row r="927" ht="15.75" customHeight="1">
      <c r="A927" s="628" t="n"/>
      <c r="B927" s="628" t="n"/>
      <c r="C927" s="628" t="n"/>
      <c r="D927" s="628" t="n"/>
      <c r="E927" s="627" t="n"/>
      <c r="F927" s="625" t="n"/>
      <c r="G927" s="625" t="n"/>
      <c r="H927" s="628" t="n"/>
      <c r="I927" s="688" t="n"/>
      <c r="J927" s="628" t="n"/>
      <c r="K927" s="627" t="n"/>
      <c r="L927" s="628" t="n"/>
      <c r="M927" s="627" t="n"/>
      <c r="N927" s="625" t="n"/>
      <c r="O927" s="628" t="n"/>
      <c r="P927" s="628" t="n"/>
    </row>
    <row r="928" ht="15.75" customHeight="1">
      <c r="A928" s="635" t="n"/>
      <c r="B928" s="635" t="n"/>
      <c r="C928" s="635" t="n"/>
      <c r="D928" s="635" t="n"/>
      <c r="E928" s="634" t="n"/>
      <c r="F928" s="631" t="n"/>
      <c r="G928" s="631" t="n"/>
      <c r="H928" s="635" t="n"/>
      <c r="I928" s="687" t="n"/>
      <c r="J928" s="635" t="n"/>
      <c r="K928" s="634" t="n"/>
      <c r="L928" s="635" t="n"/>
      <c r="M928" s="634" t="n"/>
      <c r="N928" s="631" t="n"/>
      <c r="O928" s="635" t="n"/>
      <c r="P928" s="635" t="n"/>
    </row>
    <row r="929" ht="15.75" customHeight="1">
      <c r="A929" s="628" t="n"/>
      <c r="B929" s="628" t="n"/>
      <c r="C929" s="628" t="n"/>
      <c r="D929" s="628" t="n"/>
      <c r="E929" s="627" t="n"/>
      <c r="F929" s="625" t="n"/>
      <c r="G929" s="625" t="n"/>
      <c r="H929" s="628" t="n"/>
      <c r="I929" s="688" t="n"/>
      <c r="J929" s="628" t="n"/>
      <c r="K929" s="627" t="n"/>
      <c r="L929" s="628" t="n"/>
      <c r="M929" s="627" t="n"/>
      <c r="N929" s="625" t="n"/>
      <c r="O929" s="628" t="n"/>
      <c r="P929" s="628" t="n"/>
    </row>
    <row r="930" ht="15.75" customHeight="1">
      <c r="A930" s="635" t="n"/>
      <c r="B930" s="635" t="n"/>
      <c r="C930" s="635" t="n"/>
      <c r="D930" s="635" t="n"/>
      <c r="E930" s="634" t="n"/>
      <c r="F930" s="631" t="n"/>
      <c r="G930" s="631" t="n"/>
      <c r="H930" s="635" t="n"/>
      <c r="I930" s="687" t="n"/>
      <c r="J930" s="635" t="n"/>
      <c r="K930" s="634" t="n"/>
      <c r="L930" s="635" t="n"/>
      <c r="M930" s="634" t="n"/>
      <c r="N930" s="631" t="n"/>
      <c r="O930" s="635" t="n"/>
      <c r="P930" s="635" t="n"/>
    </row>
    <row r="931" ht="15.75" customHeight="1">
      <c r="A931" s="628" t="n"/>
      <c r="B931" s="628" t="n"/>
      <c r="C931" s="628" t="n"/>
      <c r="D931" s="628" t="n"/>
      <c r="E931" s="627" t="n"/>
      <c r="F931" s="625" t="n"/>
      <c r="G931" s="625" t="n"/>
      <c r="H931" s="628" t="n"/>
      <c r="I931" s="688" t="n"/>
      <c r="J931" s="628" t="n"/>
      <c r="K931" s="627" t="n"/>
      <c r="L931" s="628" t="n"/>
      <c r="M931" s="627" t="n"/>
      <c r="N931" s="625" t="n"/>
      <c r="O931" s="628" t="n"/>
      <c r="P931" s="628" t="n"/>
    </row>
    <row r="932" ht="15.75" customHeight="1">
      <c r="A932" s="635" t="n"/>
      <c r="B932" s="635" t="n"/>
      <c r="C932" s="635" t="n"/>
      <c r="D932" s="635" t="n"/>
      <c r="E932" s="634" t="n"/>
      <c r="F932" s="631" t="n"/>
      <c r="G932" s="631" t="n"/>
      <c r="H932" s="635" t="n"/>
      <c r="I932" s="687" t="n"/>
      <c r="J932" s="635" t="n"/>
      <c r="K932" s="634" t="n"/>
      <c r="L932" s="635" t="n"/>
      <c r="M932" s="634" t="n"/>
      <c r="N932" s="631" t="n"/>
      <c r="O932" s="635" t="n"/>
      <c r="P932" s="635" t="n"/>
    </row>
    <row r="933" ht="15.75" customHeight="1">
      <c r="A933" s="628" t="n"/>
      <c r="B933" s="628" t="n"/>
      <c r="C933" s="628" t="n"/>
      <c r="D933" s="628" t="n"/>
      <c r="E933" s="627" t="n"/>
      <c r="F933" s="625" t="n"/>
      <c r="G933" s="625" t="n"/>
      <c r="H933" s="628" t="n"/>
      <c r="I933" s="688" t="n"/>
      <c r="J933" s="628" t="n"/>
      <c r="K933" s="627" t="n"/>
      <c r="L933" s="628" t="n"/>
      <c r="M933" s="627" t="n"/>
      <c r="N933" s="625" t="n"/>
      <c r="O933" s="628" t="n"/>
      <c r="P933" s="628" t="n"/>
    </row>
    <row r="934" ht="15.75" customHeight="1">
      <c r="A934" s="635" t="n"/>
      <c r="B934" s="635" t="n"/>
      <c r="C934" s="635" t="n"/>
      <c r="D934" s="635" t="n"/>
      <c r="E934" s="634" t="n"/>
      <c r="F934" s="631" t="n"/>
      <c r="G934" s="631" t="n"/>
      <c r="H934" s="635" t="n"/>
      <c r="I934" s="687" t="n"/>
      <c r="J934" s="635" t="n"/>
      <c r="K934" s="634" t="n"/>
      <c r="L934" s="635" t="n"/>
      <c r="M934" s="634" t="n"/>
      <c r="N934" s="631" t="n"/>
      <c r="O934" s="635" t="n"/>
      <c r="P934" s="635" t="n"/>
    </row>
    <row r="935" ht="15.75" customHeight="1">
      <c r="A935" s="628" t="n"/>
      <c r="B935" s="628" t="n"/>
      <c r="C935" s="628" t="n"/>
      <c r="D935" s="628" t="n"/>
      <c r="E935" s="627" t="n"/>
      <c r="F935" s="625" t="n"/>
      <c r="G935" s="625" t="n"/>
      <c r="H935" s="628" t="n"/>
      <c r="I935" s="688" t="n"/>
      <c r="J935" s="628" t="n"/>
      <c r="K935" s="627" t="n"/>
      <c r="L935" s="628" t="n"/>
      <c r="M935" s="627" t="n"/>
      <c r="N935" s="625" t="n"/>
      <c r="O935" s="628" t="n"/>
      <c r="P935" s="628" t="n"/>
    </row>
    <row r="936" ht="15.75" customHeight="1">
      <c r="A936" s="635" t="n"/>
      <c r="B936" s="635" t="n"/>
      <c r="C936" s="635" t="n"/>
      <c r="D936" s="635" t="n"/>
      <c r="E936" s="634" t="n"/>
      <c r="F936" s="631" t="n"/>
      <c r="G936" s="631" t="n"/>
      <c r="H936" s="635" t="n"/>
      <c r="I936" s="687" t="n"/>
      <c r="J936" s="635" t="n"/>
      <c r="K936" s="634" t="n"/>
      <c r="L936" s="635" t="n"/>
      <c r="M936" s="634" t="n"/>
      <c r="N936" s="631" t="n"/>
      <c r="O936" s="635" t="n"/>
      <c r="P936" s="635" t="n"/>
    </row>
    <row r="937" ht="15.75" customHeight="1">
      <c r="A937" s="628" t="n"/>
      <c r="B937" s="628" t="n"/>
      <c r="C937" s="628" t="n"/>
      <c r="D937" s="628" t="n"/>
      <c r="E937" s="627" t="n"/>
      <c r="F937" s="625" t="n"/>
      <c r="G937" s="625" t="n"/>
      <c r="H937" s="628" t="n"/>
      <c r="I937" s="688" t="n"/>
      <c r="J937" s="628" t="n"/>
      <c r="K937" s="627" t="n"/>
      <c r="L937" s="628" t="n"/>
      <c r="M937" s="627" t="n"/>
      <c r="N937" s="625" t="n"/>
      <c r="O937" s="628" t="n"/>
      <c r="P937" s="628" t="n"/>
    </row>
    <row r="938" ht="15.75" customHeight="1">
      <c r="A938" s="635" t="n"/>
      <c r="B938" s="635" t="n"/>
      <c r="C938" s="635" t="n"/>
      <c r="D938" s="635" t="n"/>
      <c r="E938" s="634" t="n"/>
      <c r="F938" s="631" t="n"/>
      <c r="G938" s="631" t="n"/>
      <c r="H938" s="635" t="n"/>
      <c r="I938" s="687" t="n"/>
      <c r="J938" s="635" t="n"/>
      <c r="K938" s="634" t="n"/>
      <c r="L938" s="635" t="n"/>
      <c r="M938" s="634" t="n"/>
      <c r="N938" s="631" t="n"/>
      <c r="O938" s="635" t="n"/>
      <c r="P938" s="635" t="n"/>
    </row>
    <row r="939" ht="15.75" customHeight="1">
      <c r="A939" s="628" t="n"/>
      <c r="B939" s="628" t="n"/>
      <c r="C939" s="628" t="n"/>
      <c r="D939" s="628" t="n"/>
      <c r="E939" s="627" t="n"/>
      <c r="F939" s="625" t="n"/>
      <c r="G939" s="625" t="n"/>
      <c r="H939" s="628" t="n"/>
      <c r="I939" s="688" t="n"/>
      <c r="J939" s="628" t="n"/>
      <c r="K939" s="627" t="n"/>
      <c r="L939" s="628" t="n"/>
      <c r="M939" s="627" t="n"/>
      <c r="N939" s="625" t="n"/>
      <c r="O939" s="628" t="n"/>
      <c r="P939" s="628" t="n"/>
    </row>
    <row r="940" ht="15.75" customHeight="1">
      <c r="A940" s="635" t="n"/>
      <c r="B940" s="635" t="n"/>
      <c r="C940" s="635" t="n"/>
      <c r="D940" s="635" t="n"/>
      <c r="E940" s="634" t="n"/>
      <c r="F940" s="631" t="n"/>
      <c r="G940" s="631" t="n"/>
      <c r="H940" s="635" t="n"/>
      <c r="I940" s="687" t="n"/>
      <c r="J940" s="635" t="n"/>
      <c r="K940" s="634" t="n"/>
      <c r="L940" s="635" t="n"/>
      <c r="M940" s="634" t="n"/>
      <c r="N940" s="631" t="n"/>
      <c r="O940" s="635" t="n"/>
      <c r="P940" s="635" t="n"/>
    </row>
    <row r="941" ht="15.75" customHeight="1">
      <c r="A941" s="628" t="n"/>
      <c r="B941" s="628" t="n"/>
      <c r="C941" s="628" t="n"/>
      <c r="D941" s="628" t="n"/>
      <c r="E941" s="627" t="n"/>
      <c r="F941" s="625" t="n"/>
      <c r="G941" s="625" t="n"/>
      <c r="H941" s="628" t="n"/>
      <c r="I941" s="688" t="n"/>
      <c r="J941" s="628" t="n"/>
      <c r="K941" s="627" t="n"/>
      <c r="L941" s="628" t="n"/>
      <c r="M941" s="627" t="n"/>
      <c r="N941" s="625" t="n"/>
      <c r="O941" s="628" t="n"/>
      <c r="P941" s="628" t="n"/>
    </row>
    <row r="942" ht="15.75" customHeight="1">
      <c r="A942" s="635" t="n"/>
      <c r="B942" s="635" t="n"/>
      <c r="C942" s="635" t="n"/>
      <c r="D942" s="635" t="n"/>
      <c r="E942" s="634" t="n"/>
      <c r="F942" s="631" t="n"/>
      <c r="G942" s="631" t="n"/>
      <c r="H942" s="635" t="n"/>
      <c r="I942" s="687" t="n"/>
      <c r="J942" s="635" t="n"/>
      <c r="K942" s="634" t="n"/>
      <c r="L942" s="635" t="n"/>
      <c r="M942" s="634" t="n"/>
      <c r="N942" s="631" t="n"/>
      <c r="O942" s="635" t="n"/>
      <c r="P942" s="635" t="n"/>
    </row>
    <row r="943" ht="15.75" customHeight="1">
      <c r="A943" s="628" t="n"/>
      <c r="B943" s="628" t="n"/>
      <c r="C943" s="628" t="n"/>
      <c r="D943" s="628" t="n"/>
      <c r="E943" s="627" t="n"/>
      <c r="F943" s="625" t="n"/>
      <c r="G943" s="625" t="n"/>
      <c r="H943" s="628" t="n"/>
      <c r="I943" s="688" t="n"/>
      <c r="J943" s="628" t="n"/>
      <c r="K943" s="627" t="n"/>
      <c r="L943" s="628" t="n"/>
      <c r="M943" s="627" t="n"/>
      <c r="N943" s="625" t="n"/>
      <c r="O943" s="628" t="n"/>
      <c r="P943" s="628" t="n"/>
    </row>
    <row r="944" ht="15.75" customHeight="1">
      <c r="A944" s="635" t="n"/>
      <c r="B944" s="635" t="n"/>
      <c r="C944" s="635" t="n"/>
      <c r="D944" s="635" t="n"/>
      <c r="E944" s="634" t="n"/>
      <c r="F944" s="631" t="n"/>
      <c r="G944" s="631" t="n"/>
      <c r="H944" s="635" t="n"/>
      <c r="I944" s="687" t="n"/>
      <c r="J944" s="635" t="n"/>
      <c r="K944" s="634" t="n"/>
      <c r="L944" s="635" t="n"/>
      <c r="M944" s="634" t="n"/>
      <c r="N944" s="631" t="n"/>
      <c r="O944" s="635" t="n"/>
      <c r="P944" s="635" t="n"/>
    </row>
    <row r="945" ht="15.75" customHeight="1">
      <c r="A945" s="628" t="n"/>
      <c r="B945" s="628" t="n"/>
      <c r="C945" s="628" t="n"/>
      <c r="D945" s="628" t="n"/>
      <c r="E945" s="627" t="n"/>
      <c r="F945" s="625" t="n"/>
      <c r="G945" s="625" t="n"/>
      <c r="H945" s="628" t="n"/>
      <c r="I945" s="688" t="n"/>
      <c r="J945" s="628" t="n"/>
      <c r="K945" s="627" t="n"/>
      <c r="L945" s="628" t="n"/>
      <c r="M945" s="627" t="n"/>
      <c r="N945" s="625" t="n"/>
      <c r="O945" s="628" t="n"/>
      <c r="P945" s="628" t="n"/>
    </row>
    <row r="946" ht="15.75" customHeight="1">
      <c r="A946" s="635" t="n"/>
      <c r="B946" s="635" t="n"/>
      <c r="C946" s="635" t="n"/>
      <c r="D946" s="635" t="n"/>
      <c r="E946" s="634" t="n"/>
      <c r="F946" s="631" t="n"/>
      <c r="G946" s="631" t="n"/>
      <c r="H946" s="635" t="n"/>
      <c r="I946" s="687" t="n"/>
      <c r="J946" s="635" t="n"/>
      <c r="K946" s="634" t="n"/>
      <c r="L946" s="635" t="n"/>
      <c r="M946" s="634" t="n"/>
      <c r="N946" s="631" t="n"/>
      <c r="O946" s="635" t="n"/>
      <c r="P946" s="635" t="n"/>
    </row>
    <row r="947" ht="15.75" customHeight="1">
      <c r="A947" s="628" t="n"/>
      <c r="B947" s="628" t="n"/>
      <c r="C947" s="628" t="n"/>
      <c r="D947" s="628" t="n"/>
      <c r="E947" s="627" t="n"/>
      <c r="F947" s="625" t="n"/>
      <c r="G947" s="625" t="n"/>
      <c r="H947" s="628" t="n"/>
      <c r="I947" s="688" t="n"/>
      <c r="J947" s="628" t="n"/>
      <c r="K947" s="627" t="n"/>
      <c r="L947" s="628" t="n"/>
      <c r="M947" s="627" t="n"/>
      <c r="N947" s="625" t="n"/>
      <c r="O947" s="628" t="n"/>
      <c r="P947" s="628" t="n"/>
    </row>
    <row r="948" ht="15.75" customHeight="1">
      <c r="A948" s="635" t="n"/>
      <c r="B948" s="635" t="n"/>
      <c r="C948" s="635" t="n"/>
      <c r="D948" s="635" t="n"/>
      <c r="E948" s="634" t="n"/>
      <c r="F948" s="631" t="n"/>
      <c r="G948" s="631" t="n"/>
      <c r="H948" s="635" t="n"/>
      <c r="I948" s="687" t="n"/>
      <c r="J948" s="635" t="n"/>
      <c r="K948" s="634" t="n"/>
      <c r="L948" s="635" t="n"/>
      <c r="M948" s="634" t="n"/>
      <c r="N948" s="631" t="n"/>
      <c r="O948" s="635" t="n"/>
      <c r="P948" s="635" t="n"/>
    </row>
    <row r="949" ht="15.75" customHeight="1">
      <c r="A949" s="628" t="n"/>
      <c r="B949" s="628" t="n"/>
      <c r="C949" s="628" t="n"/>
      <c r="D949" s="628" t="n"/>
      <c r="E949" s="627" t="n"/>
      <c r="F949" s="625" t="n"/>
      <c r="G949" s="625" t="n"/>
      <c r="H949" s="628" t="n"/>
      <c r="I949" s="688" t="n"/>
      <c r="J949" s="628" t="n"/>
      <c r="K949" s="627" t="n"/>
      <c r="L949" s="628" t="n"/>
      <c r="M949" s="627" t="n"/>
      <c r="N949" s="625" t="n"/>
      <c r="O949" s="628" t="n"/>
      <c r="P949" s="628" t="n"/>
    </row>
    <row r="950" ht="15.75" customHeight="1">
      <c r="A950" s="635" t="n"/>
      <c r="B950" s="635" t="n"/>
      <c r="C950" s="635" t="n"/>
      <c r="D950" s="635" t="n"/>
      <c r="E950" s="634" t="n"/>
      <c r="F950" s="631" t="n"/>
      <c r="G950" s="631" t="n"/>
      <c r="H950" s="635" t="n"/>
      <c r="I950" s="687" t="n"/>
      <c r="J950" s="635" t="n"/>
      <c r="K950" s="634" t="n"/>
      <c r="L950" s="635" t="n"/>
      <c r="M950" s="634" t="n"/>
      <c r="N950" s="631" t="n"/>
      <c r="O950" s="635" t="n"/>
      <c r="P950" s="635" t="n"/>
    </row>
    <row r="951" ht="15.75" customHeight="1">
      <c r="A951" s="628" t="n"/>
      <c r="B951" s="628" t="n"/>
      <c r="C951" s="628" t="n"/>
      <c r="D951" s="628" t="n"/>
      <c r="E951" s="627" t="n"/>
      <c r="F951" s="625" t="n"/>
      <c r="G951" s="625" t="n"/>
      <c r="H951" s="628" t="n"/>
      <c r="I951" s="688" t="n"/>
      <c r="J951" s="628" t="n"/>
      <c r="K951" s="627" t="n"/>
      <c r="L951" s="628" t="n"/>
      <c r="M951" s="627" t="n"/>
      <c r="N951" s="625" t="n"/>
      <c r="O951" s="628" t="n"/>
      <c r="P951" s="628" t="n"/>
    </row>
    <row r="952" ht="15.75" customHeight="1">
      <c r="A952" s="635" t="n"/>
      <c r="B952" s="635" t="n"/>
      <c r="C952" s="635" t="n"/>
      <c r="D952" s="635" t="n"/>
      <c r="E952" s="634" t="n"/>
      <c r="F952" s="631" t="n"/>
      <c r="G952" s="631" t="n"/>
      <c r="H952" s="635" t="n"/>
      <c r="I952" s="687" t="n"/>
      <c r="J952" s="635" t="n"/>
      <c r="K952" s="634" t="n"/>
      <c r="L952" s="635" t="n"/>
      <c r="M952" s="634" t="n"/>
      <c r="N952" s="631" t="n"/>
      <c r="O952" s="635" t="n"/>
      <c r="P952" s="635" t="n"/>
    </row>
    <row r="953" ht="15.75" customHeight="1">
      <c r="A953" s="628" t="n"/>
      <c r="B953" s="628" t="n"/>
      <c r="C953" s="628" t="n"/>
      <c r="D953" s="628" t="n"/>
      <c r="E953" s="627" t="n"/>
      <c r="F953" s="625" t="n"/>
      <c r="G953" s="625" t="n"/>
      <c r="H953" s="628" t="n"/>
      <c r="I953" s="688" t="n"/>
      <c r="J953" s="628" t="n"/>
      <c r="K953" s="627" t="n"/>
      <c r="L953" s="628" t="n"/>
      <c r="M953" s="627" t="n"/>
      <c r="N953" s="625" t="n"/>
      <c r="O953" s="628" t="n"/>
      <c r="P953" s="628" t="n"/>
    </row>
    <row r="954" ht="15.75" customHeight="1">
      <c r="A954" s="635" t="n"/>
      <c r="B954" s="635" t="n"/>
      <c r="C954" s="635" t="n"/>
      <c r="D954" s="635" t="n"/>
      <c r="E954" s="634" t="n"/>
      <c r="F954" s="631" t="n"/>
      <c r="G954" s="631" t="n"/>
      <c r="H954" s="635" t="n"/>
      <c r="I954" s="687" t="n"/>
      <c r="J954" s="635" t="n"/>
      <c r="K954" s="634" t="n"/>
      <c r="L954" s="635" t="n"/>
      <c r="M954" s="634" t="n"/>
      <c r="N954" s="631" t="n"/>
      <c r="O954" s="635" t="n"/>
      <c r="P954" s="635" t="n"/>
    </row>
    <row r="955" ht="15.75" customHeight="1">
      <c r="A955" s="628" t="n"/>
      <c r="B955" s="628" t="n"/>
      <c r="C955" s="628" t="n"/>
      <c r="D955" s="628" t="n"/>
      <c r="E955" s="627" t="n"/>
      <c r="F955" s="625" t="n"/>
      <c r="G955" s="625" t="n"/>
      <c r="H955" s="628" t="n"/>
      <c r="I955" s="688" t="n"/>
      <c r="J955" s="628" t="n"/>
      <c r="K955" s="627" t="n"/>
      <c r="L955" s="628" t="n"/>
      <c r="M955" s="627" t="n"/>
      <c r="N955" s="625" t="n"/>
      <c r="O955" s="628" t="n"/>
      <c r="P955" s="628" t="n"/>
    </row>
    <row r="956" ht="15.75" customHeight="1">
      <c r="A956" s="635" t="n"/>
      <c r="B956" s="635" t="n"/>
      <c r="C956" s="635" t="n"/>
      <c r="D956" s="635" t="n"/>
      <c r="E956" s="634" t="n"/>
      <c r="F956" s="631" t="n"/>
      <c r="G956" s="631" t="n"/>
      <c r="H956" s="635" t="n"/>
      <c r="I956" s="687" t="n"/>
      <c r="J956" s="635" t="n"/>
      <c r="K956" s="634" t="n"/>
      <c r="L956" s="635" t="n"/>
      <c r="M956" s="634" t="n"/>
      <c r="N956" s="631" t="n"/>
      <c r="O956" s="635" t="n"/>
      <c r="P956" s="635" t="n"/>
    </row>
    <row r="957" ht="15.75" customHeight="1">
      <c r="A957" s="628" t="n"/>
      <c r="B957" s="628" t="n"/>
      <c r="C957" s="628" t="n"/>
      <c r="D957" s="628" t="n"/>
      <c r="E957" s="627" t="n"/>
      <c r="F957" s="625" t="n"/>
      <c r="G957" s="625" t="n"/>
      <c r="H957" s="628" t="n"/>
      <c r="I957" s="688" t="n"/>
      <c r="J957" s="628" t="n"/>
      <c r="K957" s="627" t="n"/>
      <c r="L957" s="628" t="n"/>
      <c r="M957" s="627" t="n"/>
      <c r="N957" s="625" t="n"/>
      <c r="O957" s="628" t="n"/>
      <c r="P957" s="628" t="n"/>
    </row>
    <row r="958" ht="15.75" customHeight="1">
      <c r="A958" s="635" t="n"/>
      <c r="B958" s="635" t="n"/>
      <c r="C958" s="635" t="n"/>
      <c r="D958" s="635" t="n"/>
      <c r="E958" s="634" t="n"/>
      <c r="F958" s="631" t="n"/>
      <c r="G958" s="631" t="n"/>
      <c r="H958" s="635" t="n"/>
      <c r="I958" s="687" t="n"/>
      <c r="J958" s="635" t="n"/>
      <c r="K958" s="634" t="n"/>
      <c r="L958" s="635" t="n"/>
      <c r="M958" s="634" t="n"/>
      <c r="N958" s="631" t="n"/>
      <c r="O958" s="635" t="n"/>
      <c r="P958" s="635" t="n"/>
    </row>
    <row r="959" ht="15.75" customHeight="1">
      <c r="A959" s="628" t="n"/>
      <c r="B959" s="628" t="n"/>
      <c r="C959" s="628" t="n"/>
      <c r="D959" s="628" t="n"/>
      <c r="E959" s="627" t="n"/>
      <c r="F959" s="625" t="n"/>
      <c r="G959" s="625" t="n"/>
      <c r="H959" s="628" t="n"/>
      <c r="I959" s="688" t="n"/>
      <c r="J959" s="628" t="n"/>
      <c r="K959" s="627" t="n"/>
      <c r="L959" s="628" t="n"/>
      <c r="M959" s="627" t="n"/>
      <c r="N959" s="625" t="n"/>
      <c r="O959" s="628" t="n"/>
      <c r="P959" s="628" t="n"/>
    </row>
    <row r="960" ht="15.75" customHeight="1">
      <c r="A960" s="635" t="n"/>
      <c r="B960" s="635" t="n"/>
      <c r="C960" s="635" t="n"/>
      <c r="D960" s="635" t="n"/>
      <c r="E960" s="634" t="n"/>
      <c r="F960" s="631" t="n"/>
      <c r="G960" s="631" t="n"/>
      <c r="H960" s="635" t="n"/>
      <c r="I960" s="687" t="n"/>
      <c r="J960" s="635" t="n"/>
      <c r="K960" s="634" t="n"/>
      <c r="L960" s="635" t="n"/>
      <c r="M960" s="634" t="n"/>
      <c r="N960" s="631" t="n"/>
      <c r="O960" s="635" t="n"/>
      <c r="P960" s="635" t="n"/>
    </row>
    <row r="961" ht="15.75" customHeight="1">
      <c r="A961" s="628" t="n"/>
      <c r="B961" s="628" t="n"/>
      <c r="C961" s="628" t="n"/>
      <c r="D961" s="628" t="n"/>
      <c r="E961" s="627" t="n"/>
      <c r="F961" s="625" t="n"/>
      <c r="G961" s="625" t="n"/>
      <c r="H961" s="628" t="n"/>
      <c r="I961" s="688" t="n"/>
      <c r="J961" s="628" t="n"/>
      <c r="K961" s="627" t="n"/>
      <c r="L961" s="628" t="n"/>
      <c r="M961" s="627" t="n"/>
      <c r="N961" s="625" t="n"/>
      <c r="O961" s="628" t="n"/>
      <c r="P961" s="628" t="n"/>
    </row>
    <row r="962" ht="15.75" customHeight="1">
      <c r="A962" s="635" t="n"/>
      <c r="B962" s="635" t="n"/>
      <c r="C962" s="635" t="n"/>
      <c r="D962" s="635" t="n"/>
      <c r="E962" s="634" t="n"/>
      <c r="F962" s="631" t="n"/>
      <c r="G962" s="631" t="n"/>
      <c r="H962" s="635" t="n"/>
      <c r="I962" s="687" t="n"/>
      <c r="J962" s="635" t="n"/>
      <c r="K962" s="634" t="n"/>
      <c r="L962" s="635" t="n"/>
      <c r="M962" s="634" t="n"/>
      <c r="N962" s="631" t="n"/>
      <c r="O962" s="635" t="n"/>
      <c r="P962" s="635" t="n"/>
    </row>
    <row r="963" ht="15.75" customHeight="1">
      <c r="A963" s="628" t="n"/>
      <c r="B963" s="628" t="n"/>
      <c r="C963" s="628" t="n"/>
      <c r="D963" s="628" t="n"/>
      <c r="E963" s="627" t="n"/>
      <c r="F963" s="625" t="n"/>
      <c r="G963" s="625" t="n"/>
      <c r="H963" s="628" t="n"/>
      <c r="I963" s="688" t="n"/>
      <c r="J963" s="628" t="n"/>
      <c r="K963" s="627" t="n"/>
      <c r="L963" s="628" t="n"/>
      <c r="M963" s="627" t="n"/>
      <c r="N963" s="625" t="n"/>
      <c r="O963" s="628" t="n"/>
      <c r="P963" s="628" t="n"/>
    </row>
    <row r="964" ht="15.75" customHeight="1">
      <c r="A964" s="635" t="n"/>
      <c r="B964" s="635" t="n"/>
      <c r="C964" s="635" t="n"/>
      <c r="D964" s="635" t="n"/>
      <c r="E964" s="634" t="n"/>
      <c r="F964" s="631" t="n"/>
      <c r="G964" s="631" t="n"/>
      <c r="H964" s="635" t="n"/>
      <c r="I964" s="687" t="n"/>
      <c r="J964" s="635" t="n"/>
      <c r="K964" s="634" t="n"/>
      <c r="L964" s="635" t="n"/>
      <c r="M964" s="634" t="n"/>
      <c r="N964" s="631" t="n"/>
      <c r="O964" s="635" t="n"/>
      <c r="P964" s="635" t="n"/>
    </row>
    <row r="965" ht="15.75" customHeight="1">
      <c r="A965" s="628" t="n"/>
      <c r="B965" s="628" t="n"/>
      <c r="C965" s="628" t="n"/>
      <c r="D965" s="628" t="n"/>
      <c r="E965" s="627" t="n"/>
      <c r="F965" s="625" t="n"/>
      <c r="G965" s="625" t="n"/>
      <c r="H965" s="628" t="n"/>
      <c r="I965" s="688" t="n"/>
      <c r="J965" s="628" t="n"/>
      <c r="K965" s="627" t="n"/>
      <c r="L965" s="628" t="n"/>
      <c r="M965" s="627" t="n"/>
      <c r="N965" s="625" t="n"/>
      <c r="O965" s="628" t="n"/>
      <c r="P965" s="628" t="n"/>
    </row>
    <row r="966" ht="15.75" customHeight="1">
      <c r="A966" s="635" t="n"/>
      <c r="B966" s="635" t="n"/>
      <c r="C966" s="635" t="n"/>
      <c r="D966" s="635" t="n"/>
      <c r="E966" s="634" t="n"/>
      <c r="F966" s="631" t="n"/>
      <c r="G966" s="631" t="n"/>
      <c r="H966" s="635" t="n"/>
      <c r="I966" s="687" t="n"/>
      <c r="J966" s="635" t="n"/>
      <c r="K966" s="634" t="n"/>
      <c r="L966" s="635" t="n"/>
      <c r="M966" s="634" t="n"/>
      <c r="N966" s="631" t="n"/>
      <c r="O966" s="635" t="n"/>
      <c r="P966" s="635" t="n"/>
    </row>
    <row r="967" ht="15.75" customHeight="1">
      <c r="A967" s="628" t="n"/>
      <c r="B967" s="628" t="n"/>
      <c r="C967" s="628" t="n"/>
      <c r="D967" s="628" t="n"/>
      <c r="E967" s="627" t="n"/>
      <c r="F967" s="625" t="n"/>
      <c r="G967" s="625" t="n"/>
      <c r="H967" s="628" t="n"/>
      <c r="I967" s="688" t="n"/>
      <c r="J967" s="628" t="n"/>
      <c r="K967" s="627" t="n"/>
      <c r="L967" s="628" t="n"/>
      <c r="M967" s="627" t="n"/>
      <c r="N967" s="625" t="n"/>
      <c r="O967" s="628" t="n"/>
      <c r="P967" s="628" t="n"/>
    </row>
    <row r="968" ht="15.75" customHeight="1">
      <c r="A968" s="635" t="n"/>
      <c r="B968" s="635" t="n"/>
      <c r="C968" s="635" t="n"/>
      <c r="D968" s="635" t="n"/>
      <c r="E968" s="634" t="n"/>
      <c r="F968" s="631" t="n"/>
      <c r="G968" s="631" t="n"/>
      <c r="H968" s="635" t="n"/>
      <c r="I968" s="687" t="n"/>
      <c r="J968" s="635" t="n"/>
      <c r="K968" s="634" t="n"/>
      <c r="L968" s="635" t="n"/>
      <c r="M968" s="634" t="n"/>
      <c r="N968" s="631" t="n"/>
      <c r="O968" s="635" t="n"/>
      <c r="P968" s="635" t="n"/>
    </row>
    <row r="969" ht="15.75" customHeight="1">
      <c r="A969" s="628" t="n"/>
      <c r="B969" s="628" t="n"/>
      <c r="C969" s="628" t="n"/>
      <c r="D969" s="628" t="n"/>
      <c r="E969" s="627" t="n"/>
      <c r="F969" s="625" t="n"/>
      <c r="G969" s="625" t="n"/>
      <c r="H969" s="628" t="n"/>
      <c r="I969" s="688" t="n"/>
      <c r="J969" s="628" t="n"/>
      <c r="K969" s="627" t="n"/>
      <c r="L969" s="628" t="n"/>
      <c r="M969" s="627" t="n"/>
      <c r="N969" s="625" t="n"/>
      <c r="O969" s="628" t="n"/>
      <c r="P969" s="628" t="n"/>
    </row>
    <row r="970" ht="15.75" customHeight="1">
      <c r="A970" s="635" t="n"/>
      <c r="B970" s="635" t="n"/>
      <c r="C970" s="635" t="n"/>
      <c r="D970" s="635" t="n"/>
      <c r="E970" s="634" t="n"/>
      <c r="F970" s="631" t="n"/>
      <c r="G970" s="631" t="n"/>
      <c r="H970" s="635" t="n"/>
      <c r="I970" s="687" t="n"/>
      <c r="J970" s="635" t="n"/>
      <c r="K970" s="634" t="n"/>
      <c r="L970" s="635" t="n"/>
      <c r="M970" s="634" t="n"/>
      <c r="N970" s="631" t="n"/>
      <c r="O970" s="635" t="n"/>
      <c r="P970" s="635" t="n"/>
    </row>
    <row r="971" ht="15.75" customHeight="1">
      <c r="A971" s="628" t="n"/>
      <c r="B971" s="628" t="n"/>
      <c r="C971" s="628" t="n"/>
      <c r="D971" s="628" t="n"/>
      <c r="E971" s="627" t="n"/>
      <c r="F971" s="625" t="n"/>
      <c r="G971" s="625" t="n"/>
      <c r="H971" s="628" t="n"/>
      <c r="I971" s="688" t="n"/>
      <c r="J971" s="628" t="n"/>
      <c r="K971" s="627" t="n"/>
      <c r="L971" s="628" t="n"/>
      <c r="M971" s="627" t="n"/>
      <c r="N971" s="625" t="n"/>
      <c r="O971" s="628" t="n"/>
      <c r="P971" s="628" t="n"/>
    </row>
    <row r="972" ht="15.75" customHeight="1">
      <c r="A972" s="635" t="n"/>
      <c r="B972" s="635" t="n"/>
      <c r="C972" s="635" t="n"/>
      <c r="D972" s="635" t="n"/>
      <c r="E972" s="634" t="n"/>
      <c r="F972" s="631" t="n"/>
      <c r="G972" s="631" t="n"/>
      <c r="H972" s="635" t="n"/>
      <c r="I972" s="687" t="n"/>
      <c r="J972" s="635" t="n"/>
      <c r="K972" s="634" t="n"/>
      <c r="L972" s="635" t="n"/>
      <c r="M972" s="634" t="n"/>
      <c r="N972" s="631" t="n"/>
      <c r="O972" s="635" t="n"/>
      <c r="P972" s="635" t="n"/>
    </row>
    <row r="973" ht="15.75" customHeight="1">
      <c r="A973" s="628" t="n"/>
      <c r="B973" s="628" t="n"/>
      <c r="C973" s="628" t="n"/>
      <c r="D973" s="628" t="n"/>
      <c r="E973" s="627" t="n"/>
      <c r="F973" s="625" t="n"/>
      <c r="G973" s="625" t="n"/>
      <c r="H973" s="628" t="n"/>
      <c r="I973" s="688" t="n"/>
      <c r="J973" s="628" t="n"/>
      <c r="K973" s="627" t="n"/>
      <c r="L973" s="628" t="n"/>
      <c r="M973" s="627" t="n"/>
      <c r="N973" s="625" t="n"/>
      <c r="O973" s="628" t="n"/>
      <c r="P973" s="628" t="n"/>
    </row>
    <row r="974" ht="15.75" customHeight="1">
      <c r="A974" s="635" t="n"/>
      <c r="B974" s="635" t="n"/>
      <c r="C974" s="635" t="n"/>
      <c r="D974" s="635" t="n"/>
      <c r="E974" s="634" t="n"/>
      <c r="F974" s="631" t="n"/>
      <c r="G974" s="631" t="n"/>
      <c r="H974" s="635" t="n"/>
      <c r="I974" s="687" t="n"/>
      <c r="J974" s="635" t="n"/>
      <c r="K974" s="634" t="n"/>
      <c r="L974" s="635" t="n"/>
      <c r="M974" s="634" t="n"/>
      <c r="N974" s="631" t="n"/>
      <c r="O974" s="635" t="n"/>
      <c r="P974" s="635" t="n"/>
    </row>
    <row r="975" ht="15.75" customHeight="1">
      <c r="A975" s="628" t="n"/>
      <c r="B975" s="628" t="n"/>
      <c r="C975" s="628" t="n"/>
      <c r="D975" s="628" t="n"/>
      <c r="E975" s="627" t="n"/>
      <c r="F975" s="625" t="n"/>
      <c r="G975" s="625" t="n"/>
      <c r="H975" s="628" t="n"/>
      <c r="I975" s="688" t="n"/>
      <c r="J975" s="628" t="n"/>
      <c r="K975" s="627" t="n"/>
      <c r="L975" s="628" t="n"/>
      <c r="M975" s="627" t="n"/>
      <c r="N975" s="625" t="n"/>
      <c r="O975" s="628" t="n"/>
      <c r="P975" s="628" t="n"/>
    </row>
    <row r="976" ht="15.75" customHeight="1">
      <c r="A976" s="635" t="n"/>
      <c r="B976" s="635" t="n"/>
      <c r="C976" s="635" t="n"/>
      <c r="D976" s="635" t="n"/>
      <c r="E976" s="634" t="n"/>
      <c r="F976" s="631" t="n"/>
      <c r="G976" s="631" t="n"/>
      <c r="H976" s="635" t="n"/>
      <c r="I976" s="687" t="n"/>
      <c r="J976" s="635" t="n"/>
      <c r="K976" s="634" t="n"/>
      <c r="L976" s="635" t="n"/>
      <c r="M976" s="634" t="n"/>
      <c r="N976" s="631" t="n"/>
      <c r="O976" s="635" t="n"/>
      <c r="P976" s="635" t="n"/>
    </row>
    <row r="977" ht="15.75" customHeight="1">
      <c r="A977" s="628" t="n"/>
      <c r="B977" s="628" t="n"/>
      <c r="C977" s="628" t="n"/>
      <c r="D977" s="628" t="n"/>
      <c r="E977" s="627" t="n"/>
      <c r="F977" s="625" t="n"/>
      <c r="G977" s="625" t="n"/>
      <c r="H977" s="628" t="n"/>
      <c r="I977" s="688" t="n"/>
      <c r="J977" s="628" t="n"/>
      <c r="K977" s="627" t="n"/>
      <c r="L977" s="628" t="n"/>
      <c r="M977" s="627" t="n"/>
      <c r="N977" s="625" t="n"/>
      <c r="O977" s="628" t="n"/>
      <c r="P977" s="628" t="n"/>
    </row>
    <row r="978" ht="15.75" customHeight="1">
      <c r="A978" s="635" t="n"/>
      <c r="B978" s="635" t="n"/>
      <c r="C978" s="635" t="n"/>
      <c r="D978" s="635" t="n"/>
      <c r="E978" s="634" t="n"/>
      <c r="F978" s="631" t="n"/>
      <c r="G978" s="631" t="n"/>
      <c r="H978" s="635" t="n"/>
      <c r="I978" s="687" t="n"/>
      <c r="J978" s="635" t="n"/>
      <c r="K978" s="634" t="n"/>
      <c r="L978" s="635" t="n"/>
      <c r="M978" s="634" t="n"/>
      <c r="N978" s="631" t="n"/>
      <c r="O978" s="635" t="n"/>
      <c r="P978" s="635" t="n"/>
    </row>
    <row r="979" ht="15.75" customHeight="1">
      <c r="A979" s="628" t="n"/>
      <c r="B979" s="628" t="n"/>
      <c r="C979" s="628" t="n"/>
      <c r="D979" s="628" t="n"/>
      <c r="E979" s="627" t="n"/>
      <c r="F979" s="625" t="n"/>
      <c r="G979" s="625" t="n"/>
      <c r="H979" s="628" t="n"/>
      <c r="I979" s="688" t="n"/>
      <c r="J979" s="628" t="n"/>
      <c r="K979" s="627" t="n"/>
      <c r="L979" s="628" t="n"/>
      <c r="M979" s="627" t="n"/>
      <c r="N979" s="625" t="n"/>
      <c r="O979" s="628" t="n"/>
      <c r="P979" s="628" t="n"/>
    </row>
    <row r="980" ht="15.75" customHeight="1">
      <c r="A980" s="635" t="n"/>
      <c r="B980" s="635" t="n"/>
      <c r="C980" s="635" t="n"/>
      <c r="D980" s="635" t="n"/>
      <c r="E980" s="634" t="n"/>
      <c r="F980" s="631" t="n"/>
      <c r="G980" s="631" t="n"/>
      <c r="H980" s="635" t="n"/>
      <c r="I980" s="687" t="n"/>
      <c r="J980" s="635" t="n"/>
      <c r="K980" s="634" t="n"/>
      <c r="L980" s="635" t="n"/>
      <c r="M980" s="634" t="n"/>
      <c r="N980" s="631" t="n"/>
      <c r="O980" s="635" t="n"/>
      <c r="P980" s="635" t="n"/>
    </row>
    <row r="981" ht="15.75" customHeight="1">
      <c r="A981" s="628" t="n"/>
      <c r="B981" s="628" t="n"/>
      <c r="C981" s="628" t="n"/>
      <c r="D981" s="628" t="n"/>
      <c r="E981" s="627" t="n"/>
      <c r="F981" s="625" t="n"/>
      <c r="G981" s="625" t="n"/>
      <c r="H981" s="628" t="n"/>
      <c r="I981" s="688" t="n"/>
      <c r="J981" s="628" t="n"/>
      <c r="K981" s="627" t="n"/>
      <c r="L981" s="628" t="n"/>
      <c r="M981" s="627" t="n"/>
      <c r="N981" s="625" t="n"/>
      <c r="O981" s="628" t="n"/>
      <c r="P981" s="628" t="n"/>
    </row>
    <row r="982" ht="15.75" customHeight="1">
      <c r="A982" s="635" t="n"/>
      <c r="B982" s="635" t="n"/>
      <c r="C982" s="635" t="n"/>
      <c r="D982" s="635" t="n"/>
      <c r="E982" s="634" t="n"/>
      <c r="F982" s="631" t="n"/>
      <c r="G982" s="631" t="n"/>
      <c r="H982" s="635" t="n"/>
      <c r="I982" s="687" t="n"/>
      <c r="J982" s="635" t="n"/>
      <c r="K982" s="634" t="n"/>
      <c r="L982" s="635" t="n"/>
      <c r="M982" s="634" t="n"/>
      <c r="N982" s="631" t="n"/>
      <c r="O982" s="635" t="n"/>
      <c r="P982" s="635" t="n"/>
    </row>
    <row r="983" ht="15.75" customHeight="1">
      <c r="A983" s="628" t="n"/>
      <c r="B983" s="628" t="n"/>
      <c r="C983" s="628" t="n"/>
      <c r="D983" s="628" t="n"/>
      <c r="E983" s="627" t="n"/>
      <c r="F983" s="625" t="n"/>
      <c r="G983" s="625" t="n"/>
      <c r="H983" s="628" t="n"/>
      <c r="I983" s="688" t="n"/>
      <c r="J983" s="628" t="n"/>
      <c r="K983" s="627" t="n"/>
      <c r="L983" s="628" t="n"/>
      <c r="M983" s="627" t="n"/>
      <c r="N983" s="625" t="n"/>
      <c r="O983" s="628" t="n"/>
      <c r="P983" s="628" t="n"/>
    </row>
    <row r="984" ht="15.75" customHeight="1">
      <c r="A984" s="635" t="n"/>
      <c r="B984" s="635" t="n"/>
      <c r="C984" s="635" t="n"/>
      <c r="D984" s="635" t="n"/>
      <c r="E984" s="634" t="n"/>
      <c r="F984" s="631" t="n"/>
      <c r="G984" s="631" t="n"/>
      <c r="H984" s="635" t="n"/>
      <c r="I984" s="687" t="n"/>
      <c r="J984" s="635" t="n"/>
      <c r="K984" s="634" t="n"/>
      <c r="L984" s="635" t="n"/>
      <c r="M984" s="634" t="n"/>
      <c r="N984" s="631" t="n"/>
      <c r="O984" s="635" t="n"/>
      <c r="P984" s="635" t="n"/>
    </row>
    <row r="985" ht="15.75" customHeight="1">
      <c r="A985" s="628" t="n"/>
      <c r="B985" s="628" t="n"/>
      <c r="C985" s="628" t="n"/>
      <c r="D985" s="628" t="n"/>
      <c r="E985" s="627" t="n"/>
      <c r="F985" s="625" t="n"/>
      <c r="G985" s="625" t="n"/>
      <c r="H985" s="628" t="n"/>
      <c r="I985" s="688" t="n"/>
      <c r="J985" s="628" t="n"/>
      <c r="K985" s="627" t="n"/>
      <c r="L985" s="628" t="n"/>
      <c r="M985" s="627" t="n"/>
      <c r="N985" s="625" t="n"/>
      <c r="O985" s="628" t="n"/>
      <c r="P985" s="628" t="n"/>
    </row>
    <row r="986" ht="15.75" customHeight="1">
      <c r="A986" s="635" t="n"/>
      <c r="B986" s="635" t="n"/>
      <c r="C986" s="635" t="n"/>
      <c r="D986" s="635" t="n"/>
      <c r="E986" s="634" t="n"/>
      <c r="F986" s="631" t="n"/>
      <c r="G986" s="631" t="n"/>
      <c r="H986" s="635" t="n"/>
      <c r="I986" s="687" t="n"/>
      <c r="J986" s="635" t="n"/>
      <c r="K986" s="634" t="n"/>
      <c r="L986" s="635" t="n"/>
      <c r="M986" s="634" t="n"/>
      <c r="N986" s="631" t="n"/>
      <c r="O986" s="635" t="n"/>
      <c r="P986" s="635" t="n"/>
    </row>
    <row r="987" ht="15.75" customHeight="1">
      <c r="A987" s="628" t="n"/>
      <c r="B987" s="628" t="n"/>
      <c r="C987" s="628" t="n"/>
      <c r="D987" s="628" t="n"/>
      <c r="E987" s="627" t="n"/>
      <c r="F987" s="625" t="n"/>
      <c r="G987" s="625" t="n"/>
      <c r="H987" s="628" t="n"/>
      <c r="I987" s="688" t="n"/>
      <c r="J987" s="628" t="n"/>
      <c r="K987" s="627" t="n"/>
      <c r="L987" s="628" t="n"/>
      <c r="M987" s="627" t="n"/>
      <c r="N987" s="625" t="n"/>
      <c r="O987" s="628" t="n"/>
      <c r="P987" s="628" t="n"/>
    </row>
    <row r="988" ht="15.75" customHeight="1">
      <c r="A988" s="635" t="n"/>
      <c r="B988" s="635" t="n"/>
      <c r="C988" s="635" t="n"/>
      <c r="D988" s="635" t="n"/>
      <c r="E988" s="634" t="n"/>
      <c r="F988" s="631" t="n"/>
      <c r="G988" s="631" t="n"/>
      <c r="H988" s="635" t="n"/>
      <c r="I988" s="687" t="n"/>
      <c r="J988" s="635" t="n"/>
      <c r="K988" s="634" t="n"/>
      <c r="L988" s="635" t="n"/>
      <c r="M988" s="634" t="n"/>
      <c r="N988" s="631" t="n"/>
      <c r="O988" s="635" t="n"/>
      <c r="P988" s="635" t="n"/>
    </row>
    <row r="989" ht="15.75" customHeight="1">
      <c r="A989" s="628" t="n"/>
      <c r="B989" s="628" t="n"/>
      <c r="C989" s="628" t="n"/>
      <c r="D989" s="628" t="n"/>
      <c r="E989" s="627" t="n"/>
      <c r="F989" s="625" t="n"/>
      <c r="G989" s="625" t="n"/>
      <c r="H989" s="628" t="n"/>
      <c r="I989" s="688" t="n"/>
      <c r="J989" s="628" t="n"/>
      <c r="K989" s="627" t="n"/>
      <c r="L989" s="628" t="n"/>
      <c r="M989" s="627" t="n"/>
      <c r="N989" s="625" t="n"/>
      <c r="O989" s="628" t="n"/>
      <c r="P989" s="628" t="n"/>
    </row>
    <row r="990" ht="15.75" customHeight="1">
      <c r="A990" s="635" t="n"/>
      <c r="B990" s="635" t="n"/>
      <c r="C990" s="635" t="n"/>
      <c r="D990" s="635" t="n"/>
      <c r="E990" s="634" t="n"/>
      <c r="F990" s="631" t="n"/>
      <c r="G990" s="631" t="n"/>
      <c r="H990" s="635" t="n"/>
      <c r="I990" s="687" t="n"/>
      <c r="J990" s="635" t="n"/>
      <c r="K990" s="634" t="n"/>
      <c r="L990" s="635" t="n"/>
      <c r="M990" s="634" t="n"/>
      <c r="N990" s="631" t="n"/>
      <c r="O990" s="635" t="n"/>
      <c r="P990" s="635" t="n"/>
    </row>
    <row r="991" ht="15.75" customHeight="1">
      <c r="A991" s="628" t="n"/>
      <c r="B991" s="628" t="n"/>
      <c r="C991" s="628" t="n"/>
      <c r="D991" s="628" t="n"/>
      <c r="E991" s="627" t="n"/>
      <c r="F991" s="625" t="n"/>
      <c r="G991" s="625" t="n"/>
      <c r="H991" s="628" t="n"/>
      <c r="I991" s="688" t="n"/>
      <c r="J991" s="628" t="n"/>
      <c r="K991" s="627" t="n"/>
      <c r="L991" s="628" t="n"/>
      <c r="M991" s="627" t="n"/>
      <c r="N991" s="625" t="n"/>
      <c r="O991" s="628" t="n"/>
      <c r="P991" s="628" t="n"/>
    </row>
    <row r="992" ht="15.75" customHeight="1">
      <c r="A992" s="635" t="n"/>
      <c r="B992" s="635" t="n"/>
      <c r="C992" s="635" t="n"/>
      <c r="D992" s="635" t="n"/>
      <c r="E992" s="634" t="n"/>
      <c r="F992" s="631" t="n"/>
      <c r="G992" s="631" t="n"/>
      <c r="H992" s="635" t="n"/>
      <c r="I992" s="687" t="n"/>
      <c r="J992" s="635" t="n"/>
      <c r="K992" s="634" t="n"/>
      <c r="L992" s="635" t="n"/>
      <c r="M992" s="634" t="n"/>
      <c r="N992" s="631" t="n"/>
      <c r="O992" s="635" t="n"/>
      <c r="P992" s="635" t="n"/>
    </row>
    <row r="993" ht="15.75" customHeight="1">
      <c r="A993" s="628" t="n"/>
      <c r="B993" s="628" t="n"/>
      <c r="C993" s="628" t="n"/>
      <c r="D993" s="628" t="n"/>
      <c r="E993" s="627" t="n"/>
      <c r="F993" s="625" t="n"/>
      <c r="G993" s="625" t="n"/>
      <c r="H993" s="628" t="n"/>
      <c r="I993" s="688" t="n"/>
      <c r="J993" s="628" t="n"/>
      <c r="K993" s="627" t="n"/>
      <c r="L993" s="628" t="n"/>
      <c r="M993" s="627" t="n"/>
      <c r="N993" s="625" t="n"/>
      <c r="O993" s="628" t="n"/>
      <c r="P993" s="628" t="n"/>
    </row>
    <row r="994" ht="15.75" customHeight="1">
      <c r="A994" s="635" t="n"/>
      <c r="B994" s="635" t="n"/>
      <c r="C994" s="635" t="n"/>
      <c r="D994" s="635" t="n"/>
      <c r="E994" s="634" t="n"/>
      <c r="F994" s="631" t="n"/>
      <c r="G994" s="631" t="n"/>
      <c r="H994" s="635" t="n"/>
      <c r="I994" s="687" t="n"/>
      <c r="J994" s="635" t="n"/>
      <c r="K994" s="634" t="n"/>
      <c r="L994" s="635" t="n"/>
      <c r="M994" s="634" t="n"/>
      <c r="N994" s="631" t="n"/>
      <c r="O994" s="635" t="n"/>
      <c r="P994" s="635" t="n"/>
    </row>
    <row r="995" ht="15.75" customHeight="1">
      <c r="A995" s="628" t="n"/>
      <c r="B995" s="628" t="n"/>
      <c r="C995" s="628" t="n"/>
      <c r="D995" s="628" t="n"/>
      <c r="E995" s="627" t="n"/>
      <c r="F995" s="625" t="n"/>
      <c r="G995" s="625" t="n"/>
      <c r="H995" s="628" t="n"/>
      <c r="I995" s="688" t="n"/>
      <c r="J995" s="628" t="n"/>
      <c r="K995" s="627" t="n"/>
      <c r="L995" s="628" t="n"/>
      <c r="M995" s="627" t="n"/>
      <c r="N995" s="625" t="n"/>
      <c r="O995" s="628" t="n"/>
      <c r="P995" s="628" t="n"/>
    </row>
    <row r="996" ht="15.75" customHeight="1">
      <c r="A996" s="635" t="n"/>
      <c r="B996" s="635" t="n"/>
      <c r="C996" s="635" t="n"/>
      <c r="D996" s="635" t="n"/>
      <c r="E996" s="634" t="n"/>
      <c r="F996" s="631" t="n"/>
      <c r="G996" s="631" t="n"/>
      <c r="H996" s="635" t="n"/>
      <c r="I996" s="687" t="n"/>
      <c r="J996" s="635" t="n"/>
      <c r="K996" s="634" t="n"/>
      <c r="L996" s="635" t="n"/>
      <c r="M996" s="634" t="n"/>
      <c r="N996" s="631" t="n"/>
      <c r="O996" s="635" t="n"/>
      <c r="P996" s="635" t="n"/>
    </row>
    <row r="997" ht="15.75" customHeight="1">
      <c r="A997" s="628" t="n"/>
      <c r="B997" s="628" t="n"/>
      <c r="C997" s="628" t="n"/>
      <c r="D997" s="628" t="n"/>
      <c r="E997" s="627" t="n"/>
      <c r="F997" s="625" t="n"/>
      <c r="G997" s="625" t="n"/>
      <c r="H997" s="628" t="n"/>
      <c r="I997" s="688" t="n"/>
      <c r="J997" s="628" t="n"/>
      <c r="K997" s="627" t="n"/>
      <c r="L997" s="628" t="n"/>
      <c r="M997" s="627" t="n"/>
      <c r="N997" s="625" t="n"/>
      <c r="O997" s="628" t="n"/>
      <c r="P997" s="628" t="n"/>
    </row>
    <row r="998" ht="15.75" customHeight="1">
      <c r="A998" s="635" t="n"/>
      <c r="B998" s="635" t="n"/>
      <c r="C998" s="635" t="n"/>
      <c r="D998" s="635" t="n"/>
      <c r="E998" s="634" t="n"/>
      <c r="F998" s="631" t="n"/>
      <c r="G998" s="631" t="n"/>
      <c r="H998" s="635" t="n"/>
      <c r="I998" s="687" t="n"/>
      <c r="J998" s="635" t="n"/>
      <c r="K998" s="634" t="n"/>
      <c r="L998" s="635" t="n"/>
      <c r="M998" s="634" t="n"/>
      <c r="N998" s="631" t="n"/>
      <c r="O998" s="635" t="n"/>
      <c r="P998" s="635" t="n"/>
    </row>
    <row r="999" ht="15.75" customHeight="1">
      <c r="A999" s="628" t="n"/>
      <c r="B999" s="628" t="n"/>
      <c r="C999" s="628" t="n"/>
      <c r="D999" s="628" t="n"/>
      <c r="E999" s="627" t="n"/>
      <c r="F999" s="625" t="n"/>
      <c r="G999" s="625" t="n"/>
      <c r="H999" s="628" t="n"/>
      <c r="I999" s="688" t="n"/>
      <c r="J999" s="628" t="n"/>
      <c r="K999" s="627" t="n"/>
      <c r="L999" s="628" t="n"/>
      <c r="M999" s="627" t="n"/>
      <c r="N999" s="625" t="n"/>
      <c r="O999" s="628" t="n"/>
      <c r="P999" s="628" t="n"/>
    </row>
    <row r="1000" ht="15.75" customHeight="1">
      <c r="A1000" s="635" t="n"/>
      <c r="B1000" s="635" t="n"/>
      <c r="C1000" s="635" t="n"/>
      <c r="D1000" s="635" t="n"/>
      <c r="E1000" s="634" t="n"/>
      <c r="F1000" s="631" t="n"/>
      <c r="G1000" s="631" t="n"/>
      <c r="H1000" s="635" t="n"/>
      <c r="I1000" s="687" t="n"/>
      <c r="J1000" s="635" t="n"/>
      <c r="K1000" s="634" t="n"/>
      <c r="L1000" s="635" t="n"/>
      <c r="M1000" s="634" t="n"/>
      <c r="N1000" s="631" t="n"/>
      <c r="O1000" s="635" t="n"/>
      <c r="P1000" s="635" t="n"/>
    </row>
    <row r="1001" ht="15.75" customHeight="1">
      <c r="A1001" s="628" t="n"/>
      <c r="B1001" s="628" t="n"/>
      <c r="C1001" s="628" t="n"/>
      <c r="D1001" s="628" t="n"/>
      <c r="E1001" s="627" t="n"/>
      <c r="F1001" s="625" t="n"/>
      <c r="G1001" s="625" t="n"/>
      <c r="H1001" s="628" t="n"/>
      <c r="I1001" s="688" t="n"/>
      <c r="J1001" s="628" t="n"/>
      <c r="K1001" s="627" t="n"/>
      <c r="L1001" s="628" t="n"/>
      <c r="M1001" s="627" t="n"/>
      <c r="N1001" s="625" t="n"/>
      <c r="O1001" s="628" t="n"/>
      <c r="P1001" s="628" t="n"/>
    </row>
    <row r="1002" ht="15.75" customHeight="1">
      <c r="A1002" s="635" t="n"/>
      <c r="B1002" s="635" t="n"/>
      <c r="C1002" s="635" t="n"/>
      <c r="D1002" s="635" t="n"/>
      <c r="E1002" s="634" t="n"/>
      <c r="F1002" s="631" t="n"/>
      <c r="G1002" s="631" t="n"/>
      <c r="H1002" s="635" t="n"/>
      <c r="I1002" s="687" t="n"/>
      <c r="J1002" s="635" t="n"/>
      <c r="K1002" s="634" t="n"/>
      <c r="L1002" s="635" t="n"/>
      <c r="M1002" s="634" t="n"/>
      <c r="N1002" s="631" t="n"/>
      <c r="O1002" s="635" t="n"/>
      <c r="P1002" s="635" t="n"/>
    </row>
  </sheetData>
  <mergeCells count="18">
    <mergeCell ref="G4:H4"/>
    <mergeCell ref="O2:P2"/>
    <mergeCell ref="K4:M4"/>
    <mergeCell ref="A4:D4"/>
    <mergeCell ref="I2:I3"/>
    <mergeCell ref="D2:D3"/>
    <mergeCell ref="K2:K3"/>
    <mergeCell ref="M2:M3"/>
    <mergeCell ref="A2:A3"/>
    <mergeCell ref="B2:B3"/>
    <mergeCell ref="N2:N3"/>
    <mergeCell ref="C2:C3"/>
    <mergeCell ref="F2:F3"/>
    <mergeCell ref="E2:E3"/>
    <mergeCell ref="J2:J3"/>
    <mergeCell ref="H2:H3"/>
    <mergeCell ref="G2:G3"/>
    <mergeCell ref="L2:L3"/>
  </mergeCells>
  <conditionalFormatting sqref="A2 A426:A499 A652:A703">
    <cfRule type="expression" priority="6" dxfId="0">
      <formula>COUNTIF($A:$A,#REF!)&gt;1</formula>
    </cfRule>
  </conditionalFormatting>
  <conditionalFormatting sqref="A5:A230 A349:A425 A500:A651 A704:A1002">
    <cfRule type="expression" priority="5" dxfId="0">
      <formula>COUNTIF($A:$A,A7)&gt;1</formula>
    </cfRule>
  </conditionalFormatting>
  <conditionalFormatting sqref="A231:A348">
    <cfRule type="expression" priority="3" dxfId="0">
      <formula>COUNTIF($A:$A,#REF!)&gt;1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P1001"/>
  <sheetViews>
    <sheetView workbookViewId="0">
      <selection activeCell="Q17" sqref="Q17"/>
    </sheetView>
  </sheetViews>
  <sheetFormatPr baseColWidth="8" defaultColWidth="14.3984375" defaultRowHeight="13.8"/>
  <cols>
    <col width="11.19921875" bestFit="1" customWidth="1" min="1" max="1"/>
    <col width="11.59765625" customWidth="1" min="2" max="2"/>
    <col hidden="1" width="19.59765625" customWidth="1" min="3" max="3"/>
    <col hidden="1" width="19.796875" customWidth="1" min="4" max="4"/>
    <col hidden="1" width="19" customWidth="1" min="5" max="5"/>
    <col hidden="1" width="12" customWidth="1" style="557" min="6" max="6"/>
    <col hidden="1" width="12" customWidth="1" min="7" max="7"/>
    <col hidden="1" width="24.19921875" customWidth="1" min="8" max="8"/>
    <col hidden="1" width="20.19921875" customWidth="1" min="9" max="9"/>
    <col hidden="1" width="12" customWidth="1" min="10" max="10"/>
    <col width="17.59765625" customWidth="1" min="11" max="11"/>
    <col width="18.59765625" customWidth="1" min="12" max="12"/>
    <col width="20" customWidth="1" min="13" max="13"/>
    <col width="26.19921875" customWidth="1" min="14" max="14"/>
    <col hidden="1" width="30.59765625" customWidth="1" min="15" max="15"/>
    <col hidden="1" width="32.19921875" customWidth="1" min="16" max="16"/>
  </cols>
  <sheetData>
    <row r="1" ht="39.6" customHeight="1">
      <c r="A1" s="601" t="inlineStr">
        <is>
          <t>Invoice No.</t>
        </is>
      </c>
      <c r="B1" s="601" t="inlineStr">
        <is>
          <t>Date</t>
        </is>
      </c>
      <c r="C1" s="601" t="inlineStr">
        <is>
          <t>ตำแหน่งที่ตั้งสถานที่รับตู้</t>
        </is>
      </c>
      <c r="D1" s="601" t="inlineStr">
        <is>
          <t>ตำแหน่งที่ตั้งสถานที่คืนตู้</t>
        </is>
      </c>
      <c r="E1" s="601" t="inlineStr">
        <is>
          <t>ระยะทางจากสถานที่รับตู้ - โรงงาน - สถานที่คืนตู้ (Km.)</t>
        </is>
      </c>
      <c r="F1" s="601" t="inlineStr">
        <is>
          <t>หน่วย / km</t>
        </is>
      </c>
      <c r="G1" s="602" t="inlineStr">
        <is>
          <t>ประเภทรถ</t>
        </is>
      </c>
      <c r="H1" s="601" t="inlineStr">
        <is>
          <t xml:space="preserve">Port </t>
        </is>
      </c>
      <c r="I1" s="603" t="inlineStr">
        <is>
          <t>ระยะทาง ( LAEM - ท่าปลายทาง)</t>
        </is>
      </c>
      <c r="J1" s="604" t="inlineStr">
        <is>
          <t>หน่วย / km</t>
        </is>
      </c>
      <c r="K1" s="601" t="inlineStr">
        <is>
          <t>TARE WEIGHT (น้ำหนักตู้ container)</t>
        </is>
      </c>
      <c r="L1" s="604" t="inlineStr">
        <is>
          <t>ค่า(Verified Gross Mass-TARE WEIGHT )</t>
        </is>
      </c>
      <c r="M1" s="602" t="inlineStr">
        <is>
          <t xml:space="preserve"> Verified Gross Mass</t>
        </is>
      </c>
      <c r="N1" s="601" t="inlineStr">
        <is>
          <t>น้ำหนักสินค้าอย่างเดียว(N.W.) (kg)</t>
        </is>
      </c>
      <c r="O1" s="601" t="inlineStr">
        <is>
          <t>ภาระบรรทุกขามาส่งของที่โรงงาน (%)</t>
        </is>
      </c>
      <c r="P1" s="604" t="inlineStr">
        <is>
          <t>ภาระบรรทุกขากลับออกจากโรงงาน (%)</t>
        </is>
      </c>
    </row>
    <row r="2" ht="21" customHeight="1">
      <c r="A2" s="601" t="n"/>
      <c r="B2" s="601" t="n"/>
      <c r="C2" s="601" t="n"/>
      <c r="D2" s="601" t="n"/>
      <c r="E2" s="605" t="n"/>
      <c r="F2" s="601" t="n"/>
      <c r="G2" s="602" t="n"/>
      <c r="H2" s="601" t="n"/>
      <c r="I2" s="603" t="n"/>
      <c r="J2" s="604" t="n"/>
      <c r="K2" s="605" t="n"/>
      <c r="L2" s="604" t="n"/>
      <c r="M2" s="606" t="n"/>
      <c r="N2" s="601" t="n"/>
      <c r="O2" s="601" t="n"/>
      <c r="P2" s="604" t="n"/>
    </row>
    <row r="3" ht="21" customHeight="1">
      <c r="A3" s="1401" t="inlineStr">
        <is>
          <t>รวม</t>
        </is>
      </c>
      <c r="B3" s="1415" t="n"/>
      <c r="C3" s="1415" t="n"/>
      <c r="D3" s="1415" t="n"/>
      <c r="E3" s="1415" t="n"/>
      <c r="F3" s="1415" t="n"/>
      <c r="G3" s="1415" t="n"/>
      <c r="H3" s="1415" t="n"/>
      <c r="I3" s="1415" t="n"/>
      <c r="J3" s="1415" t="n"/>
      <c r="K3" s="1415" t="n"/>
      <c r="L3" s="1415" t="n"/>
      <c r="M3" s="1416" t="n"/>
      <c r="N3" s="1789">
        <f>SUM(N4:N866)</f>
        <v/>
      </c>
      <c r="O3" s="601" t="n"/>
      <c r="P3" s="604" t="n"/>
    </row>
    <row r="4">
      <c r="A4" s="607" t="inlineStr">
        <is>
          <t>FO23010001</t>
        </is>
      </c>
      <c r="B4" s="608" t="n">
        <v>44930</v>
      </c>
      <c r="C4" s="607" t="inlineStr">
        <is>
          <t>มัลติแบกซ์</t>
        </is>
      </c>
      <c r="D4" s="607" t="inlineStr">
        <is>
          <t>ท่าเรือแหลมฉบัง</t>
        </is>
      </c>
      <c r="E4" s="609" t="n">
        <v>6.2</v>
      </c>
      <c r="F4" s="607" t="inlineStr">
        <is>
          <t>Km</t>
        </is>
      </c>
      <c r="G4" s="610" t="inlineStr">
        <is>
          <t>รถเทรลเลอร์</t>
        </is>
      </c>
      <c r="H4" s="607" t="inlineStr">
        <is>
          <t>SINGAPORE</t>
        </is>
      </c>
      <c r="I4" s="611" t="n">
        <v>1931</v>
      </c>
      <c r="J4" s="612" t="inlineStr">
        <is>
          <t>Km</t>
        </is>
      </c>
      <c r="K4" s="613" t="n">
        <v>2235.52</v>
      </c>
      <c r="L4" s="1790">
        <f>M4-K4</f>
        <v/>
      </c>
      <c r="M4" s="1791" t="n">
        <v>3364.48</v>
      </c>
      <c r="N4" s="1792" t="n">
        <v>2235.52</v>
      </c>
      <c r="O4" s="615" t="n">
        <v>0</v>
      </c>
      <c r="P4" s="1793" t="n">
        <v>100</v>
      </c>
    </row>
    <row r="5">
      <c r="A5" s="617" t="inlineStr">
        <is>
          <t>FO23010002</t>
        </is>
      </c>
      <c r="B5" s="618" t="n">
        <v>44930</v>
      </c>
      <c r="C5" s="617" t="inlineStr">
        <is>
          <t>มัลติแบกซ์</t>
        </is>
      </c>
      <c r="D5" s="617" t="inlineStr">
        <is>
          <t>ท่าเรือแหลมฉบัง</t>
        </is>
      </c>
      <c r="E5" s="619" t="n">
        <v>6.2</v>
      </c>
      <c r="F5" s="617" t="inlineStr">
        <is>
          <t>Km</t>
        </is>
      </c>
      <c r="G5" s="620" t="inlineStr">
        <is>
          <t>รถเทรลเลอร์</t>
        </is>
      </c>
      <c r="H5" s="617" t="inlineStr">
        <is>
          <t>SINGAPORE</t>
        </is>
      </c>
      <c r="I5" s="621" t="n">
        <v>1931</v>
      </c>
      <c r="J5" s="622" t="inlineStr">
        <is>
          <t>Km</t>
        </is>
      </c>
      <c r="K5" s="623" t="n">
        <v>3128.1</v>
      </c>
      <c r="L5" s="1794">
        <f>M5-K5</f>
        <v/>
      </c>
      <c r="M5" s="1795" t="n">
        <v>4564.3</v>
      </c>
      <c r="N5" s="1796" t="n">
        <v>3128.1</v>
      </c>
      <c r="O5" s="617" t="n">
        <v>0</v>
      </c>
      <c r="P5" s="1794" t="n">
        <v>100</v>
      </c>
    </row>
    <row r="6">
      <c r="A6" s="625" t="inlineStr">
        <is>
          <t>FO23010003</t>
        </is>
      </c>
      <c r="B6" s="626" t="n">
        <v>44932</v>
      </c>
      <c r="C6" s="615" t="inlineStr">
        <is>
          <t>มัลติแบกซ์</t>
        </is>
      </c>
      <c r="D6" s="615" t="inlineStr">
        <is>
          <t>ท่าเรือแหลมฉบัง</t>
        </is>
      </c>
      <c r="E6" s="627" t="n">
        <v>6.5</v>
      </c>
      <c r="F6" s="625" t="inlineStr">
        <is>
          <t>Km</t>
        </is>
      </c>
      <c r="G6" s="628" t="inlineStr">
        <is>
          <t>รถเทรลเลอร์</t>
        </is>
      </c>
      <c r="H6" s="625" t="inlineStr">
        <is>
          <t>ROTTERDAM, NETHERLANDS</t>
        </is>
      </c>
      <c r="I6" s="629" t="n">
        <v>9292</v>
      </c>
      <c r="J6" s="628" t="inlineStr">
        <is>
          <t>Km</t>
        </is>
      </c>
      <c r="K6" s="630" t="n">
        <v>2100</v>
      </c>
      <c r="L6" s="1793">
        <f>M6-K6</f>
        <v/>
      </c>
      <c r="M6" s="1797" t="n">
        <v>16905</v>
      </c>
      <c r="N6" s="1792" t="n">
        <v>14226.6</v>
      </c>
      <c r="O6" s="615" t="n">
        <v>0</v>
      </c>
      <c r="P6" s="1793" t="n">
        <v>100</v>
      </c>
    </row>
    <row r="7">
      <c r="A7" s="631" t="inlineStr">
        <is>
          <t>FO23010004</t>
        </is>
      </c>
      <c r="B7" s="632" t="n">
        <v>44932</v>
      </c>
      <c r="C7" s="633" t="inlineStr">
        <is>
          <t>มัลติแบกซ์</t>
        </is>
      </c>
      <c r="D7" s="633" t="inlineStr">
        <is>
          <t>ท่าเรือแหลมฉบัง</t>
        </is>
      </c>
      <c r="E7" s="634" t="n">
        <v>6.5</v>
      </c>
      <c r="F7" s="631" t="inlineStr">
        <is>
          <t>Km</t>
        </is>
      </c>
      <c r="G7" s="635" t="inlineStr">
        <is>
          <t>รถเทรลเลอร์</t>
        </is>
      </c>
      <c r="H7" s="631" t="inlineStr">
        <is>
          <t>HORSENS, DENMARK</t>
        </is>
      </c>
      <c r="I7" s="636" t="n">
        <v>8839</v>
      </c>
      <c r="J7" s="635" t="inlineStr">
        <is>
          <t>Km</t>
        </is>
      </c>
      <c r="K7" s="637" t="n">
        <v>3700</v>
      </c>
      <c r="L7" s="1798">
        <f>M7-K7</f>
        <v/>
      </c>
      <c r="M7" s="1799" t="n">
        <v>17294</v>
      </c>
      <c r="N7" s="1800" t="n">
        <v>10091</v>
      </c>
      <c r="O7" s="633" t="n">
        <v>0</v>
      </c>
      <c r="P7" s="1798" t="n">
        <v>100</v>
      </c>
    </row>
    <row r="8">
      <c r="A8" s="625" t="inlineStr">
        <is>
          <t>FO23010005</t>
        </is>
      </c>
      <c r="B8" s="626" t="n">
        <v>44933</v>
      </c>
      <c r="C8" s="615" t="inlineStr">
        <is>
          <t>มัลติแบกซ์</t>
        </is>
      </c>
      <c r="D8" s="615" t="inlineStr">
        <is>
          <t>ท่าเรือแหลมฉบัง</t>
        </is>
      </c>
      <c r="E8" s="627" t="n">
        <v>6.5</v>
      </c>
      <c r="F8" s="625" t="inlineStr">
        <is>
          <t>Km</t>
        </is>
      </c>
      <c r="G8" s="628" t="inlineStr">
        <is>
          <t>รถเทรลเลอร์</t>
        </is>
      </c>
      <c r="H8" s="625" t="inlineStr">
        <is>
          <t>HAMBURG, GERMANY</t>
        </is>
      </c>
      <c r="I8" s="629" t="n">
        <v>8894</v>
      </c>
      <c r="J8" s="628" t="inlineStr">
        <is>
          <t>Km</t>
        </is>
      </c>
      <c r="K8" s="630" t="n">
        <v>2100</v>
      </c>
      <c r="L8" s="1793">
        <f>M8-K8</f>
        <v/>
      </c>
      <c r="M8" s="1797" t="n">
        <v>16636.3</v>
      </c>
      <c r="N8" s="1801" t="n">
        <v>13727</v>
      </c>
      <c r="O8" s="615" t="n">
        <v>0</v>
      </c>
      <c r="P8" s="1793" t="n">
        <v>100</v>
      </c>
    </row>
    <row r="9">
      <c r="A9" s="631" t="inlineStr">
        <is>
          <t>FO23010006</t>
        </is>
      </c>
      <c r="B9" s="632" t="n">
        <v>44931</v>
      </c>
      <c r="C9" s="633" t="inlineStr">
        <is>
          <t>มัลติแบกซ์</t>
        </is>
      </c>
      <c r="D9" s="633" t="inlineStr">
        <is>
          <t>ท่าเรือแหลมฉบัง</t>
        </is>
      </c>
      <c r="E9" s="634" t="n">
        <v>11.9</v>
      </c>
      <c r="F9" s="631" t="inlineStr">
        <is>
          <t>Km</t>
        </is>
      </c>
      <c r="G9" s="635" t="inlineStr">
        <is>
          <t>รถเทรลเลอร์</t>
        </is>
      </c>
      <c r="H9" s="631" t="inlineStr">
        <is>
          <t>HONG KONG</t>
        </is>
      </c>
      <c r="I9" s="636" t="n">
        <v>1734</v>
      </c>
      <c r="J9" s="635" t="inlineStr">
        <is>
          <t>Km</t>
        </is>
      </c>
      <c r="K9" s="637" t="n">
        <v>3600</v>
      </c>
      <c r="L9" s="1798">
        <f>M9-K9</f>
        <v/>
      </c>
      <c r="M9" s="1799" t="n">
        <v>14941.5</v>
      </c>
      <c r="N9" s="1800" t="n">
        <v>8580.5</v>
      </c>
      <c r="O9" s="633" t="n">
        <v>0</v>
      </c>
      <c r="P9" s="1798" t="n">
        <v>100</v>
      </c>
    </row>
    <row r="10">
      <c r="A10" s="625" t="inlineStr">
        <is>
          <t>FO23010007</t>
        </is>
      </c>
      <c r="B10" s="626" t="n">
        <v>44932</v>
      </c>
      <c r="C10" s="615" t="inlineStr">
        <is>
          <t>มัลติแบกซ์</t>
        </is>
      </c>
      <c r="D10" s="615" t="inlineStr">
        <is>
          <t>ท่าเรือแหลมฉบัง</t>
        </is>
      </c>
      <c r="E10" s="627" t="n">
        <v>6.2</v>
      </c>
      <c r="F10" s="625" t="inlineStr">
        <is>
          <t>Km</t>
        </is>
      </c>
      <c r="G10" s="628" t="inlineStr">
        <is>
          <t>รถเทรลเลอร์</t>
        </is>
      </c>
      <c r="H10" s="625" t="inlineStr">
        <is>
          <t>JACKSONVILLE IL, USA</t>
        </is>
      </c>
      <c r="I10" s="629" t="n">
        <v>15168</v>
      </c>
      <c r="J10" s="628" t="inlineStr">
        <is>
          <t>Km</t>
        </is>
      </c>
      <c r="K10" s="630" t="n">
        <v>3700</v>
      </c>
      <c r="L10" s="1793">
        <f>M10-K10</f>
        <v/>
      </c>
      <c r="M10" s="1797" t="n">
        <v>22340.6</v>
      </c>
      <c r="N10" s="1801" t="n">
        <v>15321.6</v>
      </c>
      <c r="O10" s="615" t="n">
        <v>0</v>
      </c>
      <c r="P10" s="1793" t="n">
        <v>100</v>
      </c>
    </row>
    <row r="11">
      <c r="A11" s="631" t="inlineStr">
        <is>
          <t>FO23010008</t>
        </is>
      </c>
      <c r="B11" s="632" t="n">
        <v>44932</v>
      </c>
      <c r="C11" s="633" t="inlineStr">
        <is>
          <t>มัลติแบกซ์</t>
        </is>
      </c>
      <c r="D11" s="633" t="inlineStr">
        <is>
          <t>ท่าเรือแหลมฉบัง</t>
        </is>
      </c>
      <c r="E11" s="634" t="n">
        <v>11.9</v>
      </c>
      <c r="F11" s="631" t="inlineStr">
        <is>
          <t>Km</t>
        </is>
      </c>
      <c r="G11" s="635" t="inlineStr">
        <is>
          <t>รถเทรลเลอร์</t>
        </is>
      </c>
      <c r="H11" s="631" t="inlineStr">
        <is>
          <t>JACKSONVILLE IL, USA</t>
        </is>
      </c>
      <c r="I11" s="636" t="n">
        <v>15168</v>
      </c>
      <c r="J11" s="635" t="inlineStr">
        <is>
          <t>Km</t>
        </is>
      </c>
      <c r="K11" s="637" t="n">
        <v>3800</v>
      </c>
      <c r="L11" s="1798">
        <f>M11-K11</f>
        <v/>
      </c>
      <c r="M11" s="1799" t="n">
        <v>23797.28</v>
      </c>
      <c r="N11" s="1800" t="n">
        <v>16872</v>
      </c>
      <c r="O11" s="633" t="n">
        <v>0</v>
      </c>
      <c r="P11" s="1798" t="n">
        <v>100</v>
      </c>
    </row>
    <row r="12">
      <c r="A12" s="625" t="inlineStr">
        <is>
          <t>FO23010009</t>
        </is>
      </c>
      <c r="B12" s="626" t="n">
        <v>44932</v>
      </c>
      <c r="C12" s="615" t="inlineStr">
        <is>
          <t>มัลติแบกซ์</t>
        </is>
      </c>
      <c r="D12" s="615" t="inlineStr">
        <is>
          <t>ท่าเรือแหลมฉบัง</t>
        </is>
      </c>
      <c r="E12" s="627" t="n">
        <v>11.9</v>
      </c>
      <c r="F12" s="625" t="inlineStr">
        <is>
          <t>Km</t>
        </is>
      </c>
      <c r="G12" s="628" t="inlineStr">
        <is>
          <t>รถเทรลเลอร์</t>
        </is>
      </c>
      <c r="H12" s="625" t="inlineStr">
        <is>
          <t>JACKSONVILLE IL, USA</t>
        </is>
      </c>
      <c r="I12" s="629" t="n">
        <v>15168</v>
      </c>
      <c r="J12" s="628" t="inlineStr">
        <is>
          <t>Km</t>
        </is>
      </c>
      <c r="K12" s="630" t="n">
        <v>3570</v>
      </c>
      <c r="L12" s="1793">
        <f>M12-K12</f>
        <v/>
      </c>
      <c r="M12" s="1797" t="n">
        <v>22297</v>
      </c>
      <c r="N12" s="1801" t="n">
        <v>14962.5</v>
      </c>
      <c r="O12" s="615" t="n">
        <v>0</v>
      </c>
      <c r="P12" s="1793" t="n">
        <v>100</v>
      </c>
    </row>
    <row r="13">
      <c r="A13" s="631" t="inlineStr">
        <is>
          <t>FO23010010</t>
        </is>
      </c>
      <c r="B13" s="632" t="n">
        <v>44936</v>
      </c>
      <c r="C13" s="633" t="inlineStr">
        <is>
          <t>มัลติแบกซ์</t>
        </is>
      </c>
      <c r="D13" s="633" t="inlineStr">
        <is>
          <t>ท่าเรือแหลมฉบัง</t>
        </is>
      </c>
      <c r="E13" s="634" t="n">
        <v>6.2</v>
      </c>
      <c r="F13" s="631" t="inlineStr">
        <is>
          <t>Km</t>
        </is>
      </c>
      <c r="G13" s="635" t="inlineStr">
        <is>
          <t>รถเทรลเลอร์</t>
        </is>
      </c>
      <c r="H13" s="631" t="inlineStr">
        <is>
          <t>JACKSONVILLE IL, USA</t>
        </is>
      </c>
      <c r="I13" s="636" t="n">
        <v>15168</v>
      </c>
      <c r="J13" s="635" t="inlineStr">
        <is>
          <t>Km</t>
        </is>
      </c>
      <c r="K13" s="637" t="n">
        <v>3830</v>
      </c>
      <c r="L13" s="1798">
        <f>M13-K13</f>
        <v/>
      </c>
      <c r="M13" s="1799" t="n">
        <v>20907</v>
      </c>
      <c r="N13" s="1800" t="n">
        <v>15333.35</v>
      </c>
      <c r="O13" s="633" t="n">
        <v>0</v>
      </c>
      <c r="P13" s="1798" t="n">
        <v>100</v>
      </c>
    </row>
    <row r="14">
      <c r="A14" s="625" t="inlineStr">
        <is>
          <t>FO23010011</t>
        </is>
      </c>
      <c r="B14" s="626" t="n">
        <v>44936</v>
      </c>
      <c r="C14" s="615" t="inlineStr">
        <is>
          <t>มัลติแบกซ์</t>
        </is>
      </c>
      <c r="D14" s="615" t="inlineStr">
        <is>
          <t>ท่าเรือแหลมฉบัง</t>
        </is>
      </c>
      <c r="E14" s="627" t="n">
        <v>5.3</v>
      </c>
      <c r="F14" s="625" t="inlineStr">
        <is>
          <t>Km</t>
        </is>
      </c>
      <c r="G14" s="628" t="inlineStr">
        <is>
          <t>รถเทรลเลอร์</t>
        </is>
      </c>
      <c r="H14" s="625" t="inlineStr">
        <is>
          <t>HONG KONG</t>
        </is>
      </c>
      <c r="I14" s="629" t="n">
        <v>1734</v>
      </c>
      <c r="J14" s="628" t="inlineStr">
        <is>
          <t>Km</t>
        </is>
      </c>
      <c r="K14" s="630" t="n">
        <v>3820</v>
      </c>
      <c r="L14" s="1793">
        <f>M14-K14</f>
        <v/>
      </c>
      <c r="M14" s="1797" t="n">
        <v>15932.1</v>
      </c>
      <c r="N14" s="1801" t="n">
        <v>9365.799999999999</v>
      </c>
      <c r="O14" s="615" t="n">
        <v>0</v>
      </c>
      <c r="P14" s="1793" t="n">
        <v>100</v>
      </c>
    </row>
    <row r="15">
      <c r="A15" s="631" t="inlineStr">
        <is>
          <t>FO23010012</t>
        </is>
      </c>
      <c r="B15" s="632" t="n">
        <v>44930</v>
      </c>
      <c r="C15" s="633" t="inlineStr">
        <is>
          <t>มัลติแบกซ์</t>
        </is>
      </c>
      <c r="D15" s="633" t="inlineStr">
        <is>
          <t>ท่าเรือแหลมฉบัง</t>
        </is>
      </c>
      <c r="E15" s="634" t="n">
        <v>6.2</v>
      </c>
      <c r="F15" s="631" t="inlineStr">
        <is>
          <t>Km</t>
        </is>
      </c>
      <c r="G15" s="635" t="inlineStr">
        <is>
          <t>รถเทรลเลอร์</t>
        </is>
      </c>
      <c r="H15" s="631" t="inlineStr">
        <is>
          <t>SANTA TERESA, NM USA</t>
        </is>
      </c>
      <c r="I15" s="636" t="n">
        <v>17387</v>
      </c>
      <c r="J15" s="635" t="inlineStr">
        <is>
          <t>Km</t>
        </is>
      </c>
      <c r="K15" s="637" t="n">
        <v>3800</v>
      </c>
      <c r="L15" s="1798">
        <f>M15-K15</f>
        <v/>
      </c>
      <c r="M15" s="1799" t="n">
        <v>21773.48</v>
      </c>
      <c r="N15" s="1800" t="n">
        <v>15759</v>
      </c>
      <c r="O15" s="633" t="n">
        <v>0</v>
      </c>
      <c r="P15" s="1798" t="n">
        <v>100</v>
      </c>
    </row>
    <row r="16">
      <c r="A16" s="625" t="inlineStr">
        <is>
          <t>FO23010013</t>
        </is>
      </c>
      <c r="B16" s="626" t="n">
        <v>44930</v>
      </c>
      <c r="C16" s="615" t="inlineStr">
        <is>
          <t>มัลติแบกซ์</t>
        </is>
      </c>
      <c r="D16" s="615" t="inlineStr">
        <is>
          <t>ท่าเรือแหลมฉบัง</t>
        </is>
      </c>
      <c r="E16" s="627" t="n">
        <v>6.2</v>
      </c>
      <c r="F16" s="625" t="inlineStr">
        <is>
          <t>Km</t>
        </is>
      </c>
      <c r="G16" s="628" t="inlineStr">
        <is>
          <t>รถเทรลเลอร์</t>
        </is>
      </c>
      <c r="H16" s="625" t="inlineStr">
        <is>
          <t>SANTA TERESA, NM USA</t>
        </is>
      </c>
      <c r="I16" s="629" t="n">
        <v>17387</v>
      </c>
      <c r="J16" s="628" t="inlineStr">
        <is>
          <t>Km</t>
        </is>
      </c>
      <c r="K16" s="630" t="n">
        <v>3700</v>
      </c>
      <c r="L16" s="1793">
        <f>M16-K16</f>
        <v/>
      </c>
      <c r="M16" s="1797" t="n">
        <v>20999.64</v>
      </c>
      <c r="N16" s="1801" t="n">
        <v>15188.82</v>
      </c>
      <c r="O16" s="615" t="n">
        <v>0</v>
      </c>
      <c r="P16" s="1793" t="n">
        <v>100</v>
      </c>
    </row>
    <row r="17">
      <c r="A17" s="631" t="inlineStr">
        <is>
          <t>FO23010014</t>
        </is>
      </c>
      <c r="B17" s="632" t="n">
        <v>44930</v>
      </c>
      <c r="C17" s="633" t="inlineStr">
        <is>
          <t>มัลติแบกซ์</t>
        </is>
      </c>
      <c r="D17" s="633" t="inlineStr">
        <is>
          <t>ท่าเรือแหลมฉบัง</t>
        </is>
      </c>
      <c r="E17" s="634" t="n">
        <v>6.2</v>
      </c>
      <c r="F17" s="633" t="inlineStr">
        <is>
          <t>Km</t>
        </is>
      </c>
      <c r="G17" s="635" t="inlineStr">
        <is>
          <t>รถเทรลเลอร์</t>
        </is>
      </c>
      <c r="H17" s="631" t="inlineStr">
        <is>
          <t>COLUMBUS OHIO, USA</t>
        </is>
      </c>
      <c r="I17" s="636" t="n">
        <v>14000</v>
      </c>
      <c r="J17" s="639" t="inlineStr">
        <is>
          <t>Km</t>
        </is>
      </c>
      <c r="K17" s="637" t="n">
        <v>3700</v>
      </c>
      <c r="L17" s="1798">
        <f>M17-K17</f>
        <v/>
      </c>
      <c r="M17" s="1799" t="n">
        <v>22002.63</v>
      </c>
      <c r="N17" s="1800" t="n">
        <v>15983.79</v>
      </c>
      <c r="O17" s="633" t="n">
        <v>0</v>
      </c>
      <c r="P17" s="1798" t="n">
        <v>100</v>
      </c>
    </row>
    <row r="18">
      <c r="A18" s="625" t="inlineStr">
        <is>
          <t>FO23010015</t>
        </is>
      </c>
      <c r="B18" s="626" t="n">
        <v>44936</v>
      </c>
      <c r="C18" s="615" t="inlineStr">
        <is>
          <t>มัลติแบกซ์</t>
        </is>
      </c>
      <c r="D18" s="615" t="inlineStr">
        <is>
          <t>ท่าเรือแหลมฉบัง</t>
        </is>
      </c>
      <c r="E18" s="627" t="n">
        <v>6.2</v>
      </c>
      <c r="F18" s="625" t="inlineStr">
        <is>
          <t>Km</t>
        </is>
      </c>
      <c r="G18" s="628" t="inlineStr">
        <is>
          <t>รถเทรลเลอร์</t>
        </is>
      </c>
      <c r="H18" s="625" t="inlineStr">
        <is>
          <t>JACKSONVILLE IL, USA</t>
        </is>
      </c>
      <c r="I18" s="629" t="n">
        <v>15168</v>
      </c>
      <c r="J18" s="628" t="inlineStr">
        <is>
          <t>Km</t>
        </is>
      </c>
      <c r="K18" s="630" t="n">
        <v>3800</v>
      </c>
      <c r="L18" s="1793">
        <f>M18-K18</f>
        <v/>
      </c>
      <c r="M18" s="1797" t="n">
        <v>23797.28</v>
      </c>
      <c r="N18" s="1801" t="n">
        <v>16872</v>
      </c>
      <c r="O18" s="615" t="n">
        <v>0</v>
      </c>
      <c r="P18" s="1793" t="n">
        <v>100</v>
      </c>
    </row>
    <row r="19">
      <c r="A19" s="631" t="inlineStr">
        <is>
          <t>FO23010016</t>
        </is>
      </c>
      <c r="B19" s="632" t="n">
        <v>44939</v>
      </c>
      <c r="C19" s="633" t="inlineStr">
        <is>
          <t>มัลติแบกซ์</t>
        </is>
      </c>
      <c r="D19" s="633" t="inlineStr">
        <is>
          <t>ท่าเรือแหลมฉบัง</t>
        </is>
      </c>
      <c r="E19" s="634" t="n">
        <v>7.1</v>
      </c>
      <c r="F19" s="631" t="inlineStr">
        <is>
          <t>Km</t>
        </is>
      </c>
      <c r="G19" s="635" t="inlineStr">
        <is>
          <t>รถเทรลเลอร์</t>
        </is>
      </c>
      <c r="H19" s="631" t="inlineStr">
        <is>
          <t>JACKSONVILLE IL, USA</t>
        </is>
      </c>
      <c r="I19" s="636" t="n">
        <v>15168</v>
      </c>
      <c r="J19" s="635" t="inlineStr">
        <is>
          <t>Km</t>
        </is>
      </c>
      <c r="K19" s="637" t="n">
        <v>3760</v>
      </c>
      <c r="L19" s="1798">
        <f>M19-K19</f>
        <v/>
      </c>
      <c r="M19" s="1799" t="n">
        <v>20897</v>
      </c>
      <c r="N19" s="1800" t="n">
        <v>13759.2</v>
      </c>
      <c r="O19" s="633" t="n">
        <v>0</v>
      </c>
      <c r="P19" s="1798" t="n">
        <v>100</v>
      </c>
    </row>
    <row r="20">
      <c r="A20" s="625" t="inlineStr">
        <is>
          <t>FO23010017</t>
        </is>
      </c>
      <c r="B20" s="626" t="n">
        <v>44936</v>
      </c>
      <c r="C20" s="615" t="inlineStr">
        <is>
          <t>มัลติแบกซ์</t>
        </is>
      </c>
      <c r="D20" s="615" t="inlineStr">
        <is>
          <t>ท่าเรือแหลมฉบัง</t>
        </is>
      </c>
      <c r="E20" s="627" t="n">
        <v>6.2</v>
      </c>
      <c r="F20" s="625" t="inlineStr">
        <is>
          <t>Km</t>
        </is>
      </c>
      <c r="G20" s="628" t="inlineStr">
        <is>
          <t>รถเทรลเลอร์</t>
        </is>
      </c>
      <c r="H20" s="625" t="inlineStr">
        <is>
          <t>SOUTH BOSTON VA, USA</t>
        </is>
      </c>
      <c r="I20" s="629" t="n">
        <v>13787</v>
      </c>
      <c r="J20" s="628" t="inlineStr">
        <is>
          <t>Km</t>
        </is>
      </c>
      <c r="K20" s="630" t="n">
        <v>3300</v>
      </c>
      <c r="L20" s="1793">
        <f>M20-K20</f>
        <v/>
      </c>
      <c r="M20" s="1797" t="n">
        <v>18139</v>
      </c>
      <c r="N20" s="1801" t="n">
        <v>12511.2</v>
      </c>
      <c r="O20" s="615" t="n">
        <v>0</v>
      </c>
      <c r="P20" s="1793" t="n">
        <v>100</v>
      </c>
    </row>
    <row r="21">
      <c r="A21" s="631" t="inlineStr">
        <is>
          <t>FO23010018</t>
        </is>
      </c>
      <c r="B21" s="632" t="n">
        <v>44931</v>
      </c>
      <c r="C21" s="633" t="inlineStr">
        <is>
          <t>มัลติแบกซ์</t>
        </is>
      </c>
      <c r="D21" s="633" t="inlineStr">
        <is>
          <t>ท่าเรือแหลมฉบัง</t>
        </is>
      </c>
      <c r="E21" s="634" t="n">
        <v>11.9</v>
      </c>
      <c r="F21" s="631" t="inlineStr">
        <is>
          <t>Km</t>
        </is>
      </c>
      <c r="G21" s="635" t="inlineStr">
        <is>
          <t>รถเทรลเลอร์</t>
        </is>
      </c>
      <c r="H21" s="631" t="inlineStr">
        <is>
          <t>SINGAPORE</t>
        </is>
      </c>
      <c r="I21" s="636" t="n">
        <v>1931</v>
      </c>
      <c r="J21" s="635" t="inlineStr">
        <is>
          <t>Km</t>
        </is>
      </c>
      <c r="K21" s="637" t="n">
        <v>4814</v>
      </c>
      <c r="L21" s="1798">
        <f>M21-K21</f>
        <v/>
      </c>
      <c r="M21" s="1799" t="n">
        <v>5663</v>
      </c>
      <c r="N21" s="1800" t="n">
        <v>4814</v>
      </c>
      <c r="O21" s="633" t="n">
        <v>0</v>
      </c>
      <c r="P21" s="1798" t="n">
        <v>100</v>
      </c>
    </row>
    <row r="22" ht="15.75" customHeight="1">
      <c r="A22" s="625" t="inlineStr">
        <is>
          <t>FO23010019</t>
        </is>
      </c>
      <c r="B22" s="626" t="n">
        <v>44935</v>
      </c>
      <c r="C22" s="615" t="inlineStr">
        <is>
          <t>มัลติแบกซ์</t>
        </is>
      </c>
      <c r="D22" s="615" t="inlineStr">
        <is>
          <t>ท่าเรือแหลมฉบัง</t>
        </is>
      </c>
      <c r="E22" s="627" t="n">
        <v>5.2</v>
      </c>
      <c r="F22" s="625" t="inlineStr">
        <is>
          <t>Km</t>
        </is>
      </c>
      <c r="G22" s="628" t="inlineStr">
        <is>
          <t>รถเทรลเลอร์</t>
        </is>
      </c>
      <c r="H22" s="625" t="inlineStr">
        <is>
          <t>MANZANILLO, MEXICO</t>
        </is>
      </c>
      <c r="I22" s="629" t="n">
        <v>15486</v>
      </c>
      <c r="J22" s="628" t="inlineStr">
        <is>
          <t>Km</t>
        </is>
      </c>
      <c r="K22" s="630" t="n">
        <v>3800</v>
      </c>
      <c r="L22" s="1793">
        <f>M22-K22</f>
        <v/>
      </c>
      <c r="M22" s="1797" t="n">
        <v>12257.57</v>
      </c>
      <c r="N22" s="1801" t="n">
        <v>6241.88</v>
      </c>
      <c r="O22" s="615" t="n">
        <v>0</v>
      </c>
      <c r="P22" s="1793" t="n">
        <v>100</v>
      </c>
    </row>
    <row r="23" ht="15.75" customHeight="1">
      <c r="A23" s="631" t="inlineStr">
        <is>
          <t>FO23010020</t>
        </is>
      </c>
      <c r="B23" s="632" t="n">
        <v>44935</v>
      </c>
      <c r="C23" s="633" t="inlineStr">
        <is>
          <t>มัลติแบกซ์</t>
        </is>
      </c>
      <c r="D23" s="633" t="inlineStr">
        <is>
          <t>ท่าเรือแหลมฉบัง</t>
        </is>
      </c>
      <c r="E23" s="634" t="n">
        <v>5.2</v>
      </c>
      <c r="F23" s="631" t="inlineStr">
        <is>
          <t>Km</t>
        </is>
      </c>
      <c r="G23" s="635" t="inlineStr">
        <is>
          <t>รถเทรลเลอร์</t>
        </is>
      </c>
      <c r="H23" s="631" t="inlineStr">
        <is>
          <t>MANZANILLO, MEXICO</t>
        </is>
      </c>
      <c r="I23" s="636" t="n">
        <v>15486</v>
      </c>
      <c r="J23" s="635" t="inlineStr">
        <is>
          <t>Km</t>
        </is>
      </c>
      <c r="K23" s="637" t="n">
        <v>3800</v>
      </c>
      <c r="L23" s="1798">
        <f>M23-K23</f>
        <v/>
      </c>
      <c r="M23" s="1799" t="n">
        <v>14770.57</v>
      </c>
      <c r="N23" s="1800" t="n">
        <v>8567.190000000001</v>
      </c>
      <c r="O23" s="633" t="n">
        <v>0</v>
      </c>
      <c r="P23" s="1798" t="n">
        <v>100</v>
      </c>
    </row>
    <row r="24" ht="15.75" customHeight="1">
      <c r="A24" s="625" t="inlineStr">
        <is>
          <t>FO23010021</t>
        </is>
      </c>
      <c r="B24" s="626" t="n">
        <v>44935</v>
      </c>
      <c r="C24" s="615" t="inlineStr">
        <is>
          <t>มัลติแบกซ์</t>
        </is>
      </c>
      <c r="D24" s="615" t="inlineStr">
        <is>
          <t>ท่าเรือแหลมฉบัง</t>
        </is>
      </c>
      <c r="E24" s="627" t="n">
        <v>6.2</v>
      </c>
      <c r="F24" s="625" t="inlineStr">
        <is>
          <t>Km</t>
        </is>
      </c>
      <c r="G24" s="628" t="inlineStr">
        <is>
          <t>รถเทรลเลอร์</t>
        </is>
      </c>
      <c r="H24" s="625" t="inlineStr">
        <is>
          <t>SYDNEY, AUSTRALIA</t>
        </is>
      </c>
      <c r="I24" s="629" t="n">
        <v>7448</v>
      </c>
      <c r="J24" s="628" t="inlineStr">
        <is>
          <t>Km</t>
        </is>
      </c>
      <c r="K24" s="630" t="n">
        <v>3870</v>
      </c>
      <c r="L24" s="1793">
        <f>M24-K24</f>
        <v/>
      </c>
      <c r="M24" s="1797" t="n">
        <v>29640</v>
      </c>
      <c r="N24" s="1801" t="n">
        <v>23189.4</v>
      </c>
      <c r="O24" s="615" t="n">
        <v>0</v>
      </c>
      <c r="P24" s="1793" t="n">
        <v>100</v>
      </c>
    </row>
    <row r="25" ht="15.75" customHeight="1">
      <c r="A25" s="631" t="inlineStr">
        <is>
          <t>FO23010022</t>
        </is>
      </c>
      <c r="B25" s="632" t="n">
        <v>44935</v>
      </c>
      <c r="C25" s="633" t="inlineStr">
        <is>
          <t>มัลติแบกซ์</t>
        </is>
      </c>
      <c r="D25" s="633" t="inlineStr">
        <is>
          <t>ท่าเรือแหลมฉบัง</t>
        </is>
      </c>
      <c r="E25" s="634" t="n">
        <v>6.2</v>
      </c>
      <c r="F25" s="631" t="inlineStr">
        <is>
          <t>Km</t>
        </is>
      </c>
      <c r="G25" s="635" t="inlineStr">
        <is>
          <t>รถเทรลเลอร์</t>
        </is>
      </c>
      <c r="H25" s="631" t="inlineStr">
        <is>
          <t>SYDNEY, AUSTRALIA</t>
        </is>
      </c>
      <c r="I25" s="636" t="n">
        <v>7448</v>
      </c>
      <c r="J25" s="635" t="inlineStr">
        <is>
          <t>Km</t>
        </is>
      </c>
      <c r="K25" s="637" t="n">
        <v>3840</v>
      </c>
      <c r="L25" s="1798">
        <f>M25-K25</f>
        <v/>
      </c>
      <c r="M25" s="1799" t="n">
        <v>21192</v>
      </c>
      <c r="N25" s="1800" t="n">
        <v>10713.2</v>
      </c>
      <c r="O25" s="633" t="n">
        <v>0</v>
      </c>
      <c r="P25" s="1798" t="n">
        <v>100</v>
      </c>
    </row>
    <row r="26" ht="15.75" customHeight="1">
      <c r="A26" s="625" t="inlineStr">
        <is>
          <t>FO23010023</t>
        </is>
      </c>
      <c r="B26" s="626" t="n">
        <v>44935</v>
      </c>
      <c r="C26" s="615" t="inlineStr">
        <is>
          <t>มัลติแบกซ์</t>
        </is>
      </c>
      <c r="D26" s="615" t="inlineStr">
        <is>
          <t>ท่าเรือแหลมฉบัง</t>
        </is>
      </c>
      <c r="E26" s="627" t="n">
        <v>6.2</v>
      </c>
      <c r="F26" s="625" t="inlineStr">
        <is>
          <t>Km</t>
        </is>
      </c>
      <c r="G26" s="628" t="inlineStr">
        <is>
          <t>รถเทรลเลอร์</t>
        </is>
      </c>
      <c r="H26" s="625" t="inlineStr">
        <is>
          <t>MELBOURNE, AUSTRALIA</t>
        </is>
      </c>
      <c r="I26" s="629" t="n">
        <v>7283</v>
      </c>
      <c r="J26" s="628" t="inlineStr">
        <is>
          <t>Km</t>
        </is>
      </c>
      <c r="K26" s="630" t="n">
        <v>2190</v>
      </c>
      <c r="L26" s="1793">
        <f>M26-K26</f>
        <v/>
      </c>
      <c r="M26" s="1797" t="n">
        <v>13482</v>
      </c>
      <c r="N26" s="1801" t="n">
        <v>9411</v>
      </c>
      <c r="O26" s="615" t="n">
        <v>0</v>
      </c>
      <c r="P26" s="1793" t="n">
        <v>100</v>
      </c>
    </row>
    <row r="27" ht="15.75" customHeight="1">
      <c r="A27" s="631" t="inlineStr">
        <is>
          <t>FO23010024</t>
        </is>
      </c>
      <c r="B27" s="632" t="n">
        <v>44935</v>
      </c>
      <c r="C27" s="633" t="inlineStr">
        <is>
          <t>มัลติแบกซ์</t>
        </is>
      </c>
      <c r="D27" s="633" t="inlineStr">
        <is>
          <t>ท่าเรือแหลมฉบัง</t>
        </is>
      </c>
      <c r="E27" s="634" t="n">
        <v>6</v>
      </c>
      <c r="F27" s="631" t="inlineStr">
        <is>
          <t>Km</t>
        </is>
      </c>
      <c r="G27" s="635" t="inlineStr">
        <is>
          <t>รถเทรลเลอร์</t>
        </is>
      </c>
      <c r="H27" s="631" t="inlineStr">
        <is>
          <t>SOHAR, OMAN</t>
        </is>
      </c>
      <c r="I27" s="636" t="n">
        <v>4795</v>
      </c>
      <c r="J27" s="635" t="inlineStr">
        <is>
          <t>Km</t>
        </is>
      </c>
      <c r="K27" s="637" t="n">
        <v>2130</v>
      </c>
      <c r="L27" s="1798">
        <f>M27-K27</f>
        <v/>
      </c>
      <c r="M27" s="1799" t="n">
        <v>8724.27</v>
      </c>
      <c r="N27" s="1800" t="n">
        <v>5401.23</v>
      </c>
      <c r="O27" s="633" t="n">
        <v>0</v>
      </c>
      <c r="P27" s="1798" t="n">
        <v>100</v>
      </c>
    </row>
    <row r="28" ht="15.75" customHeight="1">
      <c r="A28" s="625" t="inlineStr">
        <is>
          <t>FO23010025</t>
        </is>
      </c>
      <c r="B28" s="626" t="n">
        <v>44932</v>
      </c>
      <c r="C28" s="615" t="inlineStr">
        <is>
          <t>มัลติแบกซ์</t>
        </is>
      </c>
      <c r="D28" s="615" t="inlineStr">
        <is>
          <t>ท่าเรือแหลมฉบัง</t>
        </is>
      </c>
      <c r="E28" s="627" t="n">
        <v>5.3</v>
      </c>
      <c r="F28" s="625" t="inlineStr">
        <is>
          <t>Km</t>
        </is>
      </c>
      <c r="G28" s="628" t="inlineStr">
        <is>
          <t>รถเทรลเลอร์</t>
        </is>
      </c>
      <c r="H28" s="625" t="inlineStr">
        <is>
          <t>MANZANILLO, MEXICO</t>
        </is>
      </c>
      <c r="I28" s="629" t="n">
        <v>15486</v>
      </c>
      <c r="J28" s="628" t="inlineStr">
        <is>
          <t>Km</t>
        </is>
      </c>
      <c r="K28" s="630" t="n">
        <v>3800</v>
      </c>
      <c r="L28" s="1793">
        <f>M28-K28</f>
        <v/>
      </c>
      <c r="M28" s="1797" t="n">
        <v>13596.56</v>
      </c>
      <c r="N28" s="1801" t="n">
        <v>7147.44</v>
      </c>
      <c r="O28" s="615" t="n">
        <v>0</v>
      </c>
      <c r="P28" s="1793" t="n">
        <v>100</v>
      </c>
    </row>
    <row r="29" ht="15.75" customHeight="1">
      <c r="A29" s="631" t="inlineStr">
        <is>
          <t>FO23010026</t>
        </is>
      </c>
      <c r="B29" s="632" t="n">
        <v>44936</v>
      </c>
      <c r="C29" s="633" t="inlineStr">
        <is>
          <t>มัลติแบกซ์</t>
        </is>
      </c>
      <c r="D29" s="633" t="inlineStr">
        <is>
          <t>ท่าเรือแหลมฉบัง</t>
        </is>
      </c>
      <c r="E29" s="634" t="n">
        <v>6.2</v>
      </c>
      <c r="F29" s="631" t="inlineStr">
        <is>
          <t>Km</t>
        </is>
      </c>
      <c r="G29" s="635" t="inlineStr">
        <is>
          <t>รถเทรลเลอร์</t>
        </is>
      </c>
      <c r="H29" s="631" t="inlineStr">
        <is>
          <t>CARROLLTON TX, USA</t>
        </is>
      </c>
      <c r="I29" s="636" t="n">
        <v>14544</v>
      </c>
      <c r="J29" s="635" t="inlineStr">
        <is>
          <t>Km</t>
        </is>
      </c>
      <c r="K29" s="637" t="n">
        <v>3780</v>
      </c>
      <c r="L29" s="1798">
        <f>M29-K29</f>
        <v/>
      </c>
      <c r="M29" s="1799" t="n">
        <v>18619</v>
      </c>
      <c r="N29" s="1800" t="n">
        <v>12511.2</v>
      </c>
      <c r="O29" s="633" t="n">
        <v>0</v>
      </c>
      <c r="P29" s="1798" t="n">
        <v>100</v>
      </c>
    </row>
    <row r="30" ht="15.75" customHeight="1">
      <c r="A30" s="625" t="inlineStr">
        <is>
          <t>FO23010027</t>
        </is>
      </c>
      <c r="B30" s="626" t="n">
        <v>44935</v>
      </c>
      <c r="C30" s="615" t="inlineStr">
        <is>
          <t>มัลติแบกซ์</t>
        </is>
      </c>
      <c r="D30" s="615" t="inlineStr">
        <is>
          <t>ท่าเรือแหลมฉบัง</t>
        </is>
      </c>
      <c r="E30" s="627" t="n">
        <v>11.7</v>
      </c>
      <c r="F30" s="625" t="inlineStr">
        <is>
          <t>Km</t>
        </is>
      </c>
      <c r="G30" s="628" t="inlineStr">
        <is>
          <t>รถเทรลเลอร์</t>
        </is>
      </c>
      <c r="H30" s="625" t="inlineStr">
        <is>
          <t>JEBEL ALI, UAE</t>
        </is>
      </c>
      <c r="I30" s="629" t="n">
        <v>4972</v>
      </c>
      <c r="J30" s="628" t="inlineStr">
        <is>
          <t>Km</t>
        </is>
      </c>
      <c r="K30" s="630" t="n">
        <v>3800</v>
      </c>
      <c r="L30" s="1793">
        <f>M30-K30</f>
        <v/>
      </c>
      <c r="M30" s="1797" t="n">
        <v>20523.69</v>
      </c>
      <c r="N30" s="1801" t="n">
        <v>14665.8</v>
      </c>
      <c r="O30" s="615" t="n">
        <v>0</v>
      </c>
      <c r="P30" s="1793" t="n">
        <v>100</v>
      </c>
    </row>
    <row r="31" ht="15.75" customHeight="1">
      <c r="A31" s="631" t="inlineStr">
        <is>
          <t>FO23010028</t>
        </is>
      </c>
      <c r="B31" s="632" t="n">
        <v>44935</v>
      </c>
      <c r="C31" s="633" t="inlineStr">
        <is>
          <t>มัลติแบกซ์</t>
        </is>
      </c>
      <c r="D31" s="633" t="inlineStr">
        <is>
          <t>ท่าเรือแหลมฉบัง</t>
        </is>
      </c>
      <c r="E31" s="634" t="n">
        <v>6.5</v>
      </c>
      <c r="F31" s="631" t="inlineStr">
        <is>
          <t>Km</t>
        </is>
      </c>
      <c r="G31" s="635" t="inlineStr">
        <is>
          <t>รถเทรลเลอร์</t>
        </is>
      </c>
      <c r="H31" s="631" t="inlineStr">
        <is>
          <t>JEBEL ALI, UAE</t>
        </is>
      </c>
      <c r="I31" s="636" t="n">
        <v>4972</v>
      </c>
      <c r="J31" s="635" t="inlineStr">
        <is>
          <t>Km</t>
        </is>
      </c>
      <c r="K31" s="637" t="n">
        <v>3800</v>
      </c>
      <c r="L31" s="1798">
        <f>M31-K31</f>
        <v/>
      </c>
      <c r="M31" s="1799" t="n">
        <v>16592.77</v>
      </c>
      <c r="N31" s="1800" t="n">
        <v>10413.45</v>
      </c>
      <c r="O31" s="633" t="n">
        <v>0</v>
      </c>
      <c r="P31" s="1798" t="n">
        <v>100</v>
      </c>
    </row>
    <row r="32" ht="15.75" customHeight="1">
      <c r="A32" s="625" t="inlineStr">
        <is>
          <t>FO23010029</t>
        </is>
      </c>
      <c r="B32" s="626" t="n">
        <v>44952</v>
      </c>
      <c r="C32" s="615" t="inlineStr">
        <is>
          <t>มัลติแบกซ์</t>
        </is>
      </c>
      <c r="D32" s="615" t="inlineStr">
        <is>
          <t>ท่าเรือแหลมฉบัง</t>
        </is>
      </c>
      <c r="E32" s="627" t="n">
        <v>11.9</v>
      </c>
      <c r="F32" s="625" t="inlineStr">
        <is>
          <t>Km</t>
        </is>
      </c>
      <c r="G32" s="628" t="inlineStr">
        <is>
          <t>รถเทรลเลอร์</t>
        </is>
      </c>
      <c r="H32" s="625" t="inlineStr">
        <is>
          <t>AUCKLAND, NEW ZEALAND</t>
        </is>
      </c>
      <c r="I32" s="629" t="n">
        <v>9486</v>
      </c>
      <c r="J32" s="628" t="inlineStr">
        <is>
          <t>Km</t>
        </is>
      </c>
      <c r="K32" s="630" t="n">
        <v>3700</v>
      </c>
      <c r="L32" s="1793">
        <f>M32-K32</f>
        <v/>
      </c>
      <c r="M32" s="1797" t="n">
        <v>21958.25</v>
      </c>
      <c r="N32" s="1801" t="n">
        <v>13858.94</v>
      </c>
      <c r="O32" s="615" t="n">
        <v>0</v>
      </c>
      <c r="P32" s="1793" t="n">
        <v>100</v>
      </c>
    </row>
    <row r="33" ht="15.75" customHeight="1">
      <c r="A33" s="631" t="inlineStr">
        <is>
          <t>FO23010030</t>
        </is>
      </c>
      <c r="B33" s="632" t="n">
        <v>44952</v>
      </c>
      <c r="C33" s="633" t="inlineStr">
        <is>
          <t>มัลติแบกซ์</t>
        </is>
      </c>
      <c r="D33" s="633" t="inlineStr">
        <is>
          <t>ท่าเรือแหลมฉบัง</t>
        </is>
      </c>
      <c r="E33" s="634" t="n">
        <v>11.9</v>
      </c>
      <c r="F33" s="631" t="inlineStr">
        <is>
          <t>Km</t>
        </is>
      </c>
      <c r="G33" s="635" t="inlineStr">
        <is>
          <t>รถเทรลเลอร์</t>
        </is>
      </c>
      <c r="H33" s="631" t="inlineStr">
        <is>
          <t>AUCKLAND, NEW ZEALAND</t>
        </is>
      </c>
      <c r="I33" s="636" t="n">
        <v>9486</v>
      </c>
      <c r="J33" s="635" t="inlineStr">
        <is>
          <t>Km</t>
        </is>
      </c>
      <c r="K33" s="637" t="n">
        <v>3740</v>
      </c>
      <c r="L33" s="1798">
        <f>M33-K33</f>
        <v/>
      </c>
      <c r="M33" s="1799" t="n">
        <v>19989.4</v>
      </c>
      <c r="N33" s="1800" t="n">
        <v>13345.3</v>
      </c>
      <c r="O33" s="633" t="n">
        <v>0</v>
      </c>
      <c r="P33" s="1798" t="n">
        <v>100</v>
      </c>
    </row>
    <row r="34" ht="15.75" customHeight="1">
      <c r="A34" s="625" t="inlineStr">
        <is>
          <t>FO23010031</t>
        </is>
      </c>
      <c r="B34" s="626" t="n">
        <v>44939</v>
      </c>
      <c r="C34" s="615" t="inlineStr">
        <is>
          <t>มัลติแบกซ์</t>
        </is>
      </c>
      <c r="D34" s="615" t="inlineStr">
        <is>
          <t>ท่าเรือแหลมฉบัง</t>
        </is>
      </c>
      <c r="E34" s="627" t="n">
        <v>7.1</v>
      </c>
      <c r="F34" s="625" t="inlineStr">
        <is>
          <t>Km</t>
        </is>
      </c>
      <c r="G34" s="628" t="inlineStr">
        <is>
          <t>รถเทรลเลอร์</t>
        </is>
      </c>
      <c r="H34" s="625" t="inlineStr">
        <is>
          <t>SHUWAIKH, KUWAIT</t>
        </is>
      </c>
      <c r="I34" s="629" t="n">
        <v>5727</v>
      </c>
      <c r="J34" s="628" t="inlineStr">
        <is>
          <t>Km</t>
        </is>
      </c>
      <c r="K34" s="630" t="n">
        <v>2280</v>
      </c>
      <c r="L34" s="1793">
        <f>M34-K34</f>
        <v/>
      </c>
      <c r="M34" s="1797" t="n">
        <v>9470.129999999999</v>
      </c>
      <c r="N34" s="1801" t="n">
        <v>6290.01</v>
      </c>
      <c r="O34" s="615" t="n">
        <v>0</v>
      </c>
      <c r="P34" s="1793" t="n">
        <v>100</v>
      </c>
    </row>
    <row r="35" ht="15.75" customHeight="1">
      <c r="A35" s="631" t="inlineStr">
        <is>
          <t>FO23010032</t>
        </is>
      </c>
      <c r="B35" s="632" t="n">
        <v>44942</v>
      </c>
      <c r="C35" s="633" t="inlineStr">
        <is>
          <t>มัลติแบกซ์</t>
        </is>
      </c>
      <c r="D35" s="633" t="inlineStr">
        <is>
          <t>ท่าเรือแหลมฉบัง</t>
        </is>
      </c>
      <c r="E35" s="634" t="n">
        <v>11.9</v>
      </c>
      <c r="F35" s="631" t="inlineStr">
        <is>
          <t>Km</t>
        </is>
      </c>
      <c r="G35" s="635" t="inlineStr">
        <is>
          <t>รถเทรลเลอร์</t>
        </is>
      </c>
      <c r="H35" s="631" t="inlineStr">
        <is>
          <t>HAMAD, QATAR</t>
        </is>
      </c>
      <c r="I35" s="636" t="n">
        <v>5317</v>
      </c>
      <c r="J35" s="635" t="inlineStr">
        <is>
          <t>Km</t>
        </is>
      </c>
      <c r="K35" s="637" t="n">
        <v>2230</v>
      </c>
      <c r="L35" s="1798">
        <f>M35-K35</f>
        <v/>
      </c>
      <c r="M35" s="1799" t="n">
        <v>8984.799999999999</v>
      </c>
      <c r="N35" s="1800" t="n">
        <v>5739.63</v>
      </c>
      <c r="O35" s="633" t="n">
        <v>0</v>
      </c>
      <c r="P35" s="1798" t="n">
        <v>100</v>
      </c>
    </row>
    <row r="36" ht="15.75" customHeight="1">
      <c r="A36" s="625" t="inlineStr">
        <is>
          <t>FO23010033</t>
        </is>
      </c>
      <c r="B36" s="626" t="n">
        <v>44942</v>
      </c>
      <c r="C36" s="615" t="inlineStr">
        <is>
          <t>มัลติแบกซ์</t>
        </is>
      </c>
      <c r="D36" s="615" t="inlineStr">
        <is>
          <t>ท่าเรือแหลมฉบัง</t>
        </is>
      </c>
      <c r="E36" s="627" t="n">
        <v>6</v>
      </c>
      <c r="F36" s="625" t="inlineStr">
        <is>
          <t>Km</t>
        </is>
      </c>
      <c r="G36" s="628" t="inlineStr">
        <is>
          <t>รถเทรลเลอร์</t>
        </is>
      </c>
      <c r="H36" s="625" t="inlineStr">
        <is>
          <t>BUSAN, KOREA</t>
        </is>
      </c>
      <c r="I36" s="629" t="n">
        <v>3740</v>
      </c>
      <c r="J36" s="628" t="inlineStr">
        <is>
          <t>Km</t>
        </is>
      </c>
      <c r="K36" s="630" t="n">
        <v>3850</v>
      </c>
      <c r="L36" s="1793">
        <f>M36-K36</f>
        <v/>
      </c>
      <c r="M36" s="1797" t="n">
        <v>9594.440000000001</v>
      </c>
      <c r="N36" s="1801" t="n">
        <v>3798.56</v>
      </c>
      <c r="O36" s="615" t="n">
        <v>0</v>
      </c>
      <c r="P36" s="1793" t="n">
        <v>100</v>
      </c>
    </row>
    <row r="37" ht="15.75" customHeight="1">
      <c r="A37" s="631" t="inlineStr">
        <is>
          <t>FO23010034</t>
        </is>
      </c>
      <c r="B37" s="632" t="n">
        <v>44945</v>
      </c>
      <c r="C37" s="633" t="inlineStr">
        <is>
          <t>มัลติแบกซ์</t>
        </is>
      </c>
      <c r="D37" s="633" t="inlineStr">
        <is>
          <t>ท่าเรือแหลมฉบัง</t>
        </is>
      </c>
      <c r="E37" s="634" t="n">
        <v>6.5</v>
      </c>
      <c r="F37" s="631" t="inlineStr">
        <is>
          <t>Km</t>
        </is>
      </c>
      <c r="G37" s="635" t="inlineStr">
        <is>
          <t>รถเทรลเลอร์</t>
        </is>
      </c>
      <c r="H37" s="631" t="inlineStr">
        <is>
          <t>UK PORT</t>
        </is>
      </c>
      <c r="I37" s="636" t="n">
        <v>9687</v>
      </c>
      <c r="J37" s="635" t="inlineStr">
        <is>
          <t>Km</t>
        </is>
      </c>
      <c r="K37" s="637" t="n">
        <v>3630</v>
      </c>
      <c r="L37" s="1798">
        <f>M37-K37</f>
        <v/>
      </c>
      <c r="M37" s="1799" t="n">
        <v>23527</v>
      </c>
      <c r="N37" s="1800" t="n">
        <v>18561</v>
      </c>
      <c r="O37" s="633" t="n">
        <v>0</v>
      </c>
      <c r="P37" s="1798" t="n">
        <v>100</v>
      </c>
    </row>
    <row r="38" ht="15.75" customHeight="1">
      <c r="A38" s="625" t="inlineStr">
        <is>
          <t>FO23010035</t>
        </is>
      </c>
      <c r="B38" s="626" t="n">
        <v>44944</v>
      </c>
      <c r="C38" s="615" t="inlineStr">
        <is>
          <t>มัลติแบกซ์</t>
        </is>
      </c>
      <c r="D38" s="615" t="inlineStr">
        <is>
          <t>ท่าเรือแหลมฉบัง</t>
        </is>
      </c>
      <c r="E38" s="627" t="n">
        <v>6.5</v>
      </c>
      <c r="F38" s="625" t="inlineStr">
        <is>
          <t>Km</t>
        </is>
      </c>
      <c r="G38" s="628" t="inlineStr">
        <is>
          <t>รถเทรลเลอร์</t>
        </is>
      </c>
      <c r="H38" s="625" t="inlineStr">
        <is>
          <t>UK PORT</t>
        </is>
      </c>
      <c r="I38" s="629" t="n">
        <v>9687</v>
      </c>
      <c r="J38" s="628" t="inlineStr">
        <is>
          <t>Km</t>
        </is>
      </c>
      <c r="K38" s="630" t="n">
        <v>3770</v>
      </c>
      <c r="L38" s="1793">
        <f>M38-K38</f>
        <v/>
      </c>
      <c r="M38" s="1797" t="n">
        <v>23850.2</v>
      </c>
      <c r="N38" s="1801" t="n">
        <v>18565.8</v>
      </c>
      <c r="O38" s="615" t="n">
        <v>0</v>
      </c>
      <c r="P38" s="1793" t="n">
        <v>100</v>
      </c>
    </row>
    <row r="39" ht="15.75" customHeight="1">
      <c r="A39" s="631" t="inlineStr">
        <is>
          <t>FO23010036</t>
        </is>
      </c>
      <c r="B39" s="632" t="n">
        <v>44939</v>
      </c>
      <c r="C39" s="633" t="inlineStr">
        <is>
          <t>มัลติแบกซ์</t>
        </is>
      </c>
      <c r="D39" s="633" t="inlineStr">
        <is>
          <t>ท่าเรือแหลมฉบัง</t>
        </is>
      </c>
      <c r="E39" s="634" t="n">
        <v>5.2</v>
      </c>
      <c r="F39" s="631" t="inlineStr">
        <is>
          <t>Km</t>
        </is>
      </c>
      <c r="G39" s="635" t="inlineStr">
        <is>
          <t>รถเทรลเลอร์</t>
        </is>
      </c>
      <c r="H39" s="631" t="inlineStr">
        <is>
          <t>MANZANILLO, MEXICO</t>
        </is>
      </c>
      <c r="I39" s="636" t="n">
        <v>15486</v>
      </c>
      <c r="J39" s="635" t="inlineStr">
        <is>
          <t>Km</t>
        </is>
      </c>
      <c r="K39" s="637" t="n">
        <v>3800</v>
      </c>
      <c r="L39" s="1798">
        <f>M39-K39</f>
        <v/>
      </c>
      <c r="M39" s="1799" t="n">
        <v>13093.12</v>
      </c>
      <c r="N39" s="1800" t="n">
        <v>6641.12</v>
      </c>
      <c r="O39" s="633" t="n">
        <v>0</v>
      </c>
      <c r="P39" s="1798" t="n">
        <v>100</v>
      </c>
    </row>
    <row r="40" ht="15.75" customHeight="1">
      <c r="A40" s="625" t="inlineStr">
        <is>
          <t>FO23010037</t>
        </is>
      </c>
      <c r="B40" s="626" t="n">
        <v>44945</v>
      </c>
      <c r="C40" s="615" t="inlineStr">
        <is>
          <t>มัลติแบกซ์</t>
        </is>
      </c>
      <c r="D40" s="615" t="inlineStr">
        <is>
          <t>ท่าเรือแหลมฉบัง</t>
        </is>
      </c>
      <c r="E40" s="627" t="n">
        <v>6</v>
      </c>
      <c r="F40" s="625" t="inlineStr">
        <is>
          <t>Km</t>
        </is>
      </c>
      <c r="G40" s="628" t="inlineStr">
        <is>
          <t>รถเทรลเลอร์</t>
        </is>
      </c>
      <c r="H40" s="625" t="inlineStr">
        <is>
          <t>DURBAN, SOUTH AFRICA</t>
        </is>
      </c>
      <c r="I40" s="629" t="n">
        <v>8865</v>
      </c>
      <c r="J40" s="628" t="inlineStr">
        <is>
          <t>Km</t>
        </is>
      </c>
      <c r="K40" s="630" t="n">
        <v>2245</v>
      </c>
      <c r="L40" s="1793">
        <f>M40-K40</f>
        <v/>
      </c>
      <c r="M40" s="1797" t="n">
        <v>6534.5</v>
      </c>
      <c r="N40" s="1801" t="n">
        <v>3022</v>
      </c>
      <c r="O40" s="615" t="n">
        <v>0</v>
      </c>
      <c r="P40" s="1793" t="n">
        <v>100</v>
      </c>
    </row>
    <row r="41" ht="15.75" customHeight="1">
      <c r="A41" s="631" t="inlineStr">
        <is>
          <t>FO23010038</t>
        </is>
      </c>
      <c r="B41" s="632" t="n">
        <v>44939</v>
      </c>
      <c r="C41" s="633" t="inlineStr">
        <is>
          <t>มัลติแบกซ์</t>
        </is>
      </c>
      <c r="D41" s="633" t="inlineStr">
        <is>
          <t>ท่าเรือแหลมฉบัง</t>
        </is>
      </c>
      <c r="E41" s="634" t="n">
        <v>7.1</v>
      </c>
      <c r="F41" s="631" t="inlineStr">
        <is>
          <t>Km</t>
        </is>
      </c>
      <c r="G41" s="635" t="inlineStr">
        <is>
          <t>รถเทรลเลอร์</t>
        </is>
      </c>
      <c r="H41" s="631" t="inlineStr">
        <is>
          <t>COLUMBUS OHIO, USA</t>
        </is>
      </c>
      <c r="I41" s="636" t="n">
        <v>14000</v>
      </c>
      <c r="J41" s="635" t="inlineStr">
        <is>
          <t>Km</t>
        </is>
      </c>
      <c r="K41" s="637" t="n">
        <v>3700</v>
      </c>
      <c r="L41" s="1798">
        <f>M41-K41</f>
        <v/>
      </c>
      <c r="M41" s="1799" t="n">
        <v>21261.56</v>
      </c>
      <c r="N41" s="1800" t="n">
        <v>15283.2</v>
      </c>
      <c r="O41" s="633" t="n">
        <v>0</v>
      </c>
      <c r="P41" s="1798" t="n">
        <v>100</v>
      </c>
    </row>
    <row r="42" ht="15.75" customHeight="1">
      <c r="A42" s="625" t="inlineStr">
        <is>
          <t>FO23010039</t>
        </is>
      </c>
      <c r="B42" s="626" t="n">
        <v>44942</v>
      </c>
      <c r="C42" s="615" t="inlineStr">
        <is>
          <t>มัลติแบกซ์</t>
        </is>
      </c>
      <c r="D42" s="615" t="inlineStr">
        <is>
          <t>ท่าเรือแหลมฉบัง</t>
        </is>
      </c>
      <c r="E42" s="627" t="n">
        <v>7.1</v>
      </c>
      <c r="F42" s="625" t="inlineStr">
        <is>
          <t>Km</t>
        </is>
      </c>
      <c r="G42" s="628" t="inlineStr">
        <is>
          <t>รถเทรลเลอร์</t>
        </is>
      </c>
      <c r="H42" s="625" t="inlineStr">
        <is>
          <t>JEBEL ALI, UAE</t>
        </is>
      </c>
      <c r="I42" s="629" t="n">
        <v>4972</v>
      </c>
      <c r="J42" s="628" t="inlineStr">
        <is>
          <t>Km</t>
        </is>
      </c>
      <c r="K42" s="630" t="n">
        <v>2265</v>
      </c>
      <c r="L42" s="1793">
        <f>M42-K42</f>
        <v/>
      </c>
      <c r="M42" s="1797" t="n">
        <v>7196.6</v>
      </c>
      <c r="N42" s="1801" t="n">
        <v>3619.2</v>
      </c>
      <c r="O42" s="615" t="n">
        <v>0</v>
      </c>
      <c r="P42" s="1793" t="n">
        <v>100</v>
      </c>
    </row>
    <row r="43" ht="15.75" customHeight="1">
      <c r="A43" s="631" t="inlineStr">
        <is>
          <t>FO23010040</t>
        </is>
      </c>
      <c r="B43" s="632" t="n">
        <v>44942</v>
      </c>
      <c r="C43" s="633" t="inlineStr">
        <is>
          <t>มัลติแบกซ์</t>
        </is>
      </c>
      <c r="D43" s="633" t="inlineStr">
        <is>
          <t>ท่าเรือแหลมฉบัง</t>
        </is>
      </c>
      <c r="E43" s="634" t="n">
        <v>6</v>
      </c>
      <c r="F43" s="631" t="inlineStr">
        <is>
          <t>Km</t>
        </is>
      </c>
      <c r="G43" s="635" t="inlineStr">
        <is>
          <t>รถเทรลเลอร์</t>
        </is>
      </c>
      <c r="H43" s="631" t="inlineStr">
        <is>
          <t>JEBEL ALI, UAE</t>
        </is>
      </c>
      <c r="I43" s="636" t="n">
        <v>4972</v>
      </c>
      <c r="J43" s="635" t="inlineStr">
        <is>
          <t>Km</t>
        </is>
      </c>
      <c r="K43" s="637" t="n">
        <v>3900</v>
      </c>
      <c r="L43" s="1798">
        <f>M43-K43</f>
        <v/>
      </c>
      <c r="M43" s="1799" t="n">
        <v>11118.61</v>
      </c>
      <c r="N43" s="1800" t="n">
        <v>5213.46</v>
      </c>
      <c r="O43" s="633" t="n">
        <v>0</v>
      </c>
      <c r="P43" s="1798" t="n">
        <v>100</v>
      </c>
    </row>
    <row r="44" ht="15.75" customHeight="1">
      <c r="A44" s="625" t="inlineStr">
        <is>
          <t>FO23010041</t>
        </is>
      </c>
      <c r="B44" s="626" t="n">
        <v>44942</v>
      </c>
      <c r="C44" s="615" t="inlineStr">
        <is>
          <t>มัลติแบกซ์</t>
        </is>
      </c>
      <c r="D44" s="615" t="inlineStr">
        <is>
          <t>ท่าเรือแหลมฉบัง</t>
        </is>
      </c>
      <c r="E44" s="627" t="n">
        <v>6.5</v>
      </c>
      <c r="F44" s="625" t="inlineStr">
        <is>
          <t>Km</t>
        </is>
      </c>
      <c r="G44" s="628" t="inlineStr">
        <is>
          <t>รถเทรลเลอร์</t>
        </is>
      </c>
      <c r="H44" s="625" t="inlineStr">
        <is>
          <t>CARROLLTON TX, USA</t>
        </is>
      </c>
      <c r="I44" s="629" t="n">
        <v>14544</v>
      </c>
      <c r="J44" s="628" t="inlineStr">
        <is>
          <t>Km</t>
        </is>
      </c>
      <c r="K44" s="630" t="n">
        <v>3850</v>
      </c>
      <c r="L44" s="1793">
        <f>M44-K44</f>
        <v/>
      </c>
      <c r="M44" s="1797" t="n">
        <v>18689</v>
      </c>
      <c r="N44" s="1801" t="n">
        <v>12511.2</v>
      </c>
      <c r="O44" s="615" t="n">
        <v>0</v>
      </c>
      <c r="P44" s="1793" t="n">
        <v>100</v>
      </c>
    </row>
    <row r="45" ht="15.75" customHeight="1">
      <c r="A45" s="631" t="inlineStr">
        <is>
          <t>FO23010042</t>
        </is>
      </c>
      <c r="B45" s="632" t="n">
        <v>44952</v>
      </c>
      <c r="C45" s="633" t="inlineStr">
        <is>
          <t>มัลติแบกซ์</t>
        </is>
      </c>
      <c r="D45" s="633" t="inlineStr">
        <is>
          <t>ท่าเรือแหลมฉบัง</t>
        </is>
      </c>
      <c r="E45" s="634" t="n">
        <v>11.9</v>
      </c>
      <c r="F45" s="631" t="inlineStr">
        <is>
          <t>Km</t>
        </is>
      </c>
      <c r="G45" s="635" t="inlineStr">
        <is>
          <t>รถเทรลเลอร์</t>
        </is>
      </c>
      <c r="H45" s="631" t="inlineStr">
        <is>
          <t>AUCKLAND, NEW ZEALAND</t>
        </is>
      </c>
      <c r="I45" s="636" t="n">
        <v>9486</v>
      </c>
      <c r="J45" s="635" t="inlineStr">
        <is>
          <t>Km</t>
        </is>
      </c>
      <c r="K45" s="637" t="n">
        <v>3910</v>
      </c>
      <c r="L45" s="1798">
        <f>M45-K45</f>
        <v/>
      </c>
      <c r="M45" s="1799" t="n">
        <v>23517.85</v>
      </c>
      <c r="N45" s="1800" t="n">
        <v>15982.1</v>
      </c>
      <c r="O45" s="633" t="n">
        <v>0</v>
      </c>
      <c r="P45" s="1798" t="n">
        <v>100</v>
      </c>
    </row>
    <row r="46" ht="15.75" customHeight="1">
      <c r="A46" s="625" t="inlineStr">
        <is>
          <t>FO23010043</t>
        </is>
      </c>
      <c r="B46" s="626" t="n">
        <v>44943</v>
      </c>
      <c r="C46" s="615" t="inlineStr">
        <is>
          <t>มัลติแบกซ์</t>
        </is>
      </c>
      <c r="D46" s="615" t="inlineStr">
        <is>
          <t>ท่าเรือแหลมฉบัง</t>
        </is>
      </c>
      <c r="E46" s="627" t="n">
        <v>6.2</v>
      </c>
      <c r="F46" s="625" t="inlineStr">
        <is>
          <t>Km</t>
        </is>
      </c>
      <c r="G46" s="628" t="inlineStr">
        <is>
          <t>รถเทรลเลอร์</t>
        </is>
      </c>
      <c r="H46" s="625" t="inlineStr">
        <is>
          <t>SOUTH BOSTON VA, USA</t>
        </is>
      </c>
      <c r="I46" s="629" t="n">
        <v>13787</v>
      </c>
      <c r="J46" s="628" t="inlineStr">
        <is>
          <t>Km</t>
        </is>
      </c>
      <c r="K46" s="630" t="n">
        <v>3770</v>
      </c>
      <c r="L46" s="1793">
        <f>M46-K46</f>
        <v/>
      </c>
      <c r="M46" s="1797" t="n">
        <v>16385</v>
      </c>
      <c r="N46" s="1801" t="n">
        <v>8688.6</v>
      </c>
      <c r="O46" s="615" t="n">
        <v>0</v>
      </c>
      <c r="P46" s="1793" t="n">
        <v>100</v>
      </c>
    </row>
    <row r="47" ht="15.75" customHeight="1">
      <c r="A47" s="631" t="inlineStr">
        <is>
          <t>FO23010044</t>
        </is>
      </c>
      <c r="B47" s="632" t="n">
        <v>44949</v>
      </c>
      <c r="C47" s="633" t="inlineStr">
        <is>
          <t>มัลติแบกซ์</t>
        </is>
      </c>
      <c r="D47" s="633" t="inlineStr">
        <is>
          <t>ท่าเรือแหลมฉบัง</t>
        </is>
      </c>
      <c r="E47" s="634" t="n">
        <v>5.2</v>
      </c>
      <c r="F47" s="631" t="inlineStr">
        <is>
          <t>Km</t>
        </is>
      </c>
      <c r="G47" s="635" t="inlineStr">
        <is>
          <t>รถเทรลเลอร์</t>
        </is>
      </c>
      <c r="H47" s="631" t="inlineStr">
        <is>
          <t>JACKSONVILLE IL, USA</t>
        </is>
      </c>
      <c r="I47" s="636" t="n">
        <v>15168</v>
      </c>
      <c r="J47" s="635" t="inlineStr">
        <is>
          <t>Km</t>
        </is>
      </c>
      <c r="K47" s="637" t="n">
        <v>3810</v>
      </c>
      <c r="L47" s="1798">
        <f>M47-K47</f>
        <v/>
      </c>
      <c r="M47" s="1799" t="n">
        <v>23699.28</v>
      </c>
      <c r="N47" s="1800" t="n">
        <v>16872</v>
      </c>
      <c r="O47" s="633" t="n">
        <v>0</v>
      </c>
      <c r="P47" s="1798" t="n">
        <v>100</v>
      </c>
    </row>
    <row r="48" ht="15.75" customHeight="1">
      <c r="A48" s="625" t="inlineStr">
        <is>
          <t>FO23010045</t>
        </is>
      </c>
      <c r="B48" s="626" t="n">
        <v>44949</v>
      </c>
      <c r="C48" s="615" t="inlineStr">
        <is>
          <t>มัลติแบกซ์</t>
        </is>
      </c>
      <c r="D48" s="615" t="inlineStr">
        <is>
          <t>ท่าเรือแหลมฉบัง</t>
        </is>
      </c>
      <c r="E48" s="627" t="n">
        <v>102</v>
      </c>
      <c r="F48" s="625" t="inlineStr">
        <is>
          <t>Km</t>
        </is>
      </c>
      <c r="G48" s="628" t="inlineStr">
        <is>
          <t>รถเทรลเลอร์</t>
        </is>
      </c>
      <c r="H48" s="625" t="inlineStr">
        <is>
          <t>JEBEL ALI, UAE</t>
        </is>
      </c>
      <c r="I48" s="629" t="n">
        <v>4972</v>
      </c>
      <c r="J48" s="628" t="inlineStr">
        <is>
          <t>Km</t>
        </is>
      </c>
      <c r="K48" s="630" t="n">
        <v>3700</v>
      </c>
      <c r="L48" s="1793">
        <f>M48-K48</f>
        <v/>
      </c>
      <c r="M48" s="1797" t="n">
        <v>18015.6</v>
      </c>
      <c r="N48" s="1801" t="n">
        <v>11882.6</v>
      </c>
      <c r="O48" s="615" t="n">
        <v>0</v>
      </c>
      <c r="P48" s="1793" t="n">
        <v>100</v>
      </c>
    </row>
    <row r="49" ht="15.75" customHeight="1">
      <c r="A49" s="631" t="inlineStr">
        <is>
          <t>FO23010046</t>
        </is>
      </c>
      <c r="B49" s="632" t="n">
        <v>44949</v>
      </c>
      <c r="C49" s="633" t="inlineStr">
        <is>
          <t>มัลติแบกซ์</t>
        </is>
      </c>
      <c r="D49" s="633" t="inlineStr">
        <is>
          <t>ท่าเรือแหลมฉบัง</t>
        </is>
      </c>
      <c r="E49" s="634" t="n">
        <v>6</v>
      </c>
      <c r="F49" s="631" t="inlineStr">
        <is>
          <t>Km</t>
        </is>
      </c>
      <c r="G49" s="635" t="inlineStr">
        <is>
          <t>รถเทรลเลอร์</t>
        </is>
      </c>
      <c r="H49" s="631" t="inlineStr">
        <is>
          <t>JEBEL ALI, UAE</t>
        </is>
      </c>
      <c r="I49" s="636" t="n">
        <v>4972</v>
      </c>
      <c r="J49" s="635" t="inlineStr">
        <is>
          <t>Km</t>
        </is>
      </c>
      <c r="K49" s="637" t="n">
        <v>2150</v>
      </c>
      <c r="L49" s="1798">
        <f>M49-K49</f>
        <v/>
      </c>
      <c r="M49" s="1799" t="n">
        <v>7081.6</v>
      </c>
      <c r="N49" s="1800" t="n">
        <v>3619.2</v>
      </c>
      <c r="O49" s="633" t="n">
        <v>0</v>
      </c>
      <c r="P49" s="1798" t="n">
        <v>100</v>
      </c>
    </row>
    <row r="50" ht="15.75" customHeight="1">
      <c r="A50" s="625" t="inlineStr">
        <is>
          <t>FO23010047</t>
        </is>
      </c>
      <c r="B50" s="626" t="n">
        <v>44949</v>
      </c>
      <c r="C50" s="615" t="inlineStr">
        <is>
          <t>มัลติแบกซ์</t>
        </is>
      </c>
      <c r="D50" s="615" t="inlineStr">
        <is>
          <t>ท่าเรือแหลมฉบัง</t>
        </is>
      </c>
      <c r="E50" s="627" t="n">
        <v>6</v>
      </c>
      <c r="F50" s="625" t="inlineStr">
        <is>
          <t>Km</t>
        </is>
      </c>
      <c r="G50" s="628" t="inlineStr">
        <is>
          <t>รถเทรลเลอร์</t>
        </is>
      </c>
      <c r="H50" s="625" t="inlineStr">
        <is>
          <t>JEBEL ALI, UAE</t>
        </is>
      </c>
      <c r="I50" s="629" t="n">
        <v>4972</v>
      </c>
      <c r="J50" s="628" t="inlineStr">
        <is>
          <t>Km</t>
        </is>
      </c>
      <c r="K50" s="630" t="n">
        <v>3670</v>
      </c>
      <c r="L50" s="1793">
        <f>M50-K50</f>
        <v/>
      </c>
      <c r="M50" s="1797" t="n">
        <v>11734.53</v>
      </c>
      <c r="N50" s="1801" t="n">
        <v>5985.95</v>
      </c>
      <c r="O50" s="615" t="n">
        <v>0</v>
      </c>
      <c r="P50" s="1793" t="n">
        <v>100</v>
      </c>
    </row>
    <row r="51" ht="15.75" customHeight="1">
      <c r="A51" s="631" t="inlineStr">
        <is>
          <t>FO23010048</t>
        </is>
      </c>
      <c r="B51" s="632" t="n">
        <v>44943</v>
      </c>
      <c r="C51" s="633" t="inlineStr">
        <is>
          <t>มัลติแบกซ์</t>
        </is>
      </c>
      <c r="D51" s="633" t="inlineStr">
        <is>
          <t>ท่าเรือแหลมฉบัง</t>
        </is>
      </c>
      <c r="E51" s="634" t="n">
        <v>6.2</v>
      </c>
      <c r="F51" s="631" t="inlineStr">
        <is>
          <t>Km</t>
        </is>
      </c>
      <c r="G51" s="635" t="inlineStr">
        <is>
          <t>รถเทรลเลอร์</t>
        </is>
      </c>
      <c r="H51" s="631" t="inlineStr">
        <is>
          <t>GUANGZHOU, CHINA</t>
        </is>
      </c>
      <c r="I51" s="636" t="n">
        <v>2597</v>
      </c>
      <c r="J51" s="635" t="inlineStr">
        <is>
          <t>Km</t>
        </is>
      </c>
      <c r="K51" s="637" t="n">
        <v>2140</v>
      </c>
      <c r="L51" s="1798">
        <f>M51-K51</f>
        <v/>
      </c>
      <c r="M51" s="1799" t="n">
        <v>7116</v>
      </c>
      <c r="N51" s="1800" t="n">
        <v>3721</v>
      </c>
      <c r="O51" s="633" t="n">
        <v>0</v>
      </c>
      <c r="P51" s="1798" t="n">
        <v>100</v>
      </c>
    </row>
    <row r="52" ht="15.75" customHeight="1">
      <c r="A52" s="625" t="inlineStr">
        <is>
          <t>FO23010049</t>
        </is>
      </c>
      <c r="B52" s="626" t="n">
        <v>44956</v>
      </c>
      <c r="C52" s="615" t="inlineStr">
        <is>
          <t>มัลติแบกซ์</t>
        </is>
      </c>
      <c r="D52" s="615" t="inlineStr">
        <is>
          <t>ท่าเรือแหลมฉบัง</t>
        </is>
      </c>
      <c r="E52" s="627" t="n">
        <v>6.2</v>
      </c>
      <c r="F52" s="625" t="inlineStr">
        <is>
          <t>Km</t>
        </is>
      </c>
      <c r="G52" s="628" t="inlineStr">
        <is>
          <t>รถเทรลเลอร์</t>
        </is>
      </c>
      <c r="H52" s="625" t="inlineStr">
        <is>
          <t>SOUTH BOSTON VA, USA</t>
        </is>
      </c>
      <c r="I52" s="629" t="n">
        <v>13787</v>
      </c>
      <c r="J52" s="628" t="inlineStr">
        <is>
          <t>Km</t>
        </is>
      </c>
      <c r="K52" s="630" t="n">
        <v>3850</v>
      </c>
      <c r="L52" s="1793">
        <f>M52-K52</f>
        <v/>
      </c>
      <c r="M52" s="1797" t="n">
        <v>17672</v>
      </c>
      <c r="N52" s="1801" t="n">
        <v>11280</v>
      </c>
      <c r="O52" s="615" t="n">
        <v>0</v>
      </c>
      <c r="P52" s="1793" t="n">
        <v>100</v>
      </c>
    </row>
    <row r="53" ht="15.75" customHeight="1">
      <c r="A53" s="631" t="inlineStr">
        <is>
          <t>FO23010050</t>
        </is>
      </c>
      <c r="B53" s="632" t="n">
        <v>44949</v>
      </c>
      <c r="C53" s="633" t="inlineStr">
        <is>
          <t>มัลติแบกซ์</t>
        </is>
      </c>
      <c r="D53" s="633" t="inlineStr">
        <is>
          <t>ท่าเรือแหลมฉบัง</t>
        </is>
      </c>
      <c r="E53" s="634" t="n">
        <v>4.1</v>
      </c>
      <c r="F53" s="631" t="inlineStr">
        <is>
          <t>Km</t>
        </is>
      </c>
      <c r="G53" s="635" t="inlineStr">
        <is>
          <t>รถเทรลเลอร์</t>
        </is>
      </c>
      <c r="H53" s="631" t="inlineStr">
        <is>
          <t>UK PORT</t>
        </is>
      </c>
      <c r="I53" s="636" t="n">
        <v>9687</v>
      </c>
      <c r="J53" s="635" t="inlineStr">
        <is>
          <t>Km</t>
        </is>
      </c>
      <c r="K53" s="637" t="n">
        <v>2170</v>
      </c>
      <c r="L53" s="1798">
        <f>M53-K53</f>
        <v/>
      </c>
      <c r="M53" s="1799" t="n">
        <v>7947</v>
      </c>
      <c r="N53" s="1800" t="n">
        <v>4550</v>
      </c>
      <c r="O53" s="633" t="n">
        <v>0</v>
      </c>
      <c r="P53" s="1798" t="n">
        <v>100</v>
      </c>
    </row>
    <row r="54" ht="15.75" customHeight="1">
      <c r="A54" s="625" t="inlineStr">
        <is>
          <t>FO23010051</t>
        </is>
      </c>
      <c r="B54" s="626" t="n">
        <v>44957</v>
      </c>
      <c r="C54" s="615" t="inlineStr">
        <is>
          <t>มัลติแบกซ์</t>
        </is>
      </c>
      <c r="D54" s="615" t="inlineStr">
        <is>
          <t>ท่าเรือแหลมฉบัง</t>
        </is>
      </c>
      <c r="E54" s="627" t="n">
        <v>6.2</v>
      </c>
      <c r="F54" s="625" t="inlineStr">
        <is>
          <t>Km</t>
        </is>
      </c>
      <c r="G54" s="628" t="inlineStr">
        <is>
          <t>รถเทรลเลอร์</t>
        </is>
      </c>
      <c r="H54" s="625" t="inlineStr">
        <is>
          <t>SYDNEY, AUSTRALIA</t>
        </is>
      </c>
      <c r="I54" s="629" t="n">
        <v>7448</v>
      </c>
      <c r="J54" s="628" t="inlineStr">
        <is>
          <t>Km</t>
        </is>
      </c>
      <c r="K54" s="630" t="n">
        <v>3700</v>
      </c>
      <c r="L54" s="1793">
        <f>M54-K54</f>
        <v/>
      </c>
      <c r="M54" s="1797" t="n">
        <v>29072.75</v>
      </c>
      <c r="N54" s="1802" t="n">
        <v>19947.36</v>
      </c>
      <c r="O54" s="615" t="n">
        <v>0</v>
      </c>
      <c r="P54" s="1793" t="n">
        <v>100</v>
      </c>
    </row>
    <row r="55" ht="15.75" customHeight="1">
      <c r="A55" s="631" t="inlineStr">
        <is>
          <t>FO23010052</t>
        </is>
      </c>
      <c r="B55" s="632" t="n">
        <v>44951</v>
      </c>
      <c r="C55" s="633" t="inlineStr">
        <is>
          <t>มัลติแบกซ์</t>
        </is>
      </c>
      <c r="D55" s="633" t="inlineStr">
        <is>
          <t>ท่าเรือแหลมฉบัง</t>
        </is>
      </c>
      <c r="E55" s="634" t="n">
        <v>7.1</v>
      </c>
      <c r="F55" s="631" t="inlineStr">
        <is>
          <t>Km</t>
        </is>
      </c>
      <c r="G55" s="635" t="inlineStr">
        <is>
          <t>รถเทรลเลอร์</t>
        </is>
      </c>
      <c r="H55" s="631" t="inlineStr">
        <is>
          <t>COLUMBUS OHIO, USA</t>
        </is>
      </c>
      <c r="I55" s="636" t="n">
        <v>14000</v>
      </c>
      <c r="J55" s="635" t="inlineStr">
        <is>
          <t>Km</t>
        </is>
      </c>
      <c r="K55" s="637" t="n">
        <v>3890</v>
      </c>
      <c r="L55" s="1798">
        <f>M55-K55</f>
        <v/>
      </c>
      <c r="M55" s="1799" t="n">
        <v>23520.77</v>
      </c>
      <c r="N55" s="1800" t="n">
        <v>17135.17</v>
      </c>
      <c r="O55" s="633" t="n">
        <v>0</v>
      </c>
      <c r="P55" s="1798" t="n">
        <v>100</v>
      </c>
    </row>
    <row r="56" ht="15.75" customHeight="1">
      <c r="A56" s="625" t="inlineStr">
        <is>
          <t>FO23010053</t>
        </is>
      </c>
      <c r="B56" s="626" t="n">
        <v>44953</v>
      </c>
      <c r="C56" s="615" t="inlineStr">
        <is>
          <t>มัลติแบกซ์</t>
        </is>
      </c>
      <c r="D56" s="615" t="inlineStr">
        <is>
          <t>ท่าเรือแหลมฉบัง</t>
        </is>
      </c>
      <c r="E56" s="627" t="n">
        <v>5.3</v>
      </c>
      <c r="F56" s="625" t="inlineStr">
        <is>
          <t>Km</t>
        </is>
      </c>
      <c r="G56" s="628" t="inlineStr">
        <is>
          <t>รถเทรลเลอร์</t>
        </is>
      </c>
      <c r="H56" s="625" t="inlineStr">
        <is>
          <t>HONG KONG</t>
        </is>
      </c>
      <c r="I56" s="629" t="n">
        <v>1734</v>
      </c>
      <c r="J56" s="628" t="inlineStr">
        <is>
          <t>Km</t>
        </is>
      </c>
      <c r="K56" s="630" t="n">
        <v>3760</v>
      </c>
      <c r="L56" s="1793">
        <f>M56-K56</f>
        <v/>
      </c>
      <c r="M56" s="1797" t="n">
        <v>14203</v>
      </c>
      <c r="N56" s="1801" t="n">
        <v>7915.5</v>
      </c>
      <c r="O56" s="615" t="n">
        <v>0</v>
      </c>
      <c r="P56" s="1793" t="n">
        <v>100</v>
      </c>
    </row>
    <row r="57" ht="15.75" customHeight="1">
      <c r="A57" s="631" t="inlineStr">
        <is>
          <t>FO23010054</t>
        </is>
      </c>
      <c r="B57" s="632" t="n">
        <v>44952</v>
      </c>
      <c r="C57" s="633" t="inlineStr">
        <is>
          <t>มัลติแบกซ์</t>
        </is>
      </c>
      <c r="D57" s="633" t="inlineStr">
        <is>
          <t>ท่าเรือแหลมฉบัง</t>
        </is>
      </c>
      <c r="E57" s="634" t="n">
        <v>3.6</v>
      </c>
      <c r="F57" s="631" t="inlineStr">
        <is>
          <t>Km</t>
        </is>
      </c>
      <c r="G57" s="635" t="inlineStr">
        <is>
          <t>รถเทรลเลอร์</t>
        </is>
      </c>
      <c r="H57" s="631" t="inlineStr">
        <is>
          <t>NINGBO, CHINA</t>
        </is>
      </c>
      <c r="I57" s="636" t="n">
        <v>3824</v>
      </c>
      <c r="J57" s="635" t="inlineStr">
        <is>
          <t>Km</t>
        </is>
      </c>
      <c r="K57" s="637" t="n">
        <v>3850</v>
      </c>
      <c r="L57" s="1798">
        <f>M57-K57</f>
        <v/>
      </c>
      <c r="M57" s="1799" t="n">
        <v>15202.41</v>
      </c>
      <c r="N57" s="1800" t="n">
        <v>8515.290000000001</v>
      </c>
      <c r="O57" s="633" t="n">
        <v>0</v>
      </c>
      <c r="P57" s="1798" t="n">
        <v>100</v>
      </c>
    </row>
    <row r="58" ht="15.75" customHeight="1">
      <c r="A58" s="625" t="inlineStr">
        <is>
          <t>FO23010055</t>
        </is>
      </c>
      <c r="B58" s="626" t="n">
        <v>44951</v>
      </c>
      <c r="C58" s="615" t="inlineStr">
        <is>
          <t>มัลติแบกซ์</t>
        </is>
      </c>
      <c r="D58" s="615" t="inlineStr">
        <is>
          <t>ท่าเรือแหลมฉบัง</t>
        </is>
      </c>
      <c r="E58" s="627" t="n">
        <v>7.1</v>
      </c>
      <c r="F58" s="625" t="inlineStr">
        <is>
          <t>Km</t>
        </is>
      </c>
      <c r="G58" s="628" t="inlineStr">
        <is>
          <t>รถเทรลเลอร์</t>
        </is>
      </c>
      <c r="H58" s="625" t="inlineStr">
        <is>
          <t>SANTA TERESA, NM USA</t>
        </is>
      </c>
      <c r="I58" s="629" t="n">
        <v>17387</v>
      </c>
      <c r="J58" s="628" t="inlineStr">
        <is>
          <t>Km</t>
        </is>
      </c>
      <c r="K58" s="630" t="n">
        <v>3800</v>
      </c>
      <c r="L58" s="1793">
        <f>M58-K58</f>
        <v/>
      </c>
      <c r="M58" s="1797" t="n">
        <v>22454.57</v>
      </c>
      <c r="N58" s="1801" t="n">
        <v>15940.41</v>
      </c>
      <c r="O58" s="615" t="n">
        <v>0</v>
      </c>
      <c r="P58" s="1793" t="n">
        <v>100</v>
      </c>
    </row>
    <row r="59" ht="15.75" customHeight="1">
      <c r="A59" s="631" t="inlineStr">
        <is>
          <t>FO23010056</t>
        </is>
      </c>
      <c r="B59" s="632" t="n">
        <v>44953</v>
      </c>
      <c r="C59" s="633" t="inlineStr">
        <is>
          <t>มัลติแบกซ์</t>
        </is>
      </c>
      <c r="D59" s="633" t="inlineStr">
        <is>
          <t>ท่าเรือแหลมฉบัง</t>
        </is>
      </c>
      <c r="E59" s="634" t="n">
        <v>6.2</v>
      </c>
      <c r="F59" s="631" t="inlineStr">
        <is>
          <t>Km</t>
        </is>
      </c>
      <c r="G59" s="635" t="inlineStr">
        <is>
          <t>รถเทรลเลอร์</t>
        </is>
      </c>
      <c r="H59" s="631" t="inlineStr">
        <is>
          <t>JACKSONVILLE IL, USA</t>
        </is>
      </c>
      <c r="I59" s="636" t="n">
        <v>15168</v>
      </c>
      <c r="J59" s="635" t="inlineStr">
        <is>
          <t>Km</t>
        </is>
      </c>
      <c r="K59" s="637" t="n">
        <v>3830</v>
      </c>
      <c r="L59" s="1798">
        <f>M59-K59</f>
        <v/>
      </c>
      <c r="M59" s="1799" t="n">
        <v>23719.28</v>
      </c>
      <c r="N59" s="1800" t="n">
        <v>16872</v>
      </c>
      <c r="O59" s="633" t="n">
        <v>0</v>
      </c>
      <c r="P59" s="1798" t="n">
        <v>100</v>
      </c>
    </row>
    <row r="60" ht="15.75" customHeight="1">
      <c r="A60" s="625" t="inlineStr">
        <is>
          <t>FO23010057</t>
        </is>
      </c>
      <c r="B60" s="626" t="n">
        <v>44953</v>
      </c>
      <c r="C60" s="615" t="inlineStr">
        <is>
          <t>มัลติแบกซ์</t>
        </is>
      </c>
      <c r="D60" s="615" t="inlineStr">
        <is>
          <t>ท่าเรือแหลมฉบัง</t>
        </is>
      </c>
      <c r="E60" s="627" t="n">
        <v>6.2</v>
      </c>
      <c r="F60" s="625" t="inlineStr">
        <is>
          <t>Km</t>
        </is>
      </c>
      <c r="G60" s="628" t="inlineStr">
        <is>
          <t>รถเทรลเลอร์</t>
        </is>
      </c>
      <c r="H60" s="625" t="inlineStr">
        <is>
          <t>JACKSONVILLE IL, USA</t>
        </is>
      </c>
      <c r="I60" s="629" t="n">
        <v>15168</v>
      </c>
      <c r="J60" s="628" t="inlineStr">
        <is>
          <t>Km</t>
        </is>
      </c>
      <c r="K60" s="630" t="n">
        <v>3700</v>
      </c>
      <c r="L60" s="1793">
        <f>M60-K60</f>
        <v/>
      </c>
      <c r="M60" s="1797" t="n">
        <v>23589.28</v>
      </c>
      <c r="N60" s="1801" t="n">
        <v>16872</v>
      </c>
      <c r="O60" s="615" t="n">
        <v>0</v>
      </c>
      <c r="P60" s="1793" t="n">
        <v>100</v>
      </c>
    </row>
    <row r="61" ht="15.75" customHeight="1">
      <c r="A61" s="631" t="inlineStr">
        <is>
          <t>FO23010058</t>
        </is>
      </c>
      <c r="B61" s="632" t="n">
        <v>44953</v>
      </c>
      <c r="C61" s="633" t="inlineStr">
        <is>
          <t>มัลติแบกซ์</t>
        </is>
      </c>
      <c r="D61" s="633" t="inlineStr">
        <is>
          <t>ท่าเรือแหลมฉบัง</t>
        </is>
      </c>
      <c r="E61" s="634" t="n">
        <v>6.2</v>
      </c>
      <c r="F61" s="631" t="inlineStr">
        <is>
          <t>Km</t>
        </is>
      </c>
      <c r="G61" s="635" t="inlineStr">
        <is>
          <t>รถเทรลเลอร์</t>
        </is>
      </c>
      <c r="H61" s="631" t="inlineStr">
        <is>
          <t>JACKSONVILLE IL, USA</t>
        </is>
      </c>
      <c r="I61" s="636" t="n">
        <v>15168</v>
      </c>
      <c r="J61" s="635" t="inlineStr">
        <is>
          <t>Km</t>
        </is>
      </c>
      <c r="K61" s="637" t="n">
        <v>3870</v>
      </c>
      <c r="L61" s="1798">
        <f>M61-K61</f>
        <v/>
      </c>
      <c r="M61" s="1799" t="n">
        <v>21007</v>
      </c>
      <c r="N61" s="1800" t="n">
        <v>13759.2</v>
      </c>
      <c r="O61" s="633" t="n">
        <v>0</v>
      </c>
      <c r="P61" s="1798" t="n">
        <v>100</v>
      </c>
    </row>
    <row r="62" ht="15.75" customHeight="1">
      <c r="A62" s="625" t="inlineStr">
        <is>
          <t>FO23010059</t>
        </is>
      </c>
      <c r="B62" s="626" t="n">
        <v>44953</v>
      </c>
      <c r="C62" s="615" t="inlineStr">
        <is>
          <t>มัลติแบกซ์</t>
        </is>
      </c>
      <c r="D62" s="615" t="inlineStr">
        <is>
          <t>ท่าเรือแหลมฉบัง</t>
        </is>
      </c>
      <c r="E62" s="627" t="n">
        <v>6.2</v>
      </c>
      <c r="F62" s="625" t="inlineStr">
        <is>
          <t>Km</t>
        </is>
      </c>
      <c r="G62" s="628" t="inlineStr">
        <is>
          <t>รถเทรลเลอร์</t>
        </is>
      </c>
      <c r="H62" s="625" t="inlineStr">
        <is>
          <t>JACKSONVILLE IL, USA</t>
        </is>
      </c>
      <c r="I62" s="629" t="n">
        <v>15168</v>
      </c>
      <c r="J62" s="628" t="inlineStr">
        <is>
          <t>Km</t>
        </is>
      </c>
      <c r="K62" s="630" t="n">
        <v>3720</v>
      </c>
      <c r="L62" s="1793">
        <f>M62-K62</f>
        <v/>
      </c>
      <c r="M62" s="1797" t="n">
        <v>22470</v>
      </c>
      <c r="N62" s="1801" t="n">
        <v>14962.5</v>
      </c>
      <c r="O62" s="615" t="n">
        <v>0</v>
      </c>
      <c r="P62" s="1793" t="n">
        <v>100</v>
      </c>
    </row>
    <row r="63" ht="15.75" customHeight="1">
      <c r="A63" s="631" t="inlineStr">
        <is>
          <t>FO23010060</t>
        </is>
      </c>
      <c r="B63" s="632" t="n">
        <v>44953</v>
      </c>
      <c r="C63" s="633" t="inlineStr">
        <is>
          <t>มัลติแบกซ์</t>
        </is>
      </c>
      <c r="D63" s="633" t="inlineStr">
        <is>
          <t>ท่าเรือแหลมฉบัง</t>
        </is>
      </c>
      <c r="E63" s="634" t="n">
        <v>6.2</v>
      </c>
      <c r="F63" s="631" t="inlineStr">
        <is>
          <t>Km</t>
        </is>
      </c>
      <c r="G63" s="635" t="inlineStr">
        <is>
          <t>รถเทรลเลอร์</t>
        </is>
      </c>
      <c r="H63" s="631" t="inlineStr">
        <is>
          <t>APPLETON WI , USA</t>
        </is>
      </c>
      <c r="I63" s="636" t="n">
        <v>13558</v>
      </c>
      <c r="J63" s="635" t="inlineStr">
        <is>
          <t>Km</t>
        </is>
      </c>
      <c r="K63" s="637" t="n">
        <v>3860</v>
      </c>
      <c r="L63" s="1798">
        <f>M63-K63</f>
        <v/>
      </c>
      <c r="M63" s="1799" t="n">
        <v>18865</v>
      </c>
      <c r="N63" s="1800" t="n">
        <v>12414</v>
      </c>
      <c r="O63" s="633" t="n">
        <v>0</v>
      </c>
      <c r="P63" s="1798" t="n">
        <v>100</v>
      </c>
    </row>
    <row r="64" ht="15.75" customHeight="1">
      <c r="A64" s="625" t="inlineStr">
        <is>
          <t>FO23010061</t>
        </is>
      </c>
      <c r="B64" s="626" t="n">
        <v>44953</v>
      </c>
      <c r="C64" s="615" t="inlineStr">
        <is>
          <t>มัลติแบกซ์</t>
        </is>
      </c>
      <c r="D64" s="615" t="inlineStr">
        <is>
          <t>ท่าเรือแหลมฉบัง</t>
        </is>
      </c>
      <c r="E64" s="627" t="n">
        <v>6.2</v>
      </c>
      <c r="F64" s="625" t="inlineStr">
        <is>
          <t>Km</t>
        </is>
      </c>
      <c r="G64" s="628" t="inlineStr">
        <is>
          <t>รถเทรลเลอร์</t>
        </is>
      </c>
      <c r="H64" s="625" t="inlineStr">
        <is>
          <t>JACKSONVILLE IL, USA</t>
        </is>
      </c>
      <c r="I64" s="629" t="n">
        <v>15168</v>
      </c>
      <c r="J64" s="628" t="inlineStr">
        <is>
          <t>Km</t>
        </is>
      </c>
      <c r="K64" s="630" t="n">
        <v>3700</v>
      </c>
      <c r="L64" s="1793">
        <f>M64-K64</f>
        <v/>
      </c>
      <c r="M64" s="1797" t="n">
        <v>20777</v>
      </c>
      <c r="N64" s="1801" t="n">
        <v>15333.35</v>
      </c>
      <c r="O64" s="615" t="n">
        <v>0</v>
      </c>
      <c r="P64" s="1793" t="n">
        <v>100</v>
      </c>
    </row>
    <row r="65" ht="15.75" customHeight="1">
      <c r="A65" s="631" t="inlineStr">
        <is>
          <t>FO23010062</t>
        </is>
      </c>
      <c r="B65" s="632" t="n">
        <v>44953</v>
      </c>
      <c r="C65" s="633" t="inlineStr">
        <is>
          <t>มัลติแบกซ์</t>
        </is>
      </c>
      <c r="D65" s="633" t="inlineStr">
        <is>
          <t>ท่าเรือแหลมฉบัง</t>
        </is>
      </c>
      <c r="E65" s="634" t="n">
        <v>6.2</v>
      </c>
      <c r="F65" s="631" t="inlineStr">
        <is>
          <t>Km</t>
        </is>
      </c>
      <c r="G65" s="635" t="inlineStr">
        <is>
          <t>รถเทรลเลอร์</t>
        </is>
      </c>
      <c r="H65" s="631" t="inlineStr">
        <is>
          <t>JACKSONVILLE IL, USA</t>
        </is>
      </c>
      <c r="I65" s="636" t="n">
        <v>15168</v>
      </c>
      <c r="J65" s="635" t="inlineStr">
        <is>
          <t>Km</t>
        </is>
      </c>
      <c r="K65" s="637" t="n">
        <v>3700</v>
      </c>
      <c r="L65" s="1798">
        <f>M65-K65</f>
        <v/>
      </c>
      <c r="M65" s="1799" t="n">
        <v>19020</v>
      </c>
      <c r="N65" s="1800" t="n">
        <v>12558</v>
      </c>
      <c r="O65" s="633" t="n">
        <v>0</v>
      </c>
      <c r="P65" s="1798" t="n">
        <v>100</v>
      </c>
    </row>
    <row r="66" ht="15.75" customHeight="1">
      <c r="A66" s="625" t="inlineStr">
        <is>
          <t>FO23010063</t>
        </is>
      </c>
      <c r="B66" s="626" t="n">
        <v>44953</v>
      </c>
      <c r="C66" s="615" t="inlineStr">
        <is>
          <t>มัลติแบกซ์</t>
        </is>
      </c>
      <c r="D66" s="615" t="inlineStr">
        <is>
          <t>ท่าเรือแหลมฉบัง</t>
        </is>
      </c>
      <c r="E66" s="627" t="n">
        <v>6.2</v>
      </c>
      <c r="F66" s="625" t="inlineStr">
        <is>
          <t>Km</t>
        </is>
      </c>
      <c r="G66" s="628" t="inlineStr">
        <is>
          <t>รถเทรลเลอร์</t>
        </is>
      </c>
      <c r="H66" s="625" t="inlineStr">
        <is>
          <t>PERRIS CA, USA</t>
        </is>
      </c>
      <c r="I66" s="629" t="n">
        <v>13413</v>
      </c>
      <c r="J66" s="628" t="inlineStr">
        <is>
          <t>Km</t>
        </is>
      </c>
      <c r="K66" s="630" t="n">
        <v>3840</v>
      </c>
      <c r="L66" s="1793">
        <f>M66-K66</f>
        <v/>
      </c>
      <c r="M66" s="1797" t="n">
        <v>18679</v>
      </c>
      <c r="N66" s="1801" t="n">
        <v>12511.2</v>
      </c>
      <c r="O66" s="615" t="n">
        <v>0</v>
      </c>
      <c r="P66" s="1793" t="n">
        <v>100</v>
      </c>
    </row>
    <row r="67" ht="15.75" customHeight="1">
      <c r="A67" s="631" t="inlineStr">
        <is>
          <t>FO23010064</t>
        </is>
      </c>
      <c r="B67" s="632" t="n">
        <v>44952</v>
      </c>
      <c r="C67" s="633" t="inlineStr">
        <is>
          <t>มัลติแบกซ์</t>
        </is>
      </c>
      <c r="D67" s="633" t="inlineStr">
        <is>
          <t>ท่าเรือแหลมฉบัง</t>
        </is>
      </c>
      <c r="E67" s="634" t="n">
        <v>7.1</v>
      </c>
      <c r="F67" s="631" t="inlineStr">
        <is>
          <t>Km</t>
        </is>
      </c>
      <c r="G67" s="635" t="inlineStr">
        <is>
          <t>รถเทรลเลอร์</t>
        </is>
      </c>
      <c r="H67" s="631" t="inlineStr">
        <is>
          <t>UNIVERSITY PARK IL, USA</t>
        </is>
      </c>
      <c r="I67" s="636" t="n">
        <v>13877</v>
      </c>
      <c r="J67" s="635" t="inlineStr">
        <is>
          <t>Km</t>
        </is>
      </c>
      <c r="K67" s="637" t="n">
        <v>3840</v>
      </c>
      <c r="L67" s="1798">
        <f>M67-K67</f>
        <v/>
      </c>
      <c r="M67" s="1799" t="n">
        <v>14029.8</v>
      </c>
      <c r="N67" s="1800" t="n">
        <v>7660</v>
      </c>
      <c r="O67" s="633" t="n">
        <v>0</v>
      </c>
      <c r="P67" s="1798" t="n">
        <v>100</v>
      </c>
    </row>
    <row r="68" ht="15.75" customHeight="1">
      <c r="A68" s="625" t="inlineStr">
        <is>
          <t>FO23010065</t>
        </is>
      </c>
      <c r="B68" s="626" t="n">
        <v>44952</v>
      </c>
      <c r="C68" s="615" t="inlineStr">
        <is>
          <t>มัลติแบกซ์</t>
        </is>
      </c>
      <c r="D68" s="615" t="inlineStr">
        <is>
          <t>ท่าเรือแหลมฉบัง</t>
        </is>
      </c>
      <c r="E68" s="627" t="n">
        <v>7.1</v>
      </c>
      <c r="F68" s="625" t="inlineStr">
        <is>
          <t>Km</t>
        </is>
      </c>
      <c r="G68" s="628" t="inlineStr">
        <is>
          <t>รถเทรลเลอร์</t>
        </is>
      </c>
      <c r="H68" s="625" t="inlineStr">
        <is>
          <t>UNIVERSITY PARK IL, USA</t>
        </is>
      </c>
      <c r="I68" s="629" t="n">
        <v>13877</v>
      </c>
      <c r="J68" s="628" t="inlineStr">
        <is>
          <t>Km</t>
        </is>
      </c>
      <c r="K68" s="630" t="n">
        <v>3700</v>
      </c>
      <c r="L68" s="1793">
        <f>M68-K68</f>
        <v/>
      </c>
      <c r="M68" s="1797" t="n">
        <v>15714</v>
      </c>
      <c r="N68" s="1801" t="n">
        <v>8988</v>
      </c>
      <c r="O68" s="615" t="n">
        <v>0</v>
      </c>
      <c r="P68" s="1793" t="n">
        <v>100</v>
      </c>
    </row>
    <row r="69" ht="15.75" customHeight="1">
      <c r="A69" s="631" t="inlineStr">
        <is>
          <t>FO23010066</t>
        </is>
      </c>
      <c r="B69" s="632" t="n">
        <v>44952</v>
      </c>
      <c r="C69" s="633" t="inlineStr">
        <is>
          <t>มัลติแบกซ์</t>
        </is>
      </c>
      <c r="D69" s="633" t="inlineStr">
        <is>
          <t>ท่าเรือแหลมฉบัง</t>
        </is>
      </c>
      <c r="E69" s="634" t="n">
        <v>7.1</v>
      </c>
      <c r="F69" s="631" t="inlineStr">
        <is>
          <t>Km</t>
        </is>
      </c>
      <c r="G69" s="635" t="inlineStr">
        <is>
          <t>รถเทรลเลอร์</t>
        </is>
      </c>
      <c r="H69" s="631" t="inlineStr">
        <is>
          <t>UNIVERSITY PARK IL, USA</t>
        </is>
      </c>
      <c r="I69" s="636" t="n">
        <v>13877</v>
      </c>
      <c r="J69" s="635" t="inlineStr">
        <is>
          <t>Km</t>
        </is>
      </c>
      <c r="K69" s="637" t="n">
        <v>3900</v>
      </c>
      <c r="L69" s="1798">
        <f>M69-K69</f>
        <v/>
      </c>
      <c r="M69" s="1799" t="n">
        <v>23499.5</v>
      </c>
      <c r="N69" s="1800" t="n">
        <v>15795</v>
      </c>
      <c r="O69" s="633" t="n">
        <v>0</v>
      </c>
      <c r="P69" s="1798" t="n">
        <v>100</v>
      </c>
    </row>
    <row r="70" ht="15.75" customHeight="1">
      <c r="A70" s="625" t="inlineStr">
        <is>
          <t>FO23010067</t>
        </is>
      </c>
      <c r="B70" s="626" t="n">
        <v>44952</v>
      </c>
      <c r="C70" s="615" t="inlineStr">
        <is>
          <t>มัลติแบกซ์</t>
        </is>
      </c>
      <c r="D70" s="615" t="inlineStr">
        <is>
          <t>ท่าเรือแหลมฉบัง</t>
        </is>
      </c>
      <c r="E70" s="627" t="n">
        <v>7.1</v>
      </c>
      <c r="F70" s="625" t="inlineStr">
        <is>
          <t>Km</t>
        </is>
      </c>
      <c r="G70" s="628" t="inlineStr">
        <is>
          <t>รถเทรลเลอร์</t>
        </is>
      </c>
      <c r="H70" s="625" t="inlineStr">
        <is>
          <t>UNIVERSITY PARK IL, USA</t>
        </is>
      </c>
      <c r="I70" s="629" t="n">
        <v>13877</v>
      </c>
      <c r="J70" s="628" t="inlineStr">
        <is>
          <t>Km</t>
        </is>
      </c>
      <c r="K70" s="630" t="n">
        <v>3840</v>
      </c>
      <c r="L70" s="1793">
        <f>M70-K70</f>
        <v/>
      </c>
      <c r="M70" s="1797" t="n">
        <v>23439.5</v>
      </c>
      <c r="N70" s="1801" t="n">
        <v>15795</v>
      </c>
      <c r="O70" s="615" t="n">
        <v>0</v>
      </c>
      <c r="P70" s="1793" t="n">
        <v>100</v>
      </c>
    </row>
    <row r="71" ht="15.75" customHeight="1">
      <c r="A71" s="631" t="inlineStr">
        <is>
          <t>FO23010068</t>
        </is>
      </c>
      <c r="B71" s="632" t="n">
        <v>44957</v>
      </c>
      <c r="C71" s="633" t="inlineStr">
        <is>
          <t>มัลติแบกซ์</t>
        </is>
      </c>
      <c r="D71" s="633" t="inlineStr">
        <is>
          <t>ท่าเรือแหลมฉบัง</t>
        </is>
      </c>
      <c r="E71" s="634" t="n">
        <v>5.2</v>
      </c>
      <c r="F71" s="631" t="inlineStr">
        <is>
          <t>Km</t>
        </is>
      </c>
      <c r="G71" s="635" t="inlineStr">
        <is>
          <t>รถเทรลเลอร์</t>
        </is>
      </c>
      <c r="H71" s="631" t="inlineStr">
        <is>
          <t>SHUWAIKH, KUWAIT</t>
        </is>
      </c>
      <c r="I71" s="636" t="n">
        <v>5727</v>
      </c>
      <c r="J71" s="635" t="inlineStr">
        <is>
          <t>Km</t>
        </is>
      </c>
      <c r="K71" s="637" t="n">
        <v>2265</v>
      </c>
      <c r="L71" s="1798">
        <f>M71-K71</f>
        <v/>
      </c>
      <c r="M71" s="1799" t="n">
        <v>5904.2</v>
      </c>
      <c r="N71" s="1800" t="n">
        <v>2567.16</v>
      </c>
      <c r="O71" s="633" t="n">
        <v>0</v>
      </c>
      <c r="P71" s="1798" t="n">
        <v>100</v>
      </c>
    </row>
    <row r="72" ht="15.75" customHeight="1">
      <c r="A72" s="625" t="inlineStr">
        <is>
          <t>FO23010069</t>
        </is>
      </c>
      <c r="B72" s="626" t="n">
        <v>44958</v>
      </c>
      <c r="C72" s="615" t="inlineStr">
        <is>
          <t>มัลติแบกซ์</t>
        </is>
      </c>
      <c r="D72" s="615" t="inlineStr">
        <is>
          <t>ท่าเรือแหลมฉบัง</t>
        </is>
      </c>
      <c r="E72" s="627" t="n">
        <v>6.2</v>
      </c>
      <c r="F72" s="625" t="inlineStr">
        <is>
          <t>Km</t>
        </is>
      </c>
      <c r="G72" s="628" t="inlineStr">
        <is>
          <t>รถเทรลเลอร์</t>
        </is>
      </c>
      <c r="H72" s="625" t="inlineStr">
        <is>
          <t>SANTA TERESA, NM USA</t>
        </is>
      </c>
      <c r="I72" s="629" t="n">
        <v>17387</v>
      </c>
      <c r="J72" s="628" t="inlineStr">
        <is>
          <t>Km</t>
        </is>
      </c>
      <c r="K72" s="630" t="n">
        <v>3830</v>
      </c>
      <c r="L72" s="1793">
        <f>M72-K72</f>
        <v/>
      </c>
      <c r="M72" s="1797" t="n">
        <v>22912.07</v>
      </c>
      <c r="N72" s="1802" t="n">
        <v>16552.45</v>
      </c>
      <c r="O72" s="615" t="n">
        <v>0</v>
      </c>
      <c r="P72" s="1793" t="n">
        <v>100</v>
      </c>
    </row>
    <row r="73" ht="15.75" customHeight="1">
      <c r="A73" s="631" t="inlineStr">
        <is>
          <t>FO23010070</t>
        </is>
      </c>
      <c r="B73" s="632" t="n">
        <v>44956</v>
      </c>
      <c r="C73" s="633" t="inlineStr">
        <is>
          <t>มัลติแบกซ์</t>
        </is>
      </c>
      <c r="D73" s="633" t="inlineStr">
        <is>
          <t>ท่าเรือแหลมฉบัง</t>
        </is>
      </c>
      <c r="E73" s="634" t="n">
        <v>5.2</v>
      </c>
      <c r="F73" s="631" t="inlineStr">
        <is>
          <t>Km</t>
        </is>
      </c>
      <c r="G73" s="635" t="inlineStr">
        <is>
          <t>รถเทรลเลอร์</t>
        </is>
      </c>
      <c r="H73" s="631" t="inlineStr">
        <is>
          <t>MANILA, PHILIPPINES</t>
        </is>
      </c>
      <c r="I73" s="636" t="n">
        <v>2167</v>
      </c>
      <c r="J73" s="635" t="inlineStr">
        <is>
          <t>Km</t>
        </is>
      </c>
      <c r="K73" s="637" t="n">
        <v>2200</v>
      </c>
      <c r="L73" s="1798">
        <f>M73-K73</f>
        <v/>
      </c>
      <c r="M73" s="1799" t="n">
        <v>6598.4</v>
      </c>
      <c r="N73" s="1800" t="n">
        <v>3272.8</v>
      </c>
      <c r="O73" s="633" t="n">
        <v>0</v>
      </c>
      <c r="P73" s="1798" t="n">
        <v>100</v>
      </c>
    </row>
    <row r="74" ht="15.75" customHeight="1">
      <c r="A74" s="625" t="inlineStr">
        <is>
          <t>FO23010071</t>
        </is>
      </c>
      <c r="B74" s="626" t="n">
        <v>44956</v>
      </c>
      <c r="C74" s="615" t="inlineStr">
        <is>
          <t>มัลติแบกซ์</t>
        </is>
      </c>
      <c r="D74" s="615" t="inlineStr">
        <is>
          <t>ท่าเรือแหลมฉบัง</t>
        </is>
      </c>
      <c r="E74" s="627" t="n">
        <v>5.2</v>
      </c>
      <c r="F74" s="625" t="inlineStr">
        <is>
          <t>Km</t>
        </is>
      </c>
      <c r="G74" s="628" t="inlineStr">
        <is>
          <t>รถเทรลเลอร์</t>
        </is>
      </c>
      <c r="H74" s="625" t="inlineStr">
        <is>
          <t>APPLETON WI , USA</t>
        </is>
      </c>
      <c r="I74" s="629" t="n">
        <v>13558</v>
      </c>
      <c r="J74" s="628" t="inlineStr">
        <is>
          <t>Km</t>
        </is>
      </c>
      <c r="K74" s="630" t="n">
        <v>3770</v>
      </c>
      <c r="L74" s="1793">
        <f>M74-K74</f>
        <v/>
      </c>
      <c r="M74" s="1797" t="n">
        <v>18663.5</v>
      </c>
      <c r="N74" s="1801" t="n">
        <v>12312.5</v>
      </c>
      <c r="O74" s="615" t="n">
        <v>0</v>
      </c>
      <c r="P74" s="1793" t="n">
        <v>100</v>
      </c>
    </row>
    <row r="75" ht="15.75" customHeight="1">
      <c r="A75" s="631" t="inlineStr">
        <is>
          <t>FO23010072</t>
        </is>
      </c>
      <c r="B75" s="632" t="n">
        <v>44953</v>
      </c>
      <c r="C75" s="633" t="inlineStr">
        <is>
          <t>มัลติแบกซ์</t>
        </is>
      </c>
      <c r="D75" s="633" t="inlineStr">
        <is>
          <t>ท่าเรือแหลมฉบัง</t>
        </is>
      </c>
      <c r="E75" s="634" t="n">
        <v>11.9</v>
      </c>
      <c r="F75" s="631" t="inlineStr">
        <is>
          <t>Km</t>
        </is>
      </c>
      <c r="G75" s="635" t="inlineStr">
        <is>
          <t>รถเทรลเลอร์</t>
        </is>
      </c>
      <c r="H75" s="631" t="inlineStr">
        <is>
          <t>DURBAN, SOUTH AFRICA</t>
        </is>
      </c>
      <c r="I75" s="636" t="n">
        <v>8865</v>
      </c>
      <c r="J75" s="635" t="inlineStr">
        <is>
          <t>Km</t>
        </is>
      </c>
      <c r="K75" s="637" t="n">
        <v>2230</v>
      </c>
      <c r="L75" s="1798">
        <f>M75-K75</f>
        <v/>
      </c>
      <c r="M75" s="1799" t="n">
        <v>13005.5</v>
      </c>
      <c r="N75" s="1800" t="n">
        <v>9915</v>
      </c>
      <c r="O75" s="633" t="n">
        <v>0</v>
      </c>
      <c r="P75" s="1798" t="n">
        <v>100</v>
      </c>
    </row>
    <row r="76" ht="15.75" customHeight="1">
      <c r="A76" s="625" t="inlineStr">
        <is>
          <t>FO23010073</t>
        </is>
      </c>
      <c r="B76" s="626" t="n">
        <v>44957</v>
      </c>
      <c r="C76" s="615" t="inlineStr">
        <is>
          <t>มัลติแบกซ์</t>
        </is>
      </c>
      <c r="D76" s="615" t="inlineStr">
        <is>
          <t>ท่าเรือแหลมฉบัง</t>
        </is>
      </c>
      <c r="E76" s="627" t="n">
        <v>6.2</v>
      </c>
      <c r="F76" s="625" t="inlineStr">
        <is>
          <t>Km</t>
        </is>
      </c>
      <c r="G76" s="628" t="inlineStr">
        <is>
          <t>รถเทรลเลอร์</t>
        </is>
      </c>
      <c r="H76" s="625" t="inlineStr">
        <is>
          <t>CARROLLTON TX, USA</t>
        </is>
      </c>
      <c r="I76" s="629" t="n">
        <v>14544</v>
      </c>
      <c r="J76" s="628" t="inlineStr">
        <is>
          <t>Km</t>
        </is>
      </c>
      <c r="K76" s="630" t="n">
        <v>3870</v>
      </c>
      <c r="L76" s="1793">
        <f>M76-K76</f>
        <v/>
      </c>
      <c r="M76" s="1797" t="n">
        <v>17820.4</v>
      </c>
      <c r="N76" s="1801" t="n">
        <v>12112.5</v>
      </c>
      <c r="O76" s="615" t="n">
        <v>0</v>
      </c>
      <c r="P76" s="1793" t="n">
        <v>100</v>
      </c>
    </row>
    <row r="77" ht="15.75" customHeight="1">
      <c r="A77" s="631" t="inlineStr">
        <is>
          <t>FO23010074</t>
        </is>
      </c>
      <c r="B77" s="632" t="n">
        <v>44957</v>
      </c>
      <c r="C77" s="633" t="inlineStr">
        <is>
          <t>มัลติแบกซ์</t>
        </is>
      </c>
      <c r="D77" s="633" t="inlineStr">
        <is>
          <t>ท่าเรือแหลมฉบัง</t>
        </is>
      </c>
      <c r="E77" s="634" t="n">
        <v>6.5</v>
      </c>
      <c r="F77" s="631" t="inlineStr">
        <is>
          <t>Km</t>
        </is>
      </c>
      <c r="G77" s="635" t="inlineStr">
        <is>
          <t>รถเทรลเลอร์</t>
        </is>
      </c>
      <c r="H77" s="631" t="inlineStr">
        <is>
          <t>JACKSONVILLE IL, USA</t>
        </is>
      </c>
      <c r="I77" s="636" t="n">
        <v>15168</v>
      </c>
      <c r="J77" s="635" t="inlineStr">
        <is>
          <t>Km</t>
        </is>
      </c>
      <c r="K77" s="637" t="n">
        <v>3810</v>
      </c>
      <c r="L77" s="1798">
        <f>M77-K77</f>
        <v/>
      </c>
      <c r="M77" s="1799" t="n">
        <v>22537</v>
      </c>
      <c r="N77" s="1800" t="n">
        <v>14962.5</v>
      </c>
      <c r="O77" s="633" t="n">
        <v>0</v>
      </c>
      <c r="P77" s="1798" t="n">
        <v>100</v>
      </c>
    </row>
    <row r="78" ht="15.75" customHeight="1">
      <c r="A78" s="625" t="inlineStr">
        <is>
          <t>FO23010075</t>
        </is>
      </c>
      <c r="B78" s="626" t="n">
        <v>44958</v>
      </c>
      <c r="C78" s="615" t="inlineStr">
        <is>
          <t>มัลติแบกซ์</t>
        </is>
      </c>
      <c r="D78" s="615" t="inlineStr">
        <is>
          <t>ท่าเรือแหลมฉบัง</t>
        </is>
      </c>
      <c r="E78" s="627" t="n">
        <v>6.2</v>
      </c>
      <c r="F78" s="625" t="inlineStr">
        <is>
          <t>Km</t>
        </is>
      </c>
      <c r="G78" s="628" t="inlineStr">
        <is>
          <t>รถเทรลเลอร์</t>
        </is>
      </c>
      <c r="H78" s="625" t="inlineStr">
        <is>
          <t>MANZANILLO, MEXICO</t>
        </is>
      </c>
      <c r="I78" s="629" t="n">
        <v>15486</v>
      </c>
      <c r="J78" s="628" t="inlineStr">
        <is>
          <t>Km</t>
        </is>
      </c>
      <c r="K78" s="630" t="n">
        <v>3700</v>
      </c>
      <c r="L78" s="1793">
        <f>M78-K78</f>
        <v/>
      </c>
      <c r="M78" s="1797" t="n">
        <v>13493.4</v>
      </c>
      <c r="N78" s="1802" t="n">
        <v>7122</v>
      </c>
      <c r="O78" s="615" t="n">
        <v>0</v>
      </c>
      <c r="P78" s="1793" t="n">
        <v>100</v>
      </c>
    </row>
    <row r="79" ht="15.75" customHeight="1">
      <c r="A79" s="625" t="inlineStr">
        <is>
          <t>FO23020001</t>
        </is>
      </c>
      <c r="B79" s="626" t="n">
        <v>44960</v>
      </c>
      <c r="C79" s="615" t="inlineStr">
        <is>
          <t>มัลติแบกซ์</t>
        </is>
      </c>
      <c r="D79" s="615" t="inlineStr">
        <is>
          <t>ท่าเรือแหลมฉบัง</t>
        </is>
      </c>
      <c r="E79" s="627" t="n">
        <v>6.5</v>
      </c>
      <c r="F79" s="625" t="inlineStr">
        <is>
          <t>Km</t>
        </is>
      </c>
      <c r="G79" s="625" t="inlineStr">
        <is>
          <t>รถเทรลเลอร์</t>
        </is>
      </c>
      <c r="H79" s="625" t="inlineStr">
        <is>
          <t>UK PORT</t>
        </is>
      </c>
      <c r="I79" s="629" t="n">
        <v>9687</v>
      </c>
      <c r="J79" s="628" t="inlineStr">
        <is>
          <t>Km</t>
        </is>
      </c>
      <c r="K79" s="630" t="n">
        <v>3900</v>
      </c>
      <c r="L79" s="640">
        <f>M79-K79</f>
        <v/>
      </c>
      <c r="M79" s="1797" t="n">
        <v>28927</v>
      </c>
      <c r="N79" s="1801" t="n">
        <v>23842</v>
      </c>
      <c r="O79" s="615" t="n">
        <v>0</v>
      </c>
      <c r="P79" s="641" t="n">
        <v>100</v>
      </c>
    </row>
    <row r="80" ht="15.75" customHeight="1">
      <c r="A80" s="631" t="inlineStr">
        <is>
          <t>FO23020002</t>
        </is>
      </c>
      <c r="B80" s="632" t="n">
        <v>44964</v>
      </c>
      <c r="C80" s="633" t="inlineStr">
        <is>
          <t>มัลติแบกซ์</t>
        </is>
      </c>
      <c r="D80" s="633" t="inlineStr">
        <is>
          <t>ท่าเรือแหลมฉบัง</t>
        </is>
      </c>
      <c r="E80" s="634" t="n">
        <v>6.2</v>
      </c>
      <c r="F80" s="631" t="inlineStr">
        <is>
          <t>Km</t>
        </is>
      </c>
      <c r="G80" s="631" t="inlineStr">
        <is>
          <t>รถเทรลเลอร์</t>
        </is>
      </c>
      <c r="H80" s="631" t="inlineStr">
        <is>
          <t>SYDNEY, AUSTRALIA</t>
        </is>
      </c>
      <c r="I80" s="636" t="n">
        <v>7448</v>
      </c>
      <c r="J80" s="635" t="inlineStr">
        <is>
          <t>Km</t>
        </is>
      </c>
      <c r="K80" s="637" t="n">
        <v>3860</v>
      </c>
      <c r="L80" s="642">
        <f>M80-K80</f>
        <v/>
      </c>
      <c r="M80" s="1799" t="n">
        <v>14402</v>
      </c>
      <c r="N80" s="1800" t="n">
        <v>5202</v>
      </c>
      <c r="O80" s="633" t="n">
        <v>0</v>
      </c>
      <c r="P80" s="643" t="n">
        <v>100</v>
      </c>
    </row>
    <row r="81" ht="15.75" customHeight="1">
      <c r="A81" s="625" t="inlineStr">
        <is>
          <t>FO23020003</t>
        </is>
      </c>
      <c r="B81" s="626" t="n">
        <v>44964</v>
      </c>
      <c r="C81" s="615" t="inlineStr">
        <is>
          <t>มัลติแบกซ์</t>
        </is>
      </c>
      <c r="D81" s="615" t="inlineStr">
        <is>
          <t>ท่าเรือแหลมฉบัง</t>
        </is>
      </c>
      <c r="E81" s="627" t="n">
        <v>6.2</v>
      </c>
      <c r="F81" s="625" t="inlineStr">
        <is>
          <t>Km</t>
        </is>
      </c>
      <c r="G81" s="625" t="inlineStr">
        <is>
          <t>รถเทรลเลอร์</t>
        </is>
      </c>
      <c r="H81" s="625" t="inlineStr">
        <is>
          <t>SYDNEY, AUSTRALIA</t>
        </is>
      </c>
      <c r="I81" s="629" t="n">
        <v>7448</v>
      </c>
      <c r="J81" s="628" t="inlineStr">
        <is>
          <t>Km</t>
        </is>
      </c>
      <c r="K81" s="630" t="n">
        <v>3700</v>
      </c>
      <c r="L81" s="640">
        <f>M81-K81</f>
        <v/>
      </c>
      <c r="M81" s="1797" t="n">
        <v>14242</v>
      </c>
      <c r="N81" s="1801" t="n">
        <v>5202</v>
      </c>
      <c r="O81" s="615" t="n">
        <v>0</v>
      </c>
      <c r="P81" s="641" t="n">
        <v>100</v>
      </c>
    </row>
    <row r="82" ht="15.75" customHeight="1">
      <c r="A82" s="631" t="inlineStr">
        <is>
          <t>FO23020004</t>
        </is>
      </c>
      <c r="B82" s="632" t="n">
        <v>44959</v>
      </c>
      <c r="C82" s="633" t="inlineStr">
        <is>
          <t>มัลติแบกซ์</t>
        </is>
      </c>
      <c r="D82" s="633" t="inlineStr">
        <is>
          <t>ท่าเรือแหลมฉบัง</t>
        </is>
      </c>
      <c r="E82" s="634" t="n">
        <v>6.2</v>
      </c>
      <c r="F82" s="633" t="inlineStr">
        <is>
          <t>Km</t>
        </is>
      </c>
      <c r="G82" s="633" t="inlineStr">
        <is>
          <t>รถเทรลเลอร์</t>
        </is>
      </c>
      <c r="H82" s="631" t="inlineStr">
        <is>
          <t>JACKSONVILLE IL, USA</t>
        </is>
      </c>
      <c r="I82" s="636" t="n">
        <v>15168</v>
      </c>
      <c r="J82" s="639" t="inlineStr">
        <is>
          <t>Km</t>
        </is>
      </c>
      <c r="K82" s="637" t="n">
        <v>3660</v>
      </c>
      <c r="L82" s="642">
        <f>M82-K82</f>
        <v/>
      </c>
      <c r="M82" s="1799" t="n">
        <v>19860</v>
      </c>
      <c r="N82" s="1800" t="n">
        <v>13083</v>
      </c>
      <c r="O82" s="633" t="n">
        <v>0</v>
      </c>
      <c r="P82" s="643" t="n">
        <v>100</v>
      </c>
    </row>
    <row r="83" ht="15.75" customHeight="1">
      <c r="A83" s="625" t="inlineStr">
        <is>
          <t>FO23020005</t>
        </is>
      </c>
      <c r="B83" s="626" t="n">
        <v>44963</v>
      </c>
      <c r="C83" s="615" t="inlineStr">
        <is>
          <t>มัลติแบกซ์</t>
        </is>
      </c>
      <c r="D83" s="615" t="inlineStr">
        <is>
          <t>ท่าเรือแหลมฉบัง</t>
        </is>
      </c>
      <c r="E83" s="627" t="n">
        <v>5.3</v>
      </c>
      <c r="F83" s="625" t="inlineStr">
        <is>
          <t>Km</t>
        </is>
      </c>
      <c r="G83" s="625" t="inlineStr">
        <is>
          <t>รถเทรลเลอร์</t>
        </is>
      </c>
      <c r="H83" s="625" t="inlineStr">
        <is>
          <t>JACKSONVILLE IL, USA</t>
        </is>
      </c>
      <c r="I83" s="629" t="n">
        <v>15168</v>
      </c>
      <c r="J83" s="628" t="inlineStr">
        <is>
          <t>Km</t>
        </is>
      </c>
      <c r="K83" s="630" t="n">
        <v>3850</v>
      </c>
      <c r="L83" s="640">
        <f>M83-K83</f>
        <v/>
      </c>
      <c r="M83" s="1797" t="n">
        <v>22928</v>
      </c>
      <c r="N83" s="1801" t="n">
        <v>16275</v>
      </c>
      <c r="O83" s="615" t="n">
        <v>0</v>
      </c>
      <c r="P83" s="641" t="n">
        <v>100</v>
      </c>
    </row>
    <row r="84" ht="15.75" customHeight="1">
      <c r="A84" s="631" t="inlineStr">
        <is>
          <t>FO23020006</t>
        </is>
      </c>
      <c r="B84" s="632" t="n">
        <v>44961</v>
      </c>
      <c r="C84" s="633" t="inlineStr">
        <is>
          <t>มัลติแบกซ์</t>
        </is>
      </c>
      <c r="D84" s="633" t="inlineStr">
        <is>
          <t>ท่าเรือแหลมฉบัง</t>
        </is>
      </c>
      <c r="E84" s="634" t="n">
        <v>6</v>
      </c>
      <c r="F84" s="631" t="inlineStr">
        <is>
          <t>Km</t>
        </is>
      </c>
      <c r="G84" s="631" t="inlineStr">
        <is>
          <t>รถเทรลเลอร์</t>
        </is>
      </c>
      <c r="H84" s="631" t="inlineStr">
        <is>
          <t>JACKSONVILLE IL, USA</t>
        </is>
      </c>
      <c r="I84" s="636" t="n">
        <v>15168</v>
      </c>
      <c r="J84" s="635" t="inlineStr">
        <is>
          <t>Km</t>
        </is>
      </c>
      <c r="K84" s="637" t="n">
        <v>3700</v>
      </c>
      <c r="L84" s="642">
        <f>M84-K84</f>
        <v/>
      </c>
      <c r="M84" s="1799" t="n">
        <v>22778</v>
      </c>
      <c r="N84" s="1800" t="n">
        <v>16275</v>
      </c>
      <c r="O84" s="633" t="n">
        <v>0</v>
      </c>
      <c r="P84" s="643" t="n">
        <v>100</v>
      </c>
    </row>
    <row r="85" ht="15.75" customHeight="1">
      <c r="A85" s="625" t="inlineStr">
        <is>
          <t>FO23020007</t>
        </is>
      </c>
      <c r="B85" s="626" t="n">
        <v>44985</v>
      </c>
      <c r="C85" s="615" t="inlineStr">
        <is>
          <t>มัลติแบกซ์</t>
        </is>
      </c>
      <c r="D85" s="615" t="inlineStr">
        <is>
          <t>ท่าเรือแหลมฉบัง</t>
        </is>
      </c>
      <c r="E85" s="627" t="n">
        <v>6.2</v>
      </c>
      <c r="F85" s="625" t="inlineStr">
        <is>
          <t>Km</t>
        </is>
      </c>
      <c r="G85" s="625" t="inlineStr">
        <is>
          <t>รถเทรลเลอร์</t>
        </is>
      </c>
      <c r="H85" s="625" t="inlineStr">
        <is>
          <t>PERRIS CA, USA</t>
        </is>
      </c>
      <c r="I85" s="629" t="n">
        <v>13413</v>
      </c>
      <c r="J85" s="628" t="inlineStr">
        <is>
          <t>Km</t>
        </is>
      </c>
      <c r="K85" s="630" t="n">
        <v>3700</v>
      </c>
      <c r="L85" s="640">
        <f>M85-K85</f>
        <v/>
      </c>
      <c r="M85" s="1797" t="n">
        <v>18539</v>
      </c>
      <c r="N85" s="1801" t="n">
        <v>12511.2</v>
      </c>
      <c r="O85" s="615" t="n">
        <v>0</v>
      </c>
      <c r="P85" s="641" t="n">
        <v>100</v>
      </c>
    </row>
    <row r="86" ht="15.75" customHeight="1">
      <c r="A86" s="631" t="inlineStr">
        <is>
          <t>FO23020008</t>
        </is>
      </c>
      <c r="B86" s="632" t="n">
        <v>44960</v>
      </c>
      <c r="C86" s="633" t="inlineStr">
        <is>
          <t>มัลติแบกซ์</t>
        </is>
      </c>
      <c r="D86" s="633" t="inlineStr">
        <is>
          <t>ท่าเรือแหลมฉบัง</t>
        </is>
      </c>
      <c r="E86" s="634" t="n">
        <v>5.3</v>
      </c>
      <c r="F86" s="631" t="inlineStr">
        <is>
          <t>Km</t>
        </is>
      </c>
      <c r="G86" s="631" t="inlineStr">
        <is>
          <t>รถเทรลเลอร์</t>
        </is>
      </c>
      <c r="H86" s="631" t="inlineStr">
        <is>
          <t>COLUMBUS OHIO, USA</t>
        </is>
      </c>
      <c r="I86" s="636" t="n">
        <v>14000</v>
      </c>
      <c r="J86" s="635" t="inlineStr">
        <is>
          <t>Km</t>
        </is>
      </c>
      <c r="K86" s="637" t="n">
        <v>3830</v>
      </c>
      <c r="L86" s="642">
        <f>M86-K86</f>
        <v/>
      </c>
      <c r="M86" s="1799" t="n">
        <v>21865.26</v>
      </c>
      <c r="N86" s="1800" t="n">
        <v>15154.58</v>
      </c>
      <c r="O86" s="633" t="n">
        <v>0</v>
      </c>
      <c r="P86" s="643" t="n">
        <v>100</v>
      </c>
    </row>
    <row r="87" ht="15.75" customHeight="1">
      <c r="A87" s="625" t="inlineStr">
        <is>
          <t>FO23020009</t>
        </is>
      </c>
      <c r="B87" s="626" t="n">
        <v>44961</v>
      </c>
      <c r="C87" s="615" t="inlineStr">
        <is>
          <t>มัลติแบกซ์</t>
        </is>
      </c>
      <c r="D87" s="615" t="inlineStr">
        <is>
          <t>ท่าเรือแหลมฉบัง</t>
        </is>
      </c>
      <c r="E87" s="627" t="n">
        <v>6</v>
      </c>
      <c r="F87" s="625" t="inlineStr">
        <is>
          <t>Km</t>
        </is>
      </c>
      <c r="G87" s="625" t="inlineStr">
        <is>
          <t>รถเทรลเลอร์</t>
        </is>
      </c>
      <c r="H87" s="625" t="inlineStr">
        <is>
          <t>JEDDAH , SAUDI ARABIA</t>
        </is>
      </c>
      <c r="I87" s="629" t="n">
        <v>6579</v>
      </c>
      <c r="J87" s="628" t="inlineStr">
        <is>
          <t>Km</t>
        </is>
      </c>
      <c r="K87" s="630" t="n">
        <v>3900</v>
      </c>
      <c r="L87" s="640">
        <f>M87-K87</f>
        <v/>
      </c>
      <c r="M87" s="1797" t="n">
        <v>14235.38</v>
      </c>
      <c r="N87" s="1801" t="n">
        <v>8194.049999999999</v>
      </c>
      <c r="O87" s="615" t="n">
        <v>0</v>
      </c>
      <c r="P87" s="641" t="n">
        <v>100</v>
      </c>
    </row>
    <row r="88" ht="15.75" customHeight="1">
      <c r="A88" s="631" t="inlineStr">
        <is>
          <t>FO23020010</t>
        </is>
      </c>
      <c r="B88" s="632" t="n">
        <v>44960</v>
      </c>
      <c r="C88" s="633" t="inlineStr">
        <is>
          <t>มัลติแบกซ์</t>
        </is>
      </c>
      <c r="D88" s="633" t="inlineStr">
        <is>
          <t>ท่าเรือแหลมฉบัง</t>
        </is>
      </c>
      <c r="E88" s="634" t="n">
        <v>11.9</v>
      </c>
      <c r="F88" s="631" t="inlineStr">
        <is>
          <t>Km</t>
        </is>
      </c>
      <c r="G88" s="631" t="inlineStr">
        <is>
          <t>รถเทรลเลอร์</t>
        </is>
      </c>
      <c r="H88" s="631" t="inlineStr">
        <is>
          <t>SHUWAIKH, KUWAIT</t>
        </is>
      </c>
      <c r="I88" s="636" t="n">
        <v>5727</v>
      </c>
      <c r="J88" s="635" t="inlineStr">
        <is>
          <t>Km</t>
        </is>
      </c>
      <c r="K88" s="637" t="n">
        <v>2200</v>
      </c>
      <c r="L88" s="642">
        <f>M88-K88</f>
        <v/>
      </c>
      <c r="M88" s="1799" t="n">
        <v>8908.15</v>
      </c>
      <c r="N88" s="1800" t="n">
        <v>5684.31</v>
      </c>
      <c r="O88" s="633" t="n">
        <v>0</v>
      </c>
      <c r="P88" s="643" t="n">
        <v>100</v>
      </c>
    </row>
    <row r="89" ht="15.75" customHeight="1">
      <c r="A89" s="625" t="inlineStr">
        <is>
          <t>FO23020011</t>
        </is>
      </c>
      <c r="B89" s="626" t="n">
        <v>44960</v>
      </c>
      <c r="C89" s="615" t="inlineStr">
        <is>
          <t>มัลติแบกซ์</t>
        </is>
      </c>
      <c r="D89" s="615" t="inlineStr">
        <is>
          <t>ท่าเรือแหลมฉบัง</t>
        </is>
      </c>
      <c r="E89" s="627" t="n">
        <v>11.9</v>
      </c>
      <c r="F89" s="625" t="inlineStr">
        <is>
          <t>Km</t>
        </is>
      </c>
      <c r="G89" s="625" t="inlineStr">
        <is>
          <t>รถเทรลเลอร์</t>
        </is>
      </c>
      <c r="H89" s="625" t="inlineStr">
        <is>
          <t>HAMAD, QATAR</t>
        </is>
      </c>
      <c r="I89" s="629" t="n">
        <v>5317</v>
      </c>
      <c r="J89" s="628" t="inlineStr">
        <is>
          <t>Km</t>
        </is>
      </c>
      <c r="K89" s="630" t="n">
        <v>2180</v>
      </c>
      <c r="L89" s="640">
        <f>M89-K89</f>
        <v/>
      </c>
      <c r="M89" s="1797" t="n">
        <v>8935.08</v>
      </c>
      <c r="N89" s="1801" t="n">
        <v>5656.48</v>
      </c>
      <c r="O89" s="615" t="n">
        <v>0</v>
      </c>
      <c r="P89" s="641" t="n">
        <v>100</v>
      </c>
    </row>
    <row r="90" ht="15.75" customHeight="1">
      <c r="A90" s="631" t="inlineStr">
        <is>
          <t>FO23020012</t>
        </is>
      </c>
      <c r="B90" s="632" t="n">
        <v>44967</v>
      </c>
      <c r="C90" s="633" t="inlineStr">
        <is>
          <t>มัลติแบกซ์</t>
        </is>
      </c>
      <c r="D90" s="633" t="inlineStr">
        <is>
          <t>ท่าเรือแหลมฉบัง</t>
        </is>
      </c>
      <c r="E90" s="634" t="n">
        <v>6.2</v>
      </c>
      <c r="F90" s="631" t="inlineStr">
        <is>
          <t>Km</t>
        </is>
      </c>
      <c r="G90" s="631" t="inlineStr">
        <is>
          <t>รถเทรลเลอร์</t>
        </is>
      </c>
      <c r="H90" s="631" t="inlineStr">
        <is>
          <t>AJMAN PORT, UAE</t>
        </is>
      </c>
      <c r="I90" s="636" t="n">
        <v>4929</v>
      </c>
      <c r="J90" s="635" t="inlineStr">
        <is>
          <t>Km</t>
        </is>
      </c>
      <c r="K90" s="637" t="n">
        <v>3780</v>
      </c>
      <c r="L90" s="642">
        <f>M90-K90</f>
        <v/>
      </c>
      <c r="M90" s="1799" t="n">
        <v>19049</v>
      </c>
      <c r="N90" s="1800" t="n">
        <v>13988.44</v>
      </c>
      <c r="O90" s="633" t="n">
        <v>0</v>
      </c>
      <c r="P90" s="643" t="n">
        <v>100</v>
      </c>
    </row>
    <row r="91" ht="15.75" customHeight="1">
      <c r="A91" s="625" t="inlineStr">
        <is>
          <t>FO23020013</t>
        </is>
      </c>
      <c r="B91" s="626" t="n">
        <v>44967</v>
      </c>
      <c r="C91" s="615" t="inlineStr">
        <is>
          <t>มัลติแบกซ์</t>
        </is>
      </c>
      <c r="D91" s="615" t="inlineStr">
        <is>
          <t>ท่าเรือแหลมฉบัง</t>
        </is>
      </c>
      <c r="E91" s="627" t="n">
        <v>11.9</v>
      </c>
      <c r="F91" s="625" t="inlineStr">
        <is>
          <t>Km</t>
        </is>
      </c>
      <c r="G91" s="625" t="inlineStr">
        <is>
          <t>รถเทรลเลอร์</t>
        </is>
      </c>
      <c r="H91" s="625" t="inlineStr">
        <is>
          <t>AJMAN PORT, UAE</t>
        </is>
      </c>
      <c r="I91" s="629" t="n">
        <v>4929</v>
      </c>
      <c r="J91" s="628" t="inlineStr">
        <is>
          <t>Km</t>
        </is>
      </c>
      <c r="K91" s="630" t="n">
        <v>3800</v>
      </c>
      <c r="L91" s="640">
        <f>M91-K91</f>
        <v/>
      </c>
      <c r="M91" s="1797" t="n">
        <v>16820.2</v>
      </c>
      <c r="N91" s="1801" t="n">
        <v>10330.8</v>
      </c>
      <c r="O91" s="615" t="n">
        <v>0</v>
      </c>
      <c r="P91" s="641" t="n">
        <v>100</v>
      </c>
    </row>
    <row r="92" ht="15.75" customHeight="1">
      <c r="A92" s="631" t="inlineStr">
        <is>
          <t>FO23020014</t>
        </is>
      </c>
      <c r="B92" s="632" t="n">
        <v>44967</v>
      </c>
      <c r="C92" s="633" t="inlineStr">
        <is>
          <t>มัลติแบกซ์</t>
        </is>
      </c>
      <c r="D92" s="633" t="inlineStr">
        <is>
          <t>ท่าเรือแหลมฉบัง</t>
        </is>
      </c>
      <c r="E92" s="634" t="n">
        <v>11.9</v>
      </c>
      <c r="F92" s="631" t="inlineStr">
        <is>
          <t>Km</t>
        </is>
      </c>
      <c r="G92" s="631" t="inlineStr">
        <is>
          <t>รถเทรลเลอร์</t>
        </is>
      </c>
      <c r="H92" s="631" t="inlineStr">
        <is>
          <t>AJMAN PORT, UAE</t>
        </is>
      </c>
      <c r="I92" s="636" t="n">
        <v>4929</v>
      </c>
      <c r="J92" s="635" t="inlineStr">
        <is>
          <t>Km</t>
        </is>
      </c>
      <c r="K92" s="637" t="n">
        <v>2180</v>
      </c>
      <c r="L92" s="642">
        <f>M92-K92</f>
        <v/>
      </c>
      <c r="M92" s="1799" t="n">
        <v>9807.950000000001</v>
      </c>
      <c r="N92" s="1800" t="n">
        <v>6535.96</v>
      </c>
      <c r="O92" s="633" t="n">
        <v>0</v>
      </c>
      <c r="P92" s="643" t="n">
        <v>100</v>
      </c>
    </row>
    <row r="93" ht="15.75" customHeight="1">
      <c r="A93" s="625" t="inlineStr">
        <is>
          <t>FO23020015</t>
        </is>
      </c>
      <c r="B93" s="626" t="n">
        <v>44967</v>
      </c>
      <c r="C93" s="615" t="inlineStr">
        <is>
          <t>มัลติแบกซ์</t>
        </is>
      </c>
      <c r="D93" s="615" t="inlineStr">
        <is>
          <t>ท่าเรือแหลมฉบัง</t>
        </is>
      </c>
      <c r="E93" s="627" t="n">
        <v>11.9</v>
      </c>
      <c r="F93" s="625" t="inlineStr">
        <is>
          <t>Km</t>
        </is>
      </c>
      <c r="G93" s="625" t="inlineStr">
        <is>
          <t>รถเทรลเลอร์</t>
        </is>
      </c>
      <c r="H93" s="625" t="inlineStr">
        <is>
          <t>AJMAN PORT, UAE</t>
        </is>
      </c>
      <c r="I93" s="629" t="n">
        <v>4929</v>
      </c>
      <c r="J93" s="628" t="inlineStr">
        <is>
          <t>Km</t>
        </is>
      </c>
      <c r="K93" s="630" t="n">
        <v>3640</v>
      </c>
      <c r="L93" s="640">
        <f>M93-K93</f>
        <v/>
      </c>
      <c r="M93" s="1797" t="n">
        <v>16922.26</v>
      </c>
      <c r="N93" s="1801" t="n">
        <v>11172.38</v>
      </c>
      <c r="O93" s="615" t="n">
        <v>0</v>
      </c>
      <c r="P93" s="641" t="n">
        <v>100</v>
      </c>
    </row>
    <row r="94" ht="15.75" customHeight="1">
      <c r="A94" s="631" t="inlineStr">
        <is>
          <t>FO23020016</t>
        </is>
      </c>
      <c r="B94" s="632" t="n">
        <v>44964</v>
      </c>
      <c r="C94" s="633" t="inlineStr">
        <is>
          <t>มัลติแบกซ์</t>
        </is>
      </c>
      <c r="D94" s="633" t="inlineStr">
        <is>
          <t>ท่าเรือแหลมฉบัง</t>
        </is>
      </c>
      <c r="E94" s="634" t="n">
        <v>6.2</v>
      </c>
      <c r="F94" s="631" t="inlineStr">
        <is>
          <t>Km</t>
        </is>
      </c>
      <c r="G94" s="631" t="inlineStr">
        <is>
          <t>รถเทรลเลอร์</t>
        </is>
      </c>
      <c r="H94" s="631" t="inlineStr">
        <is>
          <t>SOUTH BOSTON VA, USA</t>
        </is>
      </c>
      <c r="I94" s="636" t="n">
        <v>13787</v>
      </c>
      <c r="J94" s="635" t="inlineStr">
        <is>
          <t>Km</t>
        </is>
      </c>
      <c r="K94" s="637" t="n">
        <v>3700</v>
      </c>
      <c r="L94" s="642">
        <f>M94-K94</f>
        <v/>
      </c>
      <c r="M94" s="1799" t="n">
        <v>18369.5</v>
      </c>
      <c r="N94" s="1800" t="n">
        <v>10271.5</v>
      </c>
      <c r="O94" s="633" t="n">
        <v>0</v>
      </c>
      <c r="P94" s="643" t="n">
        <v>100</v>
      </c>
    </row>
    <row r="95" ht="15.75" customHeight="1">
      <c r="A95" s="625" t="inlineStr">
        <is>
          <t>FO23020017</t>
        </is>
      </c>
      <c r="B95" s="626" t="n">
        <v>44966</v>
      </c>
      <c r="C95" s="615" t="inlineStr">
        <is>
          <t>มัลติแบกซ์</t>
        </is>
      </c>
      <c r="D95" s="615" t="inlineStr">
        <is>
          <t>ท่าเรือแหลมฉบัง</t>
        </is>
      </c>
      <c r="E95" s="627" t="n">
        <v>6.2</v>
      </c>
      <c r="F95" s="625" t="inlineStr">
        <is>
          <t>Km</t>
        </is>
      </c>
      <c r="G95" s="625" t="inlineStr">
        <is>
          <t>รถเทรลเลอร์</t>
        </is>
      </c>
      <c r="H95" s="625" t="inlineStr">
        <is>
          <t>JACKSONVILLE IL, USA</t>
        </is>
      </c>
      <c r="I95" s="629" t="n">
        <v>15168</v>
      </c>
      <c r="J95" s="628" t="inlineStr">
        <is>
          <t>Km</t>
        </is>
      </c>
      <c r="K95" s="630" t="n">
        <v>3630</v>
      </c>
      <c r="L95" s="640">
        <f>M95-K95</f>
        <v/>
      </c>
      <c r="M95" s="1797" t="n">
        <v>20707</v>
      </c>
      <c r="N95" s="1801" t="n">
        <v>15333.35</v>
      </c>
      <c r="O95" s="615" t="n">
        <v>0</v>
      </c>
      <c r="P95" s="641" t="n">
        <v>100</v>
      </c>
    </row>
    <row r="96" ht="15.75" customHeight="1">
      <c r="A96" s="631" t="inlineStr">
        <is>
          <t>FO23020018</t>
        </is>
      </c>
      <c r="B96" s="632" t="n">
        <v>44965</v>
      </c>
      <c r="C96" s="633" t="inlineStr">
        <is>
          <t>มัลติแบกซ์</t>
        </is>
      </c>
      <c r="D96" s="633" t="inlineStr">
        <is>
          <t>ท่าเรือแหลมฉบัง</t>
        </is>
      </c>
      <c r="E96" s="634" t="n">
        <v>11.9</v>
      </c>
      <c r="F96" s="631" t="inlineStr">
        <is>
          <t>Km</t>
        </is>
      </c>
      <c r="G96" s="631" t="inlineStr">
        <is>
          <t>รถเทรลเลอร์</t>
        </is>
      </c>
      <c r="H96" s="631" t="inlineStr">
        <is>
          <t>JACKSONVILLE IL, USA</t>
        </is>
      </c>
      <c r="I96" s="636" t="n">
        <v>15168</v>
      </c>
      <c r="J96" s="635" t="inlineStr">
        <is>
          <t>Km</t>
        </is>
      </c>
      <c r="K96" s="637" t="n">
        <v>3820</v>
      </c>
      <c r="L96" s="642">
        <f>M96-K96</f>
        <v/>
      </c>
      <c r="M96" s="1799" t="n">
        <v>22899</v>
      </c>
      <c r="N96" s="1800" t="n">
        <v>16275</v>
      </c>
      <c r="O96" s="633" t="n">
        <v>0</v>
      </c>
      <c r="P96" s="643" t="n">
        <v>100</v>
      </c>
    </row>
    <row r="97" ht="15.75" customHeight="1">
      <c r="A97" s="625" t="inlineStr">
        <is>
          <t>FO23020019</t>
        </is>
      </c>
      <c r="B97" s="626" t="n">
        <v>44972</v>
      </c>
      <c r="C97" s="615" t="inlineStr">
        <is>
          <t>มัลติแบกซ์</t>
        </is>
      </c>
      <c r="D97" s="615" t="inlineStr">
        <is>
          <t>ท่าเรือแหลมฉบัง</t>
        </is>
      </c>
      <c r="E97" s="627" t="n">
        <v>4.9</v>
      </c>
      <c r="F97" s="625" t="inlineStr">
        <is>
          <t>Km</t>
        </is>
      </c>
      <c r="G97" s="625" t="inlineStr">
        <is>
          <t>รถเทรลเลอร์</t>
        </is>
      </c>
      <c r="H97" s="625" t="inlineStr">
        <is>
          <t>UK PORT</t>
        </is>
      </c>
      <c r="I97" s="629" t="n">
        <v>9687</v>
      </c>
      <c r="J97" s="628" t="inlineStr">
        <is>
          <t>Km</t>
        </is>
      </c>
      <c r="K97" s="630" t="n">
        <v>3700</v>
      </c>
      <c r="L97" s="640">
        <f>M97-K97</f>
        <v/>
      </c>
      <c r="M97" s="1797" t="n">
        <v>23597</v>
      </c>
      <c r="N97" s="1801" t="n">
        <v>18561</v>
      </c>
      <c r="O97" s="615" t="n">
        <v>0</v>
      </c>
      <c r="P97" s="641" t="n">
        <v>100</v>
      </c>
    </row>
    <row r="98" ht="15.75" customHeight="1">
      <c r="A98" s="631" t="inlineStr">
        <is>
          <t>FO23020020</t>
        </is>
      </c>
      <c r="B98" s="632" t="n">
        <v>44965</v>
      </c>
      <c r="C98" s="633" t="inlineStr">
        <is>
          <t>มัลติแบกซ์</t>
        </is>
      </c>
      <c r="D98" s="633" t="inlineStr">
        <is>
          <t>ท่าเรือแหลมฉบัง</t>
        </is>
      </c>
      <c r="E98" s="634" t="n">
        <v>11.9</v>
      </c>
      <c r="F98" s="631" t="inlineStr">
        <is>
          <t>Km</t>
        </is>
      </c>
      <c r="G98" s="631" t="inlineStr">
        <is>
          <t>รถเทรลเลอร์</t>
        </is>
      </c>
      <c r="H98" s="631" t="inlineStr">
        <is>
          <t>JACKSONVILLE IL, USA</t>
        </is>
      </c>
      <c r="I98" s="636" t="n">
        <v>15168</v>
      </c>
      <c r="J98" s="635" t="inlineStr">
        <is>
          <t>Km</t>
        </is>
      </c>
      <c r="K98" s="637" t="n">
        <v>3700</v>
      </c>
      <c r="L98" s="642">
        <f>M98-K98</f>
        <v/>
      </c>
      <c r="M98" s="1799" t="n">
        <v>22779</v>
      </c>
      <c r="N98" s="1800" t="n">
        <v>16275</v>
      </c>
      <c r="O98" s="633" t="n">
        <v>0</v>
      </c>
      <c r="P98" s="643" t="n">
        <v>100</v>
      </c>
    </row>
    <row r="99" ht="15.75" customHeight="1">
      <c r="A99" s="625" t="inlineStr">
        <is>
          <t>FO23020021</t>
        </is>
      </c>
      <c r="B99" s="626" t="n">
        <v>44965</v>
      </c>
      <c r="C99" s="615" t="inlineStr">
        <is>
          <t>มัลติแบกซ์</t>
        </is>
      </c>
      <c r="D99" s="615" t="inlineStr">
        <is>
          <t>ท่าเรือแหลมฉบัง</t>
        </is>
      </c>
      <c r="E99" s="627" t="n">
        <v>11.9</v>
      </c>
      <c r="F99" s="625" t="inlineStr">
        <is>
          <t>Km</t>
        </is>
      </c>
      <c r="G99" s="625" t="inlineStr">
        <is>
          <t>รถเทรลเลอร์</t>
        </is>
      </c>
      <c r="H99" s="625" t="inlineStr">
        <is>
          <t>PERRIS CA, USA</t>
        </is>
      </c>
      <c r="I99" s="629" t="n">
        <v>13413</v>
      </c>
      <c r="J99" s="628" t="inlineStr">
        <is>
          <t>Km</t>
        </is>
      </c>
      <c r="K99" s="630" t="n">
        <v>3860</v>
      </c>
      <c r="L99" s="640">
        <f>M99-K99</f>
        <v/>
      </c>
      <c r="M99" s="1797" t="n">
        <v>17373</v>
      </c>
      <c r="N99" s="1801" t="n">
        <v>11057</v>
      </c>
      <c r="O99" s="615" t="n">
        <v>0</v>
      </c>
      <c r="P99" s="641" t="n">
        <v>100</v>
      </c>
    </row>
    <row r="100" ht="15.75" customHeight="1">
      <c r="A100" s="631" t="inlineStr">
        <is>
          <t>FO23020022</t>
        </is>
      </c>
      <c r="B100" s="632" t="n">
        <v>44967</v>
      </c>
      <c r="C100" s="633" t="inlineStr">
        <is>
          <t>มัลติแบกซ์</t>
        </is>
      </c>
      <c r="D100" s="633" t="inlineStr">
        <is>
          <t>ท่าเรือแหลมฉบัง</t>
        </is>
      </c>
      <c r="E100" s="634" t="n">
        <v>11.9</v>
      </c>
      <c r="F100" s="631" t="inlineStr">
        <is>
          <t>Km</t>
        </is>
      </c>
      <c r="G100" s="631" t="inlineStr">
        <is>
          <t>รถเทรลเลอร์</t>
        </is>
      </c>
      <c r="H100" s="631" t="inlineStr">
        <is>
          <t>DURBAN, SOUTH AFRICA</t>
        </is>
      </c>
      <c r="I100" s="636" t="n">
        <v>8865</v>
      </c>
      <c r="J100" s="635" t="inlineStr">
        <is>
          <t>Km</t>
        </is>
      </c>
      <c r="K100" s="637" t="n">
        <v>3745</v>
      </c>
      <c r="L100" s="642">
        <f>M100-K100</f>
        <v/>
      </c>
      <c r="M100" s="1799" t="n">
        <v>25831.75</v>
      </c>
      <c r="N100" s="1800" t="n">
        <v>20199</v>
      </c>
      <c r="O100" s="633" t="n">
        <v>0</v>
      </c>
      <c r="P100" s="643" t="n">
        <v>100</v>
      </c>
    </row>
    <row r="101" ht="15.75" customHeight="1">
      <c r="A101" s="625" t="inlineStr">
        <is>
          <t>FO23020023</t>
        </is>
      </c>
      <c r="B101" s="626" t="n">
        <v>44967</v>
      </c>
      <c r="C101" s="615" t="inlineStr">
        <is>
          <t>มัลติแบกซ์</t>
        </is>
      </c>
      <c r="D101" s="615" t="inlineStr">
        <is>
          <t>ท่าเรือแหลมฉบัง</t>
        </is>
      </c>
      <c r="E101" s="627" t="n">
        <v>6</v>
      </c>
      <c r="F101" s="625" t="inlineStr">
        <is>
          <t>Km</t>
        </is>
      </c>
      <c r="G101" s="625" t="inlineStr">
        <is>
          <t>รถเทรลเลอร์</t>
        </is>
      </c>
      <c r="H101" s="625" t="inlineStr">
        <is>
          <t>JEBEL ALI, UAE</t>
        </is>
      </c>
      <c r="I101" s="629" t="n">
        <v>4972</v>
      </c>
      <c r="J101" s="628" t="inlineStr">
        <is>
          <t>Km</t>
        </is>
      </c>
      <c r="K101" s="630" t="n">
        <v>3820</v>
      </c>
      <c r="L101" s="640">
        <f>M101-K101</f>
        <v/>
      </c>
      <c r="M101" s="1797" t="n">
        <v>15110.74</v>
      </c>
      <c r="N101" s="1801" t="n">
        <v>8580.01</v>
      </c>
      <c r="O101" s="615" t="n">
        <v>0</v>
      </c>
      <c r="P101" s="641" t="n">
        <v>100</v>
      </c>
    </row>
    <row r="102" ht="15.75" customHeight="1">
      <c r="A102" s="631" t="inlineStr">
        <is>
          <t>FO23020024</t>
        </is>
      </c>
      <c r="B102" s="632" t="n">
        <v>44972</v>
      </c>
      <c r="C102" s="633" t="inlineStr">
        <is>
          <t>มัลติแบกซ์</t>
        </is>
      </c>
      <c r="D102" s="633" t="inlineStr">
        <is>
          <t>ท่าเรือแหลมฉบัง</t>
        </is>
      </c>
      <c r="E102" s="634" t="n">
        <v>11.9</v>
      </c>
      <c r="F102" s="631" t="inlineStr">
        <is>
          <t>Km</t>
        </is>
      </c>
      <c r="G102" s="631" t="inlineStr">
        <is>
          <t>รถเทรลเลอร์</t>
        </is>
      </c>
      <c r="H102" s="631" t="inlineStr">
        <is>
          <t>HONG KONG</t>
        </is>
      </c>
      <c r="I102" s="636" t="n">
        <v>1734</v>
      </c>
      <c r="J102" s="635" t="inlineStr">
        <is>
          <t>Km</t>
        </is>
      </c>
      <c r="K102" s="637" t="n">
        <v>3820</v>
      </c>
      <c r="L102" s="642">
        <f>M102-K102</f>
        <v/>
      </c>
      <c r="M102" s="1799" t="n">
        <v>15987.3</v>
      </c>
      <c r="N102" s="1800" t="n">
        <v>9494.700000000001</v>
      </c>
      <c r="O102" s="633" t="n">
        <v>0</v>
      </c>
      <c r="P102" s="643" t="n">
        <v>100</v>
      </c>
    </row>
    <row r="103" ht="15.75" customHeight="1">
      <c r="A103" s="625" t="inlineStr">
        <is>
          <t>FO23020025</t>
        </is>
      </c>
      <c r="B103" s="626" t="n">
        <v>44964</v>
      </c>
      <c r="C103" s="615" t="inlineStr">
        <is>
          <t>มัลติแบกซ์</t>
        </is>
      </c>
      <c r="D103" s="615" t="inlineStr">
        <is>
          <t>ท่าเรือแหลมฉบัง</t>
        </is>
      </c>
      <c r="E103" s="627" t="n">
        <v>11.9</v>
      </c>
      <c r="F103" s="625" t="inlineStr">
        <is>
          <t>Km</t>
        </is>
      </c>
      <c r="G103" s="625" t="inlineStr">
        <is>
          <t>รถเทรลเลอร์</t>
        </is>
      </c>
      <c r="H103" s="625" t="inlineStr">
        <is>
          <t>SINGAPORE</t>
        </is>
      </c>
      <c r="I103" s="629" t="n">
        <v>1931</v>
      </c>
      <c r="J103" s="628" t="inlineStr">
        <is>
          <t>Km</t>
        </is>
      </c>
      <c r="K103" s="630" t="n">
        <v>5303.5</v>
      </c>
      <c r="L103" s="640">
        <f>M103-K103</f>
        <v/>
      </c>
      <c r="M103" s="1797" t="n">
        <v>6259.5</v>
      </c>
      <c r="N103" s="1801" t="n">
        <v>5303.5</v>
      </c>
      <c r="O103" s="615" t="n">
        <v>0</v>
      </c>
      <c r="P103" s="641" t="n">
        <v>100</v>
      </c>
    </row>
    <row r="104" ht="15.75" customHeight="1">
      <c r="A104" s="617" t="inlineStr">
        <is>
          <t>FO23020026</t>
        </is>
      </c>
      <c r="B104" s="632" t="n">
        <v>44966</v>
      </c>
      <c r="C104" s="617" t="inlineStr">
        <is>
          <t>มัลติแบกซ์</t>
        </is>
      </c>
      <c r="D104" s="617" t="inlineStr">
        <is>
          <t>ท่าเรือแหลมฉบัง</t>
        </is>
      </c>
      <c r="E104" s="619" t="n">
        <v>11.9</v>
      </c>
      <c r="F104" s="617" t="inlineStr">
        <is>
          <t>Km</t>
        </is>
      </c>
      <c r="G104" s="617" t="inlineStr">
        <is>
          <t>รถเทรลเลอร์</t>
        </is>
      </c>
      <c r="H104" s="631" t="inlineStr">
        <is>
          <t>SINGAPORE</t>
        </is>
      </c>
      <c r="I104" s="636" t="n">
        <v>1931</v>
      </c>
      <c r="J104" s="622" t="inlineStr">
        <is>
          <t>Km</t>
        </is>
      </c>
      <c r="K104" s="623" t="n">
        <v>3336.51</v>
      </c>
      <c r="L104" s="644" t="n">
        <v>1360.48</v>
      </c>
      <c r="M104" s="1795" t="n">
        <v>4696.99</v>
      </c>
      <c r="N104" s="1800" t="n">
        <v>3336.51</v>
      </c>
      <c r="O104" s="633" t="n"/>
      <c r="P104" s="643" t="n"/>
    </row>
    <row r="105" ht="15.75" customHeight="1">
      <c r="A105" s="625" t="inlineStr">
        <is>
          <t>FO23020027</t>
        </is>
      </c>
      <c r="B105" s="626" t="n">
        <v>44971</v>
      </c>
      <c r="C105" s="615" t="inlineStr">
        <is>
          <t>มัลติแบกซ์</t>
        </is>
      </c>
      <c r="D105" s="615" t="inlineStr">
        <is>
          <t>ท่าเรือแหลมฉบัง</t>
        </is>
      </c>
      <c r="E105" s="627" t="n">
        <v>6</v>
      </c>
      <c r="F105" s="625" t="inlineStr">
        <is>
          <t>Km</t>
        </is>
      </c>
      <c r="G105" s="625" t="inlineStr">
        <is>
          <t>รถเทรลเลอร์</t>
        </is>
      </c>
      <c r="H105" s="625" t="inlineStr">
        <is>
          <t>HAMAD, QATAR</t>
        </is>
      </c>
      <c r="I105" s="629" t="n">
        <v>5317</v>
      </c>
      <c r="J105" s="628" t="inlineStr">
        <is>
          <t>Km</t>
        </is>
      </c>
      <c r="K105" s="630" t="n">
        <v>2210</v>
      </c>
      <c r="L105" s="640">
        <f>M105-K105</f>
        <v/>
      </c>
      <c r="M105" s="1797" t="n">
        <v>5889.16</v>
      </c>
      <c r="N105" s="1801" t="n">
        <v>2576.88</v>
      </c>
      <c r="O105" s="615" t="n">
        <v>0</v>
      </c>
      <c r="P105" s="641" t="n">
        <v>100</v>
      </c>
    </row>
    <row r="106" ht="15.75" customHeight="1">
      <c r="A106" s="631" t="inlineStr">
        <is>
          <t>FO23020028</t>
        </is>
      </c>
      <c r="B106" s="632" t="n">
        <v>44971</v>
      </c>
      <c r="C106" s="633" t="inlineStr">
        <is>
          <t>มัลติแบกซ์</t>
        </is>
      </c>
      <c r="D106" s="633" t="inlineStr">
        <is>
          <t>ท่าเรือแหลมฉบัง</t>
        </is>
      </c>
      <c r="E106" s="634" t="n">
        <v>5.3</v>
      </c>
      <c r="F106" s="631" t="inlineStr">
        <is>
          <t>Km</t>
        </is>
      </c>
      <c r="G106" s="631" t="inlineStr">
        <is>
          <t>รถเทรลเลอร์</t>
        </is>
      </c>
      <c r="H106" s="631" t="inlineStr">
        <is>
          <t>SANTA TERESA, NM USA</t>
        </is>
      </c>
      <c r="I106" s="636" t="n">
        <v>17387</v>
      </c>
      <c r="J106" s="635" t="inlineStr">
        <is>
          <t>Km</t>
        </is>
      </c>
      <c r="K106" s="637" t="n">
        <v>3760</v>
      </c>
      <c r="L106" s="642">
        <f>M106-K106</f>
        <v/>
      </c>
      <c r="M106" s="1799" t="n">
        <v>22853.32</v>
      </c>
      <c r="N106" s="1800" t="n">
        <v>16282.18</v>
      </c>
      <c r="O106" s="633" t="n">
        <v>0</v>
      </c>
      <c r="P106" s="643" t="n">
        <v>100</v>
      </c>
    </row>
    <row r="107" ht="15.75" customHeight="1">
      <c r="A107" s="625" t="inlineStr">
        <is>
          <t>FO23020029</t>
        </is>
      </c>
      <c r="B107" s="626" t="n">
        <v>44971</v>
      </c>
      <c r="C107" s="615" t="inlineStr">
        <is>
          <t>มัลติแบกซ์</t>
        </is>
      </c>
      <c r="D107" s="615" t="inlineStr">
        <is>
          <t>ท่าเรือแหลมฉบัง</t>
        </is>
      </c>
      <c r="E107" s="627" t="n">
        <v>6.2</v>
      </c>
      <c r="F107" s="625" t="inlineStr">
        <is>
          <t>Km</t>
        </is>
      </c>
      <c r="G107" s="625" t="inlineStr">
        <is>
          <t>รถเทรลเลอร์</t>
        </is>
      </c>
      <c r="H107" s="625" t="inlineStr">
        <is>
          <t>CARROLLTON TX, USA</t>
        </is>
      </c>
      <c r="I107" s="629" t="n">
        <v>14544</v>
      </c>
      <c r="J107" s="628" t="inlineStr">
        <is>
          <t>Km</t>
        </is>
      </c>
      <c r="K107" s="630" t="n">
        <v>3700</v>
      </c>
      <c r="L107" s="640">
        <f>M107-K107</f>
        <v/>
      </c>
      <c r="M107" s="1797" t="n">
        <v>18539</v>
      </c>
      <c r="N107" s="1801" t="n">
        <v>12511.2</v>
      </c>
      <c r="O107" s="615" t="n">
        <v>0</v>
      </c>
      <c r="P107" s="641" t="n">
        <v>100</v>
      </c>
    </row>
    <row r="108" ht="15.75" customHeight="1">
      <c r="A108" s="631" t="inlineStr">
        <is>
          <t>FO23020030</t>
        </is>
      </c>
      <c r="B108" s="632" t="n">
        <v>44972</v>
      </c>
      <c r="C108" s="633" t="inlineStr">
        <is>
          <t>มัลติแบกซ์</t>
        </is>
      </c>
      <c r="D108" s="633" t="inlineStr">
        <is>
          <t>ท่าเรือแหลมฉบัง</t>
        </is>
      </c>
      <c r="E108" s="634" t="n">
        <v>6.5</v>
      </c>
      <c r="F108" s="631" t="inlineStr">
        <is>
          <t>Km</t>
        </is>
      </c>
      <c r="G108" s="631" t="inlineStr">
        <is>
          <t>รถเทรลเลอร์</t>
        </is>
      </c>
      <c r="H108" s="631" t="inlineStr">
        <is>
          <t>APPLETON WI , USA</t>
        </is>
      </c>
      <c r="I108" s="636" t="n">
        <v>13558</v>
      </c>
      <c r="J108" s="635" t="inlineStr">
        <is>
          <t>Km</t>
        </is>
      </c>
      <c r="K108" s="637" t="n">
        <v>3950</v>
      </c>
      <c r="L108" s="642">
        <f>M108-K108</f>
        <v/>
      </c>
      <c r="M108" s="1799" t="n">
        <v>15156</v>
      </c>
      <c r="N108" s="1800" t="n">
        <v>7130</v>
      </c>
      <c r="O108" s="633" t="n">
        <v>0</v>
      </c>
      <c r="P108" s="643" t="n">
        <v>100</v>
      </c>
    </row>
    <row r="109" ht="15.75" customHeight="1">
      <c r="A109" s="625" t="inlineStr">
        <is>
          <t>FO23020031</t>
        </is>
      </c>
      <c r="B109" s="626" t="n">
        <v>44977</v>
      </c>
      <c r="C109" s="615" t="inlineStr">
        <is>
          <t>มัลติแบกซ์</t>
        </is>
      </c>
      <c r="D109" s="615" t="inlineStr">
        <is>
          <t>ท่าเรือแหลมฉบัง</t>
        </is>
      </c>
      <c r="E109" s="627" t="n">
        <v>6.2</v>
      </c>
      <c r="F109" s="625" t="inlineStr">
        <is>
          <t>Km</t>
        </is>
      </c>
      <c r="G109" s="625" t="inlineStr">
        <is>
          <t>รถเทรลเลอร์</t>
        </is>
      </c>
      <c r="H109" s="625" t="inlineStr">
        <is>
          <t>SENDAI, JAPAN</t>
        </is>
      </c>
      <c r="I109" s="629" t="n">
        <v>4823</v>
      </c>
      <c r="J109" s="628" t="inlineStr">
        <is>
          <t>Km</t>
        </is>
      </c>
      <c r="K109" s="630" t="n">
        <v>2080</v>
      </c>
      <c r="L109" s="640">
        <f>M109-K109</f>
        <v/>
      </c>
      <c r="M109" s="1797" t="n">
        <v>7407.7</v>
      </c>
      <c r="N109" s="1801" t="n">
        <v>4361.25</v>
      </c>
      <c r="O109" s="615" t="n">
        <v>0</v>
      </c>
      <c r="P109" s="641" t="n">
        <v>100</v>
      </c>
    </row>
    <row r="110" ht="15.75" customHeight="1">
      <c r="A110" s="631" t="inlineStr">
        <is>
          <t>FO23020032</t>
        </is>
      </c>
      <c r="B110" s="632" t="n">
        <v>44971</v>
      </c>
      <c r="C110" s="633" t="inlineStr">
        <is>
          <t>มัลติแบกซ์</t>
        </is>
      </c>
      <c r="D110" s="633" t="inlineStr">
        <is>
          <t>ท่าเรือแหลมฉบัง</t>
        </is>
      </c>
      <c r="E110" s="634" t="n">
        <v>6.2</v>
      </c>
      <c r="F110" s="631" t="inlineStr">
        <is>
          <t>Km</t>
        </is>
      </c>
      <c r="G110" s="631" t="inlineStr">
        <is>
          <t>รถเทรลเลอร์</t>
        </is>
      </c>
      <c r="H110" s="631" t="inlineStr">
        <is>
          <t>SOUTH BOSTON VA, USA</t>
        </is>
      </c>
      <c r="I110" s="636" t="n">
        <v>13787</v>
      </c>
      <c r="J110" s="635" t="inlineStr">
        <is>
          <t>Km</t>
        </is>
      </c>
      <c r="K110" s="637" t="n">
        <v>3900</v>
      </c>
      <c r="L110" s="642">
        <f>M110-K110</f>
        <v/>
      </c>
      <c r="M110" s="1799" t="n">
        <v>13502</v>
      </c>
      <c r="N110" s="1800" t="n">
        <v>5376</v>
      </c>
      <c r="O110" s="633" t="n">
        <v>0</v>
      </c>
      <c r="P110" s="643" t="n">
        <v>100</v>
      </c>
    </row>
    <row r="111" ht="15.75" customHeight="1">
      <c r="A111" s="625" t="inlineStr">
        <is>
          <t>FO23020033</t>
        </is>
      </c>
      <c r="B111" s="626" t="n">
        <v>44971</v>
      </c>
      <c r="C111" s="615" t="inlineStr">
        <is>
          <t>มัลติแบกซ์</t>
        </is>
      </c>
      <c r="D111" s="615" t="inlineStr">
        <is>
          <t>ท่าเรือแหลมฉบัง</t>
        </is>
      </c>
      <c r="E111" s="627" t="n">
        <v>6.2</v>
      </c>
      <c r="F111" s="625" t="inlineStr">
        <is>
          <t>Km</t>
        </is>
      </c>
      <c r="G111" s="625" t="inlineStr">
        <is>
          <t>รถเทรลเลอร์</t>
        </is>
      </c>
      <c r="H111" s="625" t="inlineStr">
        <is>
          <t>PERRIS CA, USA</t>
        </is>
      </c>
      <c r="I111" s="629" t="n">
        <v>13413</v>
      </c>
      <c r="J111" s="628" t="inlineStr">
        <is>
          <t>Km</t>
        </is>
      </c>
      <c r="K111" s="630" t="n">
        <v>3830</v>
      </c>
      <c r="L111" s="640">
        <f>M111-K111</f>
        <v/>
      </c>
      <c r="M111" s="1797" t="n">
        <v>20347</v>
      </c>
      <c r="N111" s="1801" t="n">
        <v>12697</v>
      </c>
      <c r="O111" s="615" t="n">
        <v>0</v>
      </c>
      <c r="P111" s="641" t="n">
        <v>100</v>
      </c>
    </row>
    <row r="112" ht="15.75" customHeight="1">
      <c r="A112" s="631" t="inlineStr">
        <is>
          <t>FO23020034</t>
        </is>
      </c>
      <c r="B112" s="632" t="n">
        <v>44972</v>
      </c>
      <c r="C112" s="633" t="inlineStr">
        <is>
          <t>มัลติแบกซ์</t>
        </is>
      </c>
      <c r="D112" s="633" t="inlineStr">
        <is>
          <t>ท่าเรือแหลมฉบัง</t>
        </is>
      </c>
      <c r="E112" s="634" t="n">
        <v>6.2</v>
      </c>
      <c r="F112" s="631" t="inlineStr">
        <is>
          <t>Km</t>
        </is>
      </c>
      <c r="G112" s="631" t="inlineStr">
        <is>
          <t>รถเทรลเลอร์</t>
        </is>
      </c>
      <c r="H112" s="631" t="inlineStr">
        <is>
          <t>JACKSONVILLE IL, USA</t>
        </is>
      </c>
      <c r="I112" s="636" t="n">
        <v>15168</v>
      </c>
      <c r="J112" s="635" t="inlineStr">
        <is>
          <t>Km</t>
        </is>
      </c>
      <c r="K112" s="637" t="n">
        <v>3690</v>
      </c>
      <c r="L112" s="642">
        <f>M112-K112</f>
        <v/>
      </c>
      <c r="M112" s="1799" t="n">
        <v>22417</v>
      </c>
      <c r="N112" s="1800" t="n">
        <v>14962.5</v>
      </c>
      <c r="O112" s="633" t="n">
        <v>0</v>
      </c>
      <c r="P112" s="643" t="n">
        <v>100</v>
      </c>
    </row>
    <row r="113" ht="15.75" customHeight="1">
      <c r="A113" s="625" t="inlineStr">
        <is>
          <t>FO23020035</t>
        </is>
      </c>
      <c r="B113" s="626" t="n">
        <v>44978</v>
      </c>
      <c r="C113" s="615" t="inlineStr">
        <is>
          <t>มัลติแบกซ์</t>
        </is>
      </c>
      <c r="D113" s="615" t="inlineStr">
        <is>
          <t>ท่าเรือแหลมฉบัง</t>
        </is>
      </c>
      <c r="E113" s="627" t="n">
        <v>7.1</v>
      </c>
      <c r="F113" s="625" t="inlineStr">
        <is>
          <t>Km</t>
        </is>
      </c>
      <c r="G113" s="625" t="inlineStr">
        <is>
          <t>รถเทรลเลอร์</t>
        </is>
      </c>
      <c r="H113" s="625" t="inlineStr">
        <is>
          <t>UK PORT</t>
        </is>
      </c>
      <c r="I113" s="629" t="n">
        <v>9687</v>
      </c>
      <c r="J113" s="628" t="inlineStr">
        <is>
          <t>Km</t>
        </is>
      </c>
      <c r="K113" s="630" t="n">
        <v>2220</v>
      </c>
      <c r="L113" s="640">
        <f>M113-K113</f>
        <v/>
      </c>
      <c r="M113" s="1797" t="n">
        <v>7997</v>
      </c>
      <c r="N113" s="1801" t="n">
        <v>4550</v>
      </c>
      <c r="O113" s="615" t="n">
        <v>0</v>
      </c>
      <c r="P113" s="641" t="n">
        <v>100</v>
      </c>
    </row>
    <row r="114" ht="15.75" customHeight="1">
      <c r="A114" s="631" t="inlineStr">
        <is>
          <t>FO23020036</t>
        </is>
      </c>
      <c r="B114" s="632" t="n">
        <v>44972</v>
      </c>
      <c r="C114" s="633" t="inlineStr">
        <is>
          <t>มัลติแบกซ์</t>
        </is>
      </c>
      <c r="D114" s="633" t="inlineStr">
        <is>
          <t>ท่าเรือแหลมฉบัง</t>
        </is>
      </c>
      <c r="E114" s="634" t="n">
        <v>6.5</v>
      </c>
      <c r="F114" s="631" t="inlineStr">
        <is>
          <t>Km</t>
        </is>
      </c>
      <c r="G114" s="631" t="inlineStr">
        <is>
          <t>รถเทรลเลอร์</t>
        </is>
      </c>
      <c r="H114" s="631" t="inlineStr">
        <is>
          <t>NINGBO, CHINA</t>
        </is>
      </c>
      <c r="I114" s="636" t="n">
        <v>3824</v>
      </c>
      <c r="J114" s="635" t="inlineStr">
        <is>
          <t>Km</t>
        </is>
      </c>
      <c r="K114" s="637" t="n">
        <v>3850</v>
      </c>
      <c r="L114" s="642">
        <f>M114-K114</f>
        <v/>
      </c>
      <c r="M114" s="1799" t="n">
        <v>13513.05</v>
      </c>
      <c r="N114" s="1800" t="n">
        <v>7106.49</v>
      </c>
      <c r="O114" s="633" t="n">
        <v>0</v>
      </c>
      <c r="P114" s="643" t="n">
        <v>100</v>
      </c>
    </row>
    <row r="115" ht="15.75" customHeight="1">
      <c r="A115" s="625" t="inlineStr">
        <is>
          <t>FO23020037</t>
        </is>
      </c>
      <c r="B115" s="626" t="n">
        <v>44971</v>
      </c>
      <c r="C115" s="615" t="inlineStr">
        <is>
          <t>มัลติแบกซ์</t>
        </is>
      </c>
      <c r="D115" s="615" t="inlineStr">
        <is>
          <t>ท่าเรือแหลมฉบัง</t>
        </is>
      </c>
      <c r="E115" s="627" t="n">
        <v>6</v>
      </c>
      <c r="F115" s="625" t="inlineStr">
        <is>
          <t>Km</t>
        </is>
      </c>
      <c r="G115" s="625" t="inlineStr">
        <is>
          <t>รถเทรลเลอร์</t>
        </is>
      </c>
      <c r="H115" s="625" t="inlineStr">
        <is>
          <t>SINGAPORE</t>
        </is>
      </c>
      <c r="I115" s="629" t="n">
        <v>1931</v>
      </c>
      <c r="J115" s="628" t="inlineStr">
        <is>
          <t>Km</t>
        </is>
      </c>
      <c r="K115" s="630" t="n">
        <v>5482.2</v>
      </c>
      <c r="L115" s="640">
        <f>M115-K115</f>
        <v/>
      </c>
      <c r="M115" s="1797" t="n">
        <v>6497.7</v>
      </c>
      <c r="N115" s="1801" t="n">
        <v>5482.2</v>
      </c>
      <c r="O115" s="615" t="n">
        <v>0</v>
      </c>
      <c r="P115" s="641" t="n">
        <v>100</v>
      </c>
    </row>
    <row r="116" ht="15.75" customHeight="1">
      <c r="A116" s="631" t="inlineStr">
        <is>
          <t>FO23020038</t>
        </is>
      </c>
      <c r="B116" s="632" t="n">
        <v>44985</v>
      </c>
      <c r="C116" s="633" t="inlineStr">
        <is>
          <t>มัลติแบกซ์</t>
        </is>
      </c>
      <c r="D116" s="633" t="inlineStr">
        <is>
          <t>ท่าเรือแหลมฉบัง</t>
        </is>
      </c>
      <c r="E116" s="634" t="n">
        <v>11.9</v>
      </c>
      <c r="F116" s="631" t="inlineStr">
        <is>
          <t>Km</t>
        </is>
      </c>
      <c r="G116" s="631" t="inlineStr">
        <is>
          <t>รถเทรลเลอร์</t>
        </is>
      </c>
      <c r="H116" s="631" t="inlineStr">
        <is>
          <t>SINGAPORE</t>
        </is>
      </c>
      <c r="I116" s="636" t="n">
        <v>1931</v>
      </c>
      <c r="J116" s="635" t="inlineStr">
        <is>
          <t>Km</t>
        </is>
      </c>
      <c r="K116" s="637" t="n">
        <v>5236.68</v>
      </c>
      <c r="L116" s="642">
        <f>M116-K116</f>
        <v/>
      </c>
      <c r="M116" s="1799" t="n">
        <v>6223.18</v>
      </c>
      <c r="N116" s="1800" t="n">
        <v>5236.68</v>
      </c>
      <c r="O116" s="633" t="n">
        <v>0</v>
      </c>
      <c r="P116" s="643" t="n">
        <v>100</v>
      </c>
    </row>
    <row r="117" ht="15.75" customHeight="1">
      <c r="A117" s="625" t="inlineStr">
        <is>
          <t>FO23020039</t>
        </is>
      </c>
      <c r="B117" s="626" t="n">
        <v>44977</v>
      </c>
      <c r="C117" s="615" t="inlineStr">
        <is>
          <t>มัลติแบกซ์</t>
        </is>
      </c>
      <c r="D117" s="615" t="inlineStr">
        <is>
          <t>ท่าเรือแหลมฉบัง</t>
        </is>
      </c>
      <c r="E117" s="627" t="n">
        <v>6.5</v>
      </c>
      <c r="F117" s="625" t="inlineStr">
        <is>
          <t>Km</t>
        </is>
      </c>
      <c r="G117" s="625" t="inlineStr">
        <is>
          <t>รถเทรลเลอร์</t>
        </is>
      </c>
      <c r="H117" s="625" t="inlineStr">
        <is>
          <t>KLANG, MALAYSIA</t>
        </is>
      </c>
      <c r="I117" s="629" t="n">
        <v>1588</v>
      </c>
      <c r="J117" s="628" t="inlineStr">
        <is>
          <t>Km</t>
        </is>
      </c>
      <c r="K117" s="630" t="n">
        <v>2265</v>
      </c>
      <c r="L117" s="640">
        <f>M117-K117</f>
        <v/>
      </c>
      <c r="M117" s="1797" t="n">
        <v>6630.37</v>
      </c>
      <c r="N117" s="1801" t="n">
        <v>3250.48</v>
      </c>
      <c r="O117" s="615" t="n">
        <v>0</v>
      </c>
      <c r="P117" s="641" t="n">
        <v>100</v>
      </c>
    </row>
    <row r="118" ht="15.75" customHeight="1">
      <c r="A118" s="631" t="inlineStr">
        <is>
          <t>FO23020040</t>
        </is>
      </c>
      <c r="B118" s="632" t="n">
        <v>44978</v>
      </c>
      <c r="C118" s="633" t="inlineStr">
        <is>
          <t>มัลติแบกซ์</t>
        </is>
      </c>
      <c r="D118" s="633" t="inlineStr">
        <is>
          <t>ท่าเรือแหลมฉบัง</t>
        </is>
      </c>
      <c r="E118" s="634" t="n">
        <v>6.2</v>
      </c>
      <c r="F118" s="631" t="inlineStr">
        <is>
          <t>Km</t>
        </is>
      </c>
      <c r="G118" s="631" t="inlineStr">
        <is>
          <t>รถเทรลเลอร์</t>
        </is>
      </c>
      <c r="H118" s="631" t="inlineStr">
        <is>
          <t>SYDNEY, AUSTRALIA</t>
        </is>
      </c>
      <c r="I118" s="636" t="n">
        <v>7448</v>
      </c>
      <c r="J118" s="635" t="inlineStr">
        <is>
          <t>Km</t>
        </is>
      </c>
      <c r="K118" s="637" t="n">
        <v>3860</v>
      </c>
      <c r="L118" s="642">
        <f>M118-K118</f>
        <v/>
      </c>
      <c r="M118" s="1799" t="n">
        <v>27862</v>
      </c>
      <c r="N118" s="1800" t="n">
        <v>18990</v>
      </c>
      <c r="O118" s="633" t="n">
        <v>0</v>
      </c>
      <c r="P118" s="643" t="n">
        <v>100</v>
      </c>
    </row>
    <row r="119" ht="15.75" customHeight="1">
      <c r="A119" s="625" t="inlineStr">
        <is>
          <t>FO23020041</t>
        </is>
      </c>
      <c r="B119" s="626" t="n">
        <v>44978</v>
      </c>
      <c r="C119" s="615" t="inlineStr">
        <is>
          <t>มัลติแบกซ์</t>
        </is>
      </c>
      <c r="D119" s="615" t="inlineStr">
        <is>
          <t>ท่าเรือแหลมฉบัง</t>
        </is>
      </c>
      <c r="E119" s="627" t="n">
        <v>6.2</v>
      </c>
      <c r="F119" s="625" t="inlineStr">
        <is>
          <t>Km</t>
        </is>
      </c>
      <c r="G119" s="625" t="inlineStr">
        <is>
          <t>รถเทรลเลอร์</t>
        </is>
      </c>
      <c r="H119" s="625" t="inlineStr">
        <is>
          <t>SYDNEY, AUSTRALIA</t>
        </is>
      </c>
      <c r="I119" s="629" t="n">
        <v>7448</v>
      </c>
      <c r="J119" s="628" t="inlineStr">
        <is>
          <t>Km</t>
        </is>
      </c>
      <c r="K119" s="630" t="n">
        <v>3830</v>
      </c>
      <c r="L119" s="640">
        <f>M119-K119</f>
        <v/>
      </c>
      <c r="M119" s="1797" t="n">
        <v>24332</v>
      </c>
      <c r="N119" s="1801" t="n">
        <v>16550</v>
      </c>
      <c r="O119" s="615" t="n">
        <v>0</v>
      </c>
      <c r="P119" s="641" t="n">
        <v>100</v>
      </c>
    </row>
    <row r="120" ht="15.75" customHeight="1">
      <c r="A120" s="631" t="inlineStr">
        <is>
          <t>FO23020042</t>
        </is>
      </c>
      <c r="B120" s="632" t="n">
        <v>44979</v>
      </c>
      <c r="C120" s="633" t="inlineStr">
        <is>
          <t>มัลติแบกซ์</t>
        </is>
      </c>
      <c r="D120" s="633" t="inlineStr">
        <is>
          <t>ท่าเรือแหลมฉบัง</t>
        </is>
      </c>
      <c r="E120" s="634" t="n">
        <v>6.2</v>
      </c>
      <c r="F120" s="631" t="inlineStr">
        <is>
          <t>Km</t>
        </is>
      </c>
      <c r="G120" s="631" t="inlineStr">
        <is>
          <t>รถเทรลเลอร์</t>
        </is>
      </c>
      <c r="H120" s="631" t="inlineStr">
        <is>
          <t>MELBOURNE, AUSTRALIA</t>
        </is>
      </c>
      <c r="I120" s="636" t="n">
        <v>7283</v>
      </c>
      <c r="J120" s="635" t="inlineStr">
        <is>
          <t>Km</t>
        </is>
      </c>
      <c r="K120" s="637" t="n">
        <v>3820</v>
      </c>
      <c r="L120" s="642">
        <f>M120-K120</f>
        <v/>
      </c>
      <c r="M120" s="1799" t="n">
        <v>28622</v>
      </c>
      <c r="N120" s="1800" t="n">
        <v>20725</v>
      </c>
      <c r="O120" s="633" t="n">
        <v>0</v>
      </c>
      <c r="P120" s="643" t="n">
        <v>100</v>
      </c>
    </row>
    <row r="121" ht="15.75" customHeight="1">
      <c r="A121" s="625" t="inlineStr">
        <is>
          <t>FO23020043</t>
        </is>
      </c>
      <c r="B121" s="626" t="n">
        <v>44979</v>
      </c>
      <c r="C121" s="615" t="inlineStr">
        <is>
          <t>มัลติแบกซ์</t>
        </is>
      </c>
      <c r="D121" s="615" t="inlineStr">
        <is>
          <t>ท่าเรือแหลมฉบัง</t>
        </is>
      </c>
      <c r="E121" s="627" t="n">
        <v>6.2</v>
      </c>
      <c r="F121" s="625" t="inlineStr">
        <is>
          <t>Km</t>
        </is>
      </c>
      <c r="G121" s="625" t="inlineStr">
        <is>
          <t>รถเทรลเลอร์</t>
        </is>
      </c>
      <c r="H121" s="625" t="inlineStr">
        <is>
          <t>MELBOURNE, AUSTRALIA</t>
        </is>
      </c>
      <c r="I121" s="629" t="n">
        <v>7283</v>
      </c>
      <c r="J121" s="628" t="inlineStr">
        <is>
          <t>Km</t>
        </is>
      </c>
      <c r="K121" s="630" t="n">
        <v>3900</v>
      </c>
      <c r="L121" s="640">
        <f>M121-K121</f>
        <v/>
      </c>
      <c r="M121" s="1797" t="n">
        <v>27132</v>
      </c>
      <c r="N121" s="1801" t="n">
        <v>20159</v>
      </c>
      <c r="O121" s="615" t="n">
        <v>0</v>
      </c>
      <c r="P121" s="641" t="n">
        <v>100</v>
      </c>
    </row>
    <row r="122" ht="15.75" customHeight="1">
      <c r="A122" s="631" t="inlineStr">
        <is>
          <t>FO23020044</t>
        </is>
      </c>
      <c r="B122" s="632" t="n">
        <v>44979</v>
      </c>
      <c r="C122" s="633" t="inlineStr">
        <is>
          <t>มัลติแบกซ์</t>
        </is>
      </c>
      <c r="D122" s="633" t="inlineStr">
        <is>
          <t>ท่าเรือแหลมฉบัง</t>
        </is>
      </c>
      <c r="E122" s="634" t="n">
        <v>6.2</v>
      </c>
      <c r="F122" s="631" t="inlineStr">
        <is>
          <t>Km</t>
        </is>
      </c>
      <c r="G122" s="631" t="inlineStr">
        <is>
          <t>รถเทรลเลอร์</t>
        </is>
      </c>
      <c r="H122" s="631" t="inlineStr">
        <is>
          <t>MELBOURNE, AUSTRALIA</t>
        </is>
      </c>
      <c r="I122" s="636" t="n">
        <v>7283</v>
      </c>
      <c r="J122" s="635" t="inlineStr">
        <is>
          <t>Km</t>
        </is>
      </c>
      <c r="K122" s="637" t="n">
        <v>2160</v>
      </c>
      <c r="L122" s="642">
        <f>M122-K122</f>
        <v/>
      </c>
      <c r="M122" s="1799" t="n">
        <v>13162</v>
      </c>
      <c r="N122" s="1800" t="n">
        <v>9340</v>
      </c>
      <c r="O122" s="633" t="n">
        <v>0</v>
      </c>
      <c r="P122" s="643" t="n">
        <v>100</v>
      </c>
    </row>
    <row r="123" ht="15.75" customHeight="1">
      <c r="A123" s="625" t="inlineStr">
        <is>
          <t>FO23020045</t>
        </is>
      </c>
      <c r="B123" s="626" t="n">
        <v>44977</v>
      </c>
      <c r="C123" s="615" t="inlineStr">
        <is>
          <t>มัลติแบกซ์</t>
        </is>
      </c>
      <c r="D123" s="615" t="inlineStr">
        <is>
          <t>ท่าเรือแหลมฉบัง</t>
        </is>
      </c>
      <c r="E123" s="627" t="n">
        <v>7.1</v>
      </c>
      <c r="F123" s="625" t="inlineStr">
        <is>
          <t>Km</t>
        </is>
      </c>
      <c r="G123" s="625" t="inlineStr">
        <is>
          <t>รถเทรลเลอร์</t>
        </is>
      </c>
      <c r="H123" s="625" t="inlineStr">
        <is>
          <t>TORONTO, CANADA</t>
        </is>
      </c>
      <c r="I123" s="629" t="n">
        <v>13695</v>
      </c>
      <c r="J123" s="628" t="inlineStr">
        <is>
          <t>Km</t>
        </is>
      </c>
      <c r="K123" s="630" t="n">
        <v>3650</v>
      </c>
      <c r="L123" s="640">
        <f>M123-K123</f>
        <v/>
      </c>
      <c r="M123" s="1797" t="n">
        <v>22386</v>
      </c>
      <c r="N123" s="1801" t="n">
        <v>17822</v>
      </c>
      <c r="O123" s="615" t="n">
        <v>0</v>
      </c>
      <c r="P123" s="641" t="n">
        <v>100</v>
      </c>
    </row>
    <row r="124" ht="15.75" customHeight="1">
      <c r="A124" s="631" t="inlineStr">
        <is>
          <t>FO23020046</t>
        </is>
      </c>
      <c r="B124" s="632" t="n">
        <v>44977</v>
      </c>
      <c r="C124" s="633" t="inlineStr">
        <is>
          <t>มัลติแบกซ์</t>
        </is>
      </c>
      <c r="D124" s="633" t="inlineStr">
        <is>
          <t>ท่าเรือแหลมฉบัง</t>
        </is>
      </c>
      <c r="E124" s="634" t="n">
        <v>7.1</v>
      </c>
      <c r="F124" s="631" t="inlineStr">
        <is>
          <t>Km</t>
        </is>
      </c>
      <c r="G124" s="631" t="inlineStr">
        <is>
          <t>รถเทรลเลอร์</t>
        </is>
      </c>
      <c r="H124" s="631" t="inlineStr">
        <is>
          <t>TORONTO, CANADA</t>
        </is>
      </c>
      <c r="I124" s="636" t="n">
        <v>13695</v>
      </c>
      <c r="J124" s="635" t="inlineStr">
        <is>
          <t>Km</t>
        </is>
      </c>
      <c r="K124" s="637" t="n">
        <v>3700</v>
      </c>
      <c r="L124" s="642">
        <f>M124-K124</f>
        <v/>
      </c>
      <c r="M124" s="1799" t="n">
        <v>22500</v>
      </c>
      <c r="N124" s="1800" t="n">
        <v>17940</v>
      </c>
      <c r="O124" s="633" t="n">
        <v>0</v>
      </c>
      <c r="P124" s="643" t="n">
        <v>100</v>
      </c>
    </row>
    <row r="125" ht="15.75" customHeight="1">
      <c r="A125" s="625" t="inlineStr">
        <is>
          <t>FO23020047</t>
        </is>
      </c>
      <c r="B125" s="626" t="n">
        <v>44979</v>
      </c>
      <c r="C125" s="615" t="inlineStr">
        <is>
          <t>มัลติแบกซ์</t>
        </is>
      </c>
      <c r="D125" s="615" t="inlineStr">
        <is>
          <t>ท่าเรือแหลมฉบัง</t>
        </is>
      </c>
      <c r="E125" s="627" t="n">
        <v>7.1</v>
      </c>
      <c r="F125" s="625" t="inlineStr">
        <is>
          <t>Km</t>
        </is>
      </c>
      <c r="G125" s="625" t="inlineStr">
        <is>
          <t>รถเทรลเลอร์</t>
        </is>
      </c>
      <c r="H125" s="625" t="inlineStr">
        <is>
          <t>UNIVERSITY PARK IL, USA</t>
        </is>
      </c>
      <c r="I125" s="629" t="n">
        <v>13877</v>
      </c>
      <c r="J125" s="628" t="inlineStr">
        <is>
          <t>Km</t>
        </is>
      </c>
      <c r="K125" s="630" t="n">
        <v>3800</v>
      </c>
      <c r="L125" s="640">
        <f>M125-K125</f>
        <v/>
      </c>
      <c r="M125" s="1797" t="n">
        <v>13989.8</v>
      </c>
      <c r="N125" s="1801" t="n">
        <v>7660</v>
      </c>
      <c r="O125" s="615" t="n">
        <v>0</v>
      </c>
      <c r="P125" s="641" t="n">
        <v>100</v>
      </c>
    </row>
    <row r="126" ht="15.75" customHeight="1">
      <c r="A126" s="631" t="inlineStr">
        <is>
          <t>FO23020048</t>
        </is>
      </c>
      <c r="B126" s="632" t="n">
        <v>44980</v>
      </c>
      <c r="C126" s="633" t="inlineStr">
        <is>
          <t>มัลติแบกซ์</t>
        </is>
      </c>
      <c r="D126" s="633" t="inlineStr">
        <is>
          <t>ท่าเรือแหลมฉบัง</t>
        </is>
      </c>
      <c r="E126" s="634" t="n">
        <v>6.2</v>
      </c>
      <c r="F126" s="631" t="inlineStr">
        <is>
          <t>Km</t>
        </is>
      </c>
      <c r="G126" s="631" t="inlineStr">
        <is>
          <t>รถเทรลเลอร์</t>
        </is>
      </c>
      <c r="H126" s="631" t="inlineStr">
        <is>
          <t>UNIVERSITY PARK IL, USA</t>
        </is>
      </c>
      <c r="I126" s="636" t="n">
        <v>13877</v>
      </c>
      <c r="J126" s="635" t="inlineStr">
        <is>
          <t>Km</t>
        </is>
      </c>
      <c r="K126" s="637" t="n">
        <v>3900</v>
      </c>
      <c r="L126" s="642">
        <f>M126-K126</f>
        <v/>
      </c>
      <c r="M126" s="1799" t="n">
        <v>23499.5</v>
      </c>
      <c r="N126" s="1800" t="n">
        <v>15795</v>
      </c>
      <c r="O126" s="633" t="n">
        <v>0</v>
      </c>
      <c r="P126" s="643" t="n">
        <v>100</v>
      </c>
    </row>
    <row r="127" ht="15.75" customHeight="1">
      <c r="A127" s="625" t="inlineStr">
        <is>
          <t>FO23020049</t>
        </is>
      </c>
      <c r="B127" s="626" t="n">
        <v>44980</v>
      </c>
      <c r="C127" s="615" t="inlineStr">
        <is>
          <t>มัลติแบกซ์</t>
        </is>
      </c>
      <c r="D127" s="615" t="inlineStr">
        <is>
          <t>ท่าเรือแหลมฉบัง</t>
        </is>
      </c>
      <c r="E127" s="627" t="n">
        <v>7.1</v>
      </c>
      <c r="F127" s="625" t="inlineStr">
        <is>
          <t>Km</t>
        </is>
      </c>
      <c r="G127" s="625" t="inlineStr">
        <is>
          <t>รถเทรลเลอร์</t>
        </is>
      </c>
      <c r="H127" s="625" t="inlineStr">
        <is>
          <t>UNIVERSITY PARK IL, USA</t>
        </is>
      </c>
      <c r="I127" s="629" t="n">
        <v>13877</v>
      </c>
      <c r="J127" s="628" t="inlineStr">
        <is>
          <t>Km</t>
        </is>
      </c>
      <c r="K127" s="630" t="n">
        <v>3840</v>
      </c>
      <c r="L127" s="640">
        <f>M127-K127</f>
        <v/>
      </c>
      <c r="M127" s="1797" t="n">
        <v>15854</v>
      </c>
      <c r="N127" s="1801" t="n">
        <v>8988</v>
      </c>
      <c r="O127" s="615" t="n">
        <v>0</v>
      </c>
      <c r="P127" s="641" t="n">
        <v>100</v>
      </c>
    </row>
    <row r="128" ht="15.75" customHeight="1">
      <c r="A128" s="631" t="inlineStr">
        <is>
          <t>FO23020050</t>
        </is>
      </c>
      <c r="B128" s="632" t="n">
        <v>44977</v>
      </c>
      <c r="C128" s="633" t="inlineStr">
        <is>
          <t>มัลติแบกซ์</t>
        </is>
      </c>
      <c r="D128" s="633" t="inlineStr">
        <is>
          <t>ท่าเรือแหลมฉบัง</t>
        </is>
      </c>
      <c r="E128" s="634" t="n">
        <v>7.1</v>
      </c>
      <c r="F128" s="631" t="inlineStr">
        <is>
          <t>Km</t>
        </is>
      </c>
      <c r="G128" s="631" t="inlineStr">
        <is>
          <t>รถเทรลเลอร์</t>
        </is>
      </c>
      <c r="H128" s="631" t="inlineStr">
        <is>
          <t>SOUTH BOSTON VA, USA</t>
        </is>
      </c>
      <c r="I128" s="636" t="n">
        <v>13787</v>
      </c>
      <c r="J128" s="635" t="inlineStr">
        <is>
          <t>Km</t>
        </is>
      </c>
      <c r="K128" s="637" t="n">
        <v>3820</v>
      </c>
      <c r="L128" s="642">
        <f>M128-K128</f>
        <v/>
      </c>
      <c r="M128" s="1799" t="n">
        <v>16071.5</v>
      </c>
      <c r="N128" s="1800" t="n">
        <v>8585.49</v>
      </c>
      <c r="O128" s="633" t="n">
        <v>0</v>
      </c>
      <c r="P128" s="643" t="n">
        <v>100</v>
      </c>
    </row>
    <row r="129" ht="15.75" customHeight="1">
      <c r="A129" s="625" t="inlineStr">
        <is>
          <t>FO23020051</t>
        </is>
      </c>
      <c r="B129" s="626" t="n">
        <v>44981</v>
      </c>
      <c r="C129" s="615" t="inlineStr">
        <is>
          <t>มัลติแบกซ์</t>
        </is>
      </c>
      <c r="D129" s="615" t="inlineStr">
        <is>
          <t>ท่าเรือแหลมฉบัง</t>
        </is>
      </c>
      <c r="E129" s="627" t="n">
        <v>6.2</v>
      </c>
      <c r="F129" s="625" t="inlineStr">
        <is>
          <t>Km</t>
        </is>
      </c>
      <c r="G129" s="625" t="inlineStr">
        <is>
          <t>รถเทรลเลอร์</t>
        </is>
      </c>
      <c r="H129" s="625" t="inlineStr">
        <is>
          <t>HONG KONG</t>
        </is>
      </c>
      <c r="I129" s="629" t="n">
        <v>1734</v>
      </c>
      <c r="J129" s="628" t="inlineStr">
        <is>
          <t>Km</t>
        </is>
      </c>
      <c r="K129" s="630" t="n">
        <v>3650</v>
      </c>
      <c r="L129" s="640">
        <f>M129-K129</f>
        <v/>
      </c>
      <c r="M129" s="1797" t="n">
        <v>15538</v>
      </c>
      <c r="N129" s="1801" t="n">
        <v>9380.799999999999</v>
      </c>
      <c r="O129" s="615" t="n">
        <v>0</v>
      </c>
      <c r="P129" s="641" t="n">
        <v>100</v>
      </c>
    </row>
    <row r="130" ht="15.75" customHeight="1">
      <c r="A130" s="631" t="inlineStr">
        <is>
          <t>FO23020052</t>
        </is>
      </c>
      <c r="B130" s="632" t="n">
        <v>44981</v>
      </c>
      <c r="C130" s="633" t="inlineStr">
        <is>
          <t>มัลติแบกซ์</t>
        </is>
      </c>
      <c r="D130" s="633" t="inlineStr">
        <is>
          <t>ท่าเรือแหลมฉบัง</t>
        </is>
      </c>
      <c r="E130" s="634" t="n">
        <v>7.1</v>
      </c>
      <c r="F130" s="631" t="inlineStr">
        <is>
          <t>Km</t>
        </is>
      </c>
      <c r="G130" s="631" t="inlineStr">
        <is>
          <t>รถเทรลเลอร์</t>
        </is>
      </c>
      <c r="H130" s="631" t="inlineStr">
        <is>
          <t>HONG KONG</t>
        </is>
      </c>
      <c r="I130" s="636" t="n">
        <v>1734</v>
      </c>
      <c r="J130" s="635" t="inlineStr">
        <is>
          <t>Km</t>
        </is>
      </c>
      <c r="K130" s="637" t="n">
        <v>2100</v>
      </c>
      <c r="L130" s="642">
        <f>M130-K130</f>
        <v/>
      </c>
      <c r="M130" s="1799" t="n">
        <v>7338.3</v>
      </c>
      <c r="N130" s="1800" t="n">
        <v>4096.6</v>
      </c>
      <c r="O130" s="633" t="n">
        <v>0</v>
      </c>
      <c r="P130" s="643" t="n">
        <v>100</v>
      </c>
    </row>
    <row r="131" ht="15.75" customHeight="1">
      <c r="A131" s="625" t="inlineStr">
        <is>
          <t>FO23020053</t>
        </is>
      </c>
      <c r="B131" s="626" t="n">
        <v>44980</v>
      </c>
      <c r="C131" s="615" t="inlineStr">
        <is>
          <t>มัลติแบกซ์</t>
        </is>
      </c>
      <c r="D131" s="615" t="inlineStr">
        <is>
          <t>ท่าเรือแหลมฉบัง</t>
        </is>
      </c>
      <c r="E131" s="627" t="n">
        <v>6.2</v>
      </c>
      <c r="F131" s="625" t="inlineStr">
        <is>
          <t>Km</t>
        </is>
      </c>
      <c r="G131" s="625" t="inlineStr">
        <is>
          <t>รถเทรลเลอร์</t>
        </is>
      </c>
      <c r="H131" s="625" t="inlineStr">
        <is>
          <t>JACKSONVILLE IL, USA</t>
        </is>
      </c>
      <c r="I131" s="629" t="n">
        <v>15168</v>
      </c>
      <c r="J131" s="628" t="inlineStr">
        <is>
          <t>Km</t>
        </is>
      </c>
      <c r="K131" s="630" t="n">
        <v>3700</v>
      </c>
      <c r="L131" s="640">
        <f>M131-K131</f>
        <v/>
      </c>
      <c r="M131" s="1797" t="n">
        <v>20777</v>
      </c>
      <c r="N131" s="1801" t="n">
        <v>15333.35</v>
      </c>
      <c r="O131" s="615" t="n">
        <v>0</v>
      </c>
      <c r="P131" s="641" t="n">
        <v>100</v>
      </c>
    </row>
    <row r="132" ht="15.75" customHeight="1">
      <c r="A132" s="631" t="inlineStr">
        <is>
          <t>FO23020054</t>
        </is>
      </c>
      <c r="B132" s="632" t="n">
        <v>44979</v>
      </c>
      <c r="C132" s="633" t="inlineStr">
        <is>
          <t>มัลติแบกซ์</t>
        </is>
      </c>
      <c r="D132" s="633" t="inlineStr">
        <is>
          <t>ท่าเรือแหลมฉบัง</t>
        </is>
      </c>
      <c r="E132" s="634" t="n">
        <v>6.2</v>
      </c>
      <c r="F132" s="631" t="inlineStr">
        <is>
          <t>Km</t>
        </is>
      </c>
      <c r="G132" s="631" t="inlineStr">
        <is>
          <t>รถเทรลเลอร์</t>
        </is>
      </c>
      <c r="H132" s="631" t="inlineStr">
        <is>
          <t>JACKSONVILLE IL, USA</t>
        </is>
      </c>
      <c r="I132" s="636" t="n">
        <v>15168</v>
      </c>
      <c r="J132" s="635" t="inlineStr">
        <is>
          <t>Km</t>
        </is>
      </c>
      <c r="K132" s="637" t="n">
        <v>3700</v>
      </c>
      <c r="L132" s="642">
        <f>M132-K132</f>
        <v/>
      </c>
      <c r="M132" s="1799" t="n">
        <v>22881</v>
      </c>
      <c r="N132" s="1800" t="n">
        <v>16275</v>
      </c>
      <c r="O132" s="633" t="n">
        <v>0</v>
      </c>
      <c r="P132" s="643" t="n">
        <v>100</v>
      </c>
    </row>
    <row r="133" ht="15.75" customHeight="1">
      <c r="A133" s="625" t="inlineStr">
        <is>
          <t>FO23020055</t>
        </is>
      </c>
      <c r="B133" s="626" t="n">
        <v>44979</v>
      </c>
      <c r="C133" s="615" t="inlineStr">
        <is>
          <t>มัลติแบกซ์</t>
        </is>
      </c>
      <c r="D133" s="615" t="inlineStr">
        <is>
          <t>ท่าเรือแหลมฉบัง</t>
        </is>
      </c>
      <c r="E133" s="627" t="n">
        <v>6.2</v>
      </c>
      <c r="F133" s="625" t="inlineStr">
        <is>
          <t>Km</t>
        </is>
      </c>
      <c r="G133" s="625" t="inlineStr">
        <is>
          <t>รถเทรลเลอร์</t>
        </is>
      </c>
      <c r="H133" s="625" t="inlineStr">
        <is>
          <t>JACKSONVILLE IL, USA</t>
        </is>
      </c>
      <c r="I133" s="629" t="n">
        <v>15168</v>
      </c>
      <c r="J133" s="628" t="inlineStr">
        <is>
          <t>Km</t>
        </is>
      </c>
      <c r="K133" s="630" t="n">
        <v>3700</v>
      </c>
      <c r="L133" s="640">
        <f>M133-K133</f>
        <v/>
      </c>
      <c r="M133" s="1797" t="n">
        <v>22881</v>
      </c>
      <c r="N133" s="1801" t="n">
        <v>16275</v>
      </c>
      <c r="O133" s="615" t="n">
        <v>0</v>
      </c>
      <c r="P133" s="641" t="n">
        <v>100</v>
      </c>
    </row>
    <row r="134" ht="15.75" customHeight="1">
      <c r="A134" s="631" t="inlineStr">
        <is>
          <t>FO23020056</t>
        </is>
      </c>
      <c r="B134" s="632" t="n">
        <v>44979</v>
      </c>
      <c r="C134" s="633" t="inlineStr">
        <is>
          <t>มัลติแบกซ์</t>
        </is>
      </c>
      <c r="D134" s="633" t="inlineStr">
        <is>
          <t>ท่าเรือแหลมฉบัง</t>
        </is>
      </c>
      <c r="E134" s="634" t="n">
        <v>7.1</v>
      </c>
      <c r="F134" s="631" t="inlineStr">
        <is>
          <t>Km</t>
        </is>
      </c>
      <c r="G134" s="631" t="inlineStr">
        <is>
          <t>รถเทรลเลอร์</t>
        </is>
      </c>
      <c r="H134" s="631" t="inlineStr">
        <is>
          <t>UK PORT</t>
        </is>
      </c>
      <c r="I134" s="636" t="n">
        <v>9687</v>
      </c>
      <c r="J134" s="635" t="inlineStr">
        <is>
          <t>Km</t>
        </is>
      </c>
      <c r="K134" s="637" t="n">
        <v>3770</v>
      </c>
      <c r="L134" s="642">
        <f>M134-K134</f>
        <v/>
      </c>
      <c r="M134" s="1799" t="n">
        <v>23667</v>
      </c>
      <c r="N134" s="1800" t="n">
        <v>18561</v>
      </c>
      <c r="O134" s="633" t="n">
        <v>0</v>
      </c>
      <c r="P134" s="643" t="n">
        <v>100</v>
      </c>
    </row>
    <row r="135" ht="15.75" customHeight="1">
      <c r="A135" s="625" t="inlineStr">
        <is>
          <t>FO23020057</t>
        </is>
      </c>
      <c r="B135" s="626" t="n">
        <v>44984</v>
      </c>
      <c r="C135" s="615" t="inlineStr">
        <is>
          <t>มัลติแบกซ์</t>
        </is>
      </c>
      <c r="D135" s="615" t="inlineStr">
        <is>
          <t>ท่าเรือแหลมฉบัง</t>
        </is>
      </c>
      <c r="E135" s="627" t="n">
        <v>7.1</v>
      </c>
      <c r="F135" s="625" t="inlineStr">
        <is>
          <t>Km</t>
        </is>
      </c>
      <c r="G135" s="625" t="inlineStr">
        <is>
          <t>รถเทรลเลอร์</t>
        </is>
      </c>
      <c r="H135" s="625" t="inlineStr">
        <is>
          <t>SYDNEY, AUSTRALIA</t>
        </is>
      </c>
      <c r="I135" s="629" t="n">
        <v>7448</v>
      </c>
      <c r="J135" s="628" t="inlineStr">
        <is>
          <t>Km</t>
        </is>
      </c>
      <c r="K135" s="630" t="n">
        <v>3700</v>
      </c>
      <c r="L135" s="640">
        <f>M135-K135</f>
        <v/>
      </c>
      <c r="M135" s="1797" t="n">
        <v>27502</v>
      </c>
      <c r="N135" s="1801" t="n">
        <v>20199</v>
      </c>
      <c r="O135" s="615" t="n">
        <v>0</v>
      </c>
      <c r="P135" s="641" t="n">
        <v>100</v>
      </c>
    </row>
    <row r="136" ht="15.75" customHeight="1">
      <c r="A136" s="631" t="inlineStr">
        <is>
          <t>FO23020058</t>
        </is>
      </c>
      <c r="B136" s="632" t="n">
        <v>44979</v>
      </c>
      <c r="C136" s="633" t="inlineStr">
        <is>
          <t>มัลติแบกซ์</t>
        </is>
      </c>
      <c r="D136" s="633" t="inlineStr">
        <is>
          <t>ท่าเรือแหลมฉบัง</t>
        </is>
      </c>
      <c r="E136" s="634" t="n">
        <v>6.2</v>
      </c>
      <c r="F136" s="631" t="inlineStr">
        <is>
          <t>Km</t>
        </is>
      </c>
      <c r="G136" s="631" t="inlineStr">
        <is>
          <t>รถเทรลเลอร์</t>
        </is>
      </c>
      <c r="H136" s="631" t="inlineStr">
        <is>
          <t>CARROLLTON TX, USA</t>
        </is>
      </c>
      <c r="I136" s="636" t="n">
        <v>14544</v>
      </c>
      <c r="J136" s="635" t="inlineStr">
        <is>
          <t>Km</t>
        </is>
      </c>
      <c r="K136" s="637" t="n">
        <v>3840</v>
      </c>
      <c r="L136" s="642">
        <f>M136-K136</f>
        <v/>
      </c>
      <c r="M136" s="1799" t="n">
        <v>18679</v>
      </c>
      <c r="N136" s="1800" t="n">
        <v>12511.2</v>
      </c>
      <c r="O136" s="633" t="n">
        <v>0</v>
      </c>
      <c r="P136" s="643" t="n">
        <v>100</v>
      </c>
    </row>
    <row r="137" ht="15.75" customHeight="1">
      <c r="A137" s="625" t="inlineStr">
        <is>
          <t>FO23020059</t>
        </is>
      </c>
      <c r="B137" s="626" t="n">
        <v>44984</v>
      </c>
      <c r="C137" s="615" t="inlineStr">
        <is>
          <t>มัลติแบกซ์</t>
        </is>
      </c>
      <c r="D137" s="615" t="inlineStr">
        <is>
          <t>ท่าเรือแหลมฉบัง</t>
        </is>
      </c>
      <c r="E137" s="627" t="n">
        <v>5.2</v>
      </c>
      <c r="F137" s="625" t="inlineStr">
        <is>
          <t>Km</t>
        </is>
      </c>
      <c r="G137" s="625" t="inlineStr">
        <is>
          <t>รถเทรลเลอร์</t>
        </is>
      </c>
      <c r="H137" s="625" t="inlineStr">
        <is>
          <t>LOUISVILLE KY, USA</t>
        </is>
      </c>
      <c r="I137" s="629" t="n">
        <v>14253</v>
      </c>
      <c r="J137" s="628" t="inlineStr">
        <is>
          <t>Km</t>
        </is>
      </c>
      <c r="K137" s="630" t="n">
        <v>3780</v>
      </c>
      <c r="L137" s="640">
        <f>M137-K137</f>
        <v/>
      </c>
      <c r="M137" s="1797" t="n">
        <v>14681.63</v>
      </c>
      <c r="N137" s="1801" t="n">
        <v>8102.34</v>
      </c>
      <c r="O137" s="615" t="n">
        <v>0</v>
      </c>
      <c r="P137" s="641" t="n">
        <v>100</v>
      </c>
    </row>
    <row r="138" ht="15.75" customHeight="1">
      <c r="A138" s="631" t="inlineStr">
        <is>
          <t>FO23020060</t>
        </is>
      </c>
      <c r="B138" s="632" t="n">
        <v>44985</v>
      </c>
      <c r="C138" s="633" t="inlineStr">
        <is>
          <t>มัลติแบกซ์</t>
        </is>
      </c>
      <c r="D138" s="633" t="inlineStr">
        <is>
          <t>ท่าเรือแหลมฉบัง</t>
        </is>
      </c>
      <c r="E138" s="634" t="n">
        <v>3.6</v>
      </c>
      <c r="F138" s="631" t="inlineStr">
        <is>
          <t>Km</t>
        </is>
      </c>
      <c r="G138" s="631" t="inlineStr">
        <is>
          <t>รถเทรลเลอร์</t>
        </is>
      </c>
      <c r="H138" s="631" t="inlineStr">
        <is>
          <t>TOMAKOMAI, JAPAN</t>
        </is>
      </c>
      <c r="I138" s="636" t="n">
        <v>5092</v>
      </c>
      <c r="J138" s="635" t="inlineStr">
        <is>
          <t>Km</t>
        </is>
      </c>
      <c r="K138" s="637" t="n">
        <v>2185</v>
      </c>
      <c r="L138" s="642">
        <f>M138-K138</f>
        <v/>
      </c>
      <c r="M138" s="1799" t="n">
        <v>7519.5</v>
      </c>
      <c r="N138" s="1800" t="n">
        <v>4398.9</v>
      </c>
      <c r="O138" s="633" t="n">
        <v>0</v>
      </c>
      <c r="P138" s="643" t="n">
        <v>100</v>
      </c>
    </row>
    <row r="139" ht="15.75" customHeight="1">
      <c r="A139" s="625" t="inlineStr">
        <is>
          <t>FO23020061</t>
        </is>
      </c>
      <c r="B139" s="626" t="n">
        <v>44985</v>
      </c>
      <c r="C139" s="615" t="inlineStr">
        <is>
          <t>มัลติแบกซ์</t>
        </is>
      </c>
      <c r="D139" s="615" t="inlineStr">
        <is>
          <t>ท่าเรือแหลมฉบัง</t>
        </is>
      </c>
      <c r="E139" s="627" t="n">
        <v>5.3</v>
      </c>
      <c r="F139" s="625" t="inlineStr">
        <is>
          <t>Km</t>
        </is>
      </c>
      <c r="G139" s="625" t="inlineStr">
        <is>
          <t>รถเทรลเลอร์</t>
        </is>
      </c>
      <c r="H139" s="625" t="inlineStr">
        <is>
          <t>SANTA TERESA, NM USA</t>
        </is>
      </c>
      <c r="I139" s="629" t="n">
        <v>17387</v>
      </c>
      <c r="J139" s="628" t="inlineStr">
        <is>
          <t>Km</t>
        </is>
      </c>
      <c r="K139" s="630" t="n">
        <v>3770</v>
      </c>
      <c r="L139" s="640">
        <f>M139-K139</f>
        <v/>
      </c>
      <c r="M139" s="1797" t="n">
        <v>21729.85</v>
      </c>
      <c r="N139" s="1801" t="n">
        <v>15637.32</v>
      </c>
      <c r="O139" s="615" t="n">
        <v>0</v>
      </c>
      <c r="P139" s="641" t="n">
        <v>100</v>
      </c>
    </row>
    <row r="140" ht="15.75" customHeight="1">
      <c r="A140" s="631" t="inlineStr">
        <is>
          <t>FO23020062</t>
        </is>
      </c>
      <c r="B140" s="632" t="n">
        <v>44980</v>
      </c>
      <c r="C140" s="633" t="inlineStr">
        <is>
          <t>มัลติแบกซ์</t>
        </is>
      </c>
      <c r="D140" s="633" t="inlineStr">
        <is>
          <t>ท่าเรือแหลมฉบัง</t>
        </is>
      </c>
      <c r="E140" s="634" t="n">
        <v>6.2</v>
      </c>
      <c r="F140" s="631" t="inlineStr">
        <is>
          <t>Km</t>
        </is>
      </c>
      <c r="G140" s="631" t="inlineStr">
        <is>
          <t>รถเทรลเลอร์</t>
        </is>
      </c>
      <c r="H140" s="631" t="inlineStr">
        <is>
          <t>GUANGZHOU, CHINA</t>
        </is>
      </c>
      <c r="I140" s="636" t="n">
        <v>2597</v>
      </c>
      <c r="J140" s="635" t="inlineStr">
        <is>
          <t>Km</t>
        </is>
      </c>
      <c r="K140" s="637" t="n">
        <v>3120</v>
      </c>
      <c r="L140" s="642">
        <f>M140-K140</f>
        <v/>
      </c>
      <c r="M140" s="1799" t="n">
        <v>16208</v>
      </c>
      <c r="N140" s="1800" t="n">
        <v>10669</v>
      </c>
      <c r="O140" s="633" t="n">
        <v>0</v>
      </c>
      <c r="P140" s="643" t="n">
        <v>100</v>
      </c>
    </row>
    <row r="141" ht="15.75" customHeight="1">
      <c r="A141" s="625" t="inlineStr">
        <is>
          <t>FO23020063</t>
        </is>
      </c>
      <c r="B141" s="626" t="n">
        <v>44985</v>
      </c>
      <c r="C141" s="615" t="inlineStr">
        <is>
          <t>มัลติแบกซ์</t>
        </is>
      </c>
      <c r="D141" s="615" t="inlineStr">
        <is>
          <t>ท่าเรือแหลมฉบัง</t>
        </is>
      </c>
      <c r="E141" s="627" t="n">
        <v>7.1</v>
      </c>
      <c r="F141" s="625" t="inlineStr">
        <is>
          <t>Km</t>
        </is>
      </c>
      <c r="G141" s="625" t="inlineStr">
        <is>
          <t>รถเทรลเลอร์</t>
        </is>
      </c>
      <c r="H141" s="625" t="inlineStr">
        <is>
          <t>COLUMBUS OHIO, USA</t>
        </is>
      </c>
      <c r="I141" s="629" t="n">
        <v>14000</v>
      </c>
      <c r="J141" s="628" t="inlineStr">
        <is>
          <t>Km</t>
        </is>
      </c>
      <c r="K141" s="630" t="n">
        <v>3700</v>
      </c>
      <c r="L141" s="640">
        <f>M141-K141</f>
        <v/>
      </c>
      <c r="M141" s="1797" t="n">
        <v>22016.56</v>
      </c>
      <c r="N141" s="1801" t="n">
        <v>15942.2</v>
      </c>
      <c r="O141" s="615" t="n">
        <v>0</v>
      </c>
      <c r="P141" s="641" t="n">
        <v>100</v>
      </c>
    </row>
    <row r="142" ht="15.75" customHeight="1">
      <c r="A142" s="631" t="inlineStr">
        <is>
          <t>FO23020064</t>
        </is>
      </c>
      <c r="B142" s="632" t="n">
        <v>44985</v>
      </c>
      <c r="C142" s="633" t="inlineStr">
        <is>
          <t>มัลติแบกซ์</t>
        </is>
      </c>
      <c r="D142" s="633" t="inlineStr">
        <is>
          <t>ท่าเรือแหลมฉบัง</t>
        </is>
      </c>
      <c r="E142" s="634" t="n">
        <v>6.5</v>
      </c>
      <c r="F142" s="631" t="inlineStr">
        <is>
          <t>Km</t>
        </is>
      </c>
      <c r="G142" s="631" t="inlineStr">
        <is>
          <t>รถเทรลเลอร์</t>
        </is>
      </c>
      <c r="H142" s="631" t="inlineStr">
        <is>
          <t>APPLETON WI , USA</t>
        </is>
      </c>
      <c r="I142" s="636" t="n">
        <v>13558</v>
      </c>
      <c r="J142" s="635" t="inlineStr">
        <is>
          <t>Km</t>
        </is>
      </c>
      <c r="K142" s="637" t="n">
        <v>3700</v>
      </c>
      <c r="L142" s="642">
        <f>M142-K142</f>
        <v/>
      </c>
      <c r="M142" s="1799" t="n">
        <v>16305.25</v>
      </c>
      <c r="N142" s="1800" t="n">
        <v>8711.25</v>
      </c>
      <c r="O142" s="633" t="n">
        <v>0</v>
      </c>
      <c r="P142" s="643" t="n">
        <v>100</v>
      </c>
    </row>
    <row r="143" ht="15.75" customHeight="1">
      <c r="A143" s="625" t="inlineStr">
        <is>
          <t>FO23020065</t>
        </is>
      </c>
      <c r="B143" s="626" t="n">
        <v>44986</v>
      </c>
      <c r="C143" s="615" t="inlineStr">
        <is>
          <t>มัลติแบกซ์</t>
        </is>
      </c>
      <c r="D143" s="615" t="inlineStr">
        <is>
          <t>ท่าเรือแหลมฉบัง</t>
        </is>
      </c>
      <c r="E143" s="627" t="n">
        <v>6</v>
      </c>
      <c r="F143" s="625" t="inlineStr">
        <is>
          <t>Km</t>
        </is>
      </c>
      <c r="G143" s="625" t="inlineStr">
        <is>
          <t>รถเทรลเลอร์</t>
        </is>
      </c>
      <c r="H143" s="625" t="inlineStr">
        <is>
          <t>NAGOYA, JAPAN</t>
        </is>
      </c>
      <c r="I143" s="629" t="n">
        <v>4358</v>
      </c>
      <c r="J143" s="628" t="inlineStr">
        <is>
          <t>Km</t>
        </is>
      </c>
      <c r="K143" s="627" t="n">
        <v>2265</v>
      </c>
      <c r="L143" s="640">
        <f>M143-K143</f>
        <v/>
      </c>
      <c r="M143" s="1797" t="n">
        <v>7612.15</v>
      </c>
      <c r="N143" s="1802" t="n">
        <v>4360.4</v>
      </c>
      <c r="O143" s="615" t="n">
        <v>0</v>
      </c>
      <c r="P143" s="641" t="n">
        <v>100</v>
      </c>
    </row>
    <row r="144" ht="15.75" customHeight="1">
      <c r="A144" s="631" t="inlineStr">
        <is>
          <t>FO23020066</t>
        </is>
      </c>
      <c r="B144" s="632" t="n">
        <v>44986</v>
      </c>
      <c r="C144" s="633" t="inlineStr">
        <is>
          <t>มัลติแบกซ์</t>
        </is>
      </c>
      <c r="D144" s="633" t="inlineStr">
        <is>
          <t>ท่าเรือแหลมฉบัง</t>
        </is>
      </c>
      <c r="E144" s="634" t="n">
        <v>6</v>
      </c>
      <c r="F144" s="631" t="inlineStr">
        <is>
          <t>Km</t>
        </is>
      </c>
      <c r="G144" s="631" t="inlineStr">
        <is>
          <t>รถเทรลเลอร์</t>
        </is>
      </c>
      <c r="H144" s="631" t="inlineStr">
        <is>
          <t>SHIMIZU, JAPAN</t>
        </is>
      </c>
      <c r="I144" s="636" t="n">
        <v>4482</v>
      </c>
      <c r="J144" s="635" t="inlineStr">
        <is>
          <t>Km</t>
        </is>
      </c>
      <c r="K144" s="634" t="n">
        <v>2185</v>
      </c>
      <c r="L144" s="642">
        <f>M144-K144</f>
        <v/>
      </c>
      <c r="M144" s="1799" t="n">
        <v>7434.35</v>
      </c>
      <c r="N144" s="1803" t="n">
        <v>4200.95</v>
      </c>
      <c r="O144" s="633" t="n">
        <v>0</v>
      </c>
      <c r="P144" s="643" t="n">
        <v>100</v>
      </c>
    </row>
    <row r="145" ht="15.75" customHeight="1">
      <c r="A145" s="625" t="inlineStr">
        <is>
          <t>FO23020067</t>
        </is>
      </c>
      <c r="B145" s="626" t="n">
        <v>44984</v>
      </c>
      <c r="C145" s="615" t="inlineStr">
        <is>
          <t>มัลติแบกซ์</t>
        </is>
      </c>
      <c r="D145" s="615" t="inlineStr">
        <is>
          <t>ท่าเรือแหลมฉบัง</t>
        </is>
      </c>
      <c r="E145" s="627" t="n">
        <v>6.5</v>
      </c>
      <c r="F145" s="625" t="inlineStr">
        <is>
          <t>Km</t>
        </is>
      </c>
      <c r="G145" s="625" t="inlineStr">
        <is>
          <t>รถเทรลเลอร์</t>
        </is>
      </c>
      <c r="H145" s="625" t="inlineStr">
        <is>
          <t>JACKSONVILLE IL, USA</t>
        </is>
      </c>
      <c r="I145" s="629" t="n">
        <v>15168</v>
      </c>
      <c r="J145" s="628" t="inlineStr">
        <is>
          <t>Km</t>
        </is>
      </c>
      <c r="K145" s="630" t="n">
        <v>3700</v>
      </c>
      <c r="L145" s="640">
        <f>M145-K145</f>
        <v/>
      </c>
      <c r="M145" s="1797" t="n">
        <v>19020</v>
      </c>
      <c r="N145" s="1801" t="n">
        <v>12558</v>
      </c>
      <c r="O145" s="615" t="n">
        <v>0</v>
      </c>
      <c r="P145" s="641" t="n">
        <v>100</v>
      </c>
    </row>
    <row r="146" ht="15.75" customHeight="1">
      <c r="A146" s="631" t="inlineStr">
        <is>
          <t>FO23020068</t>
        </is>
      </c>
      <c r="B146" s="632" t="n">
        <v>44985</v>
      </c>
      <c r="C146" s="633" t="inlineStr">
        <is>
          <t>มัลติแบกซ์</t>
        </is>
      </c>
      <c r="D146" s="633" t="inlineStr">
        <is>
          <t>ท่าเรือแหลมฉบัง</t>
        </is>
      </c>
      <c r="E146" s="634" t="n">
        <v>6</v>
      </c>
      <c r="F146" s="631" t="inlineStr">
        <is>
          <t>Km</t>
        </is>
      </c>
      <c r="G146" s="631" t="inlineStr">
        <is>
          <t>รถเทรลเลอร์</t>
        </is>
      </c>
      <c r="H146" s="631" t="inlineStr">
        <is>
          <t>TOKYO, JAPAN</t>
        </is>
      </c>
      <c r="I146" s="636" t="n">
        <v>4608</v>
      </c>
      <c r="J146" s="635" t="inlineStr">
        <is>
          <t>Km</t>
        </is>
      </c>
      <c r="K146" s="634" t="n">
        <v>2210</v>
      </c>
      <c r="L146" s="642">
        <f>M146-K146</f>
        <v/>
      </c>
      <c r="M146" s="1799" t="n">
        <v>7459.35</v>
      </c>
      <c r="N146" s="1803" t="n">
        <v>4200.95</v>
      </c>
      <c r="O146" s="633" t="n">
        <v>0</v>
      </c>
      <c r="P146" s="643" t="n">
        <v>100</v>
      </c>
    </row>
    <row r="147" ht="15.75" customHeight="1">
      <c r="A147" s="625" t="inlineStr">
        <is>
          <t>FO23020069</t>
        </is>
      </c>
      <c r="B147" s="626" t="n">
        <v>44985</v>
      </c>
      <c r="C147" s="615" t="inlineStr">
        <is>
          <t>มัลติแบกซ์</t>
        </is>
      </c>
      <c r="D147" s="615" t="inlineStr">
        <is>
          <t>ท่าเรือแหลมฉบัง</t>
        </is>
      </c>
      <c r="E147" s="627" t="n">
        <v>6.5</v>
      </c>
      <c r="F147" s="625" t="inlineStr">
        <is>
          <t>Km</t>
        </is>
      </c>
      <c r="G147" s="625" t="inlineStr">
        <is>
          <t>รถเทรลเลอร์</t>
        </is>
      </c>
      <c r="H147" s="625" t="inlineStr">
        <is>
          <t>JACKSONVILLE IL, USA</t>
        </is>
      </c>
      <c r="I147" s="629" t="n">
        <v>15168</v>
      </c>
      <c r="J147" s="628" t="inlineStr">
        <is>
          <t>Km</t>
        </is>
      </c>
      <c r="K147" s="627" t="n">
        <v>3700</v>
      </c>
      <c r="L147" s="640">
        <f>M147-K147</f>
        <v/>
      </c>
      <c r="M147" s="1797" t="n">
        <v>19900</v>
      </c>
      <c r="N147" s="1802" t="n">
        <v>13083</v>
      </c>
      <c r="O147" s="615" t="n">
        <v>0</v>
      </c>
      <c r="P147" s="641" t="n">
        <v>100</v>
      </c>
    </row>
    <row r="148" ht="15.75" customHeight="1">
      <c r="A148" s="631" t="inlineStr">
        <is>
          <t>FO23020070</t>
        </is>
      </c>
      <c r="B148" s="632" t="n">
        <v>44985</v>
      </c>
      <c r="C148" s="633" t="inlineStr">
        <is>
          <t>มัลติแบกซ์</t>
        </is>
      </c>
      <c r="D148" s="633" t="inlineStr">
        <is>
          <t>ท่าเรือแหลมฉบัง</t>
        </is>
      </c>
      <c r="E148" s="634" t="n">
        <v>6.5</v>
      </c>
      <c r="F148" s="631" t="inlineStr">
        <is>
          <t>Km</t>
        </is>
      </c>
      <c r="G148" s="631" t="inlineStr">
        <is>
          <t>รถเทรลเลอร์</t>
        </is>
      </c>
      <c r="H148" s="631" t="inlineStr">
        <is>
          <t>JACKSONVILLE IL, USA</t>
        </is>
      </c>
      <c r="I148" s="636" t="n">
        <v>15168</v>
      </c>
      <c r="J148" s="635" t="inlineStr">
        <is>
          <t>Km</t>
        </is>
      </c>
      <c r="K148" s="634" t="n">
        <v>3900</v>
      </c>
      <c r="L148" s="642">
        <f>M148-K148</f>
        <v/>
      </c>
      <c r="M148" s="1799" t="n">
        <v>22816.4</v>
      </c>
      <c r="N148" s="1803" t="n">
        <v>15960</v>
      </c>
      <c r="O148" s="633" t="n">
        <v>0</v>
      </c>
      <c r="P148" s="643" t="n">
        <v>100</v>
      </c>
    </row>
    <row r="149" ht="15.75" customHeight="1">
      <c r="A149" s="625" t="inlineStr">
        <is>
          <t>FO23020071</t>
        </is>
      </c>
      <c r="B149" s="626" t="n">
        <v>44984</v>
      </c>
      <c r="C149" s="615" t="inlineStr">
        <is>
          <t>มัลติแบกซ์</t>
        </is>
      </c>
      <c r="D149" s="615" t="inlineStr">
        <is>
          <t>ท่าเรือแหลมฉบัง</t>
        </is>
      </c>
      <c r="E149" s="627" t="n">
        <v>11.9</v>
      </c>
      <c r="F149" s="625" t="inlineStr">
        <is>
          <t>Km</t>
        </is>
      </c>
      <c r="G149" s="625" t="inlineStr">
        <is>
          <t>รถเทรลเลอร์</t>
        </is>
      </c>
      <c r="H149" s="625" t="inlineStr">
        <is>
          <t>SHUWAIKH, KUWAIT</t>
        </is>
      </c>
      <c r="I149" s="629" t="n">
        <v>5727</v>
      </c>
      <c r="J149" s="628" t="inlineStr">
        <is>
          <t>Km</t>
        </is>
      </c>
      <c r="K149" s="630" t="n">
        <v>2180</v>
      </c>
      <c r="L149" s="640">
        <f>M149-K149</f>
        <v/>
      </c>
      <c r="M149" s="1797" t="n">
        <v>8719.309999999999</v>
      </c>
      <c r="N149" s="1801" t="n">
        <v>5443.38</v>
      </c>
      <c r="O149" s="615" t="n">
        <v>0</v>
      </c>
      <c r="P149" s="641" t="n">
        <v>100</v>
      </c>
    </row>
    <row r="150" ht="15.75" customHeight="1">
      <c r="A150" s="631" t="inlineStr">
        <is>
          <t>FO23020072</t>
        </is>
      </c>
      <c r="B150" s="632" t="n">
        <v>44984</v>
      </c>
      <c r="C150" s="633" t="inlineStr">
        <is>
          <t>มัลติแบกซ์</t>
        </is>
      </c>
      <c r="D150" s="633" t="inlineStr">
        <is>
          <t>ท่าเรือแหลมฉบัง</t>
        </is>
      </c>
      <c r="E150" s="634" t="n">
        <v>11.9</v>
      </c>
      <c r="F150" s="631" t="inlineStr">
        <is>
          <t>Km</t>
        </is>
      </c>
      <c r="G150" s="631" t="inlineStr">
        <is>
          <t>รถเทรลเลอร์</t>
        </is>
      </c>
      <c r="H150" s="631" t="inlineStr">
        <is>
          <t>HAMAD, QATAR</t>
        </is>
      </c>
      <c r="I150" s="636" t="n">
        <v>5317</v>
      </c>
      <c r="J150" s="635" t="inlineStr">
        <is>
          <t>Km</t>
        </is>
      </c>
      <c r="K150" s="637" t="n">
        <v>2100</v>
      </c>
      <c r="L150" s="642">
        <f>M150-K150</f>
        <v/>
      </c>
      <c r="M150" s="1799" t="n">
        <v>9714.76</v>
      </c>
      <c r="N150" s="1800" t="n">
        <v>6637</v>
      </c>
      <c r="O150" s="633" t="n">
        <v>0</v>
      </c>
      <c r="P150" s="643" t="n">
        <v>100</v>
      </c>
    </row>
    <row r="151" ht="15.75" customHeight="1">
      <c r="A151" s="625" t="inlineStr">
        <is>
          <t>FO23030001</t>
        </is>
      </c>
      <c r="B151" s="626" t="n">
        <v>44987</v>
      </c>
      <c r="C151" s="615" t="inlineStr">
        <is>
          <t>มัลติแบกซ์</t>
        </is>
      </c>
      <c r="D151" s="615" t="inlineStr">
        <is>
          <t>ท่าเรือแหลมฉบัง</t>
        </is>
      </c>
      <c r="E151" s="627" t="n">
        <v>11.9</v>
      </c>
      <c r="F151" s="625" t="inlineStr">
        <is>
          <t>Km</t>
        </is>
      </c>
      <c r="G151" s="628" t="inlineStr">
        <is>
          <t>รถเทรลเลอร์</t>
        </is>
      </c>
      <c r="H151" s="625" t="inlineStr">
        <is>
          <t>AUCKLAND, NEW ZEALAND</t>
        </is>
      </c>
      <c r="I151" s="629" t="n">
        <v>9486</v>
      </c>
      <c r="J151" s="628" t="inlineStr">
        <is>
          <t>Km</t>
        </is>
      </c>
      <c r="K151" s="630" t="n">
        <v>3840</v>
      </c>
      <c r="L151" s="640">
        <f>M151-K151</f>
        <v/>
      </c>
      <c r="M151" s="1797" t="n">
        <v>26282</v>
      </c>
      <c r="N151" s="1801" t="n">
        <v>18391.6</v>
      </c>
      <c r="O151" s="615" t="n">
        <v>0</v>
      </c>
      <c r="P151" s="641" t="n">
        <v>100</v>
      </c>
    </row>
    <row r="152" ht="15.75" customHeight="1">
      <c r="A152" s="631" t="inlineStr">
        <is>
          <t>FO23030002</t>
        </is>
      </c>
      <c r="B152" s="632" t="n">
        <v>44987</v>
      </c>
      <c r="C152" s="633" t="inlineStr">
        <is>
          <t>มัลติแบกซ์</t>
        </is>
      </c>
      <c r="D152" s="633" t="inlineStr">
        <is>
          <t>ท่าเรือแหลมฉบัง</t>
        </is>
      </c>
      <c r="E152" s="634" t="n">
        <v>11.9</v>
      </c>
      <c r="F152" s="631" t="inlineStr">
        <is>
          <t>Km</t>
        </is>
      </c>
      <c r="G152" s="635" t="inlineStr">
        <is>
          <t>รถเทรลเลอร์</t>
        </is>
      </c>
      <c r="H152" s="631" t="inlineStr">
        <is>
          <t>AUCKLAND, NEW ZEALAND</t>
        </is>
      </c>
      <c r="I152" s="636" t="n">
        <v>9486</v>
      </c>
      <c r="J152" s="635" t="inlineStr">
        <is>
          <t>Km</t>
        </is>
      </c>
      <c r="K152" s="637" t="n">
        <v>3700</v>
      </c>
      <c r="L152" s="642">
        <f>M152-K152</f>
        <v/>
      </c>
      <c r="M152" s="1799" t="n">
        <v>23044.5</v>
      </c>
      <c r="N152" s="1800" t="n">
        <v>15577</v>
      </c>
      <c r="O152" s="633" t="n">
        <v>0</v>
      </c>
      <c r="P152" s="643" t="n">
        <v>100</v>
      </c>
    </row>
    <row r="153" ht="15.75" customHeight="1">
      <c r="A153" s="607" t="inlineStr">
        <is>
          <t>FO23030003</t>
        </is>
      </c>
      <c r="B153" s="626" t="n">
        <v>44989</v>
      </c>
      <c r="C153" s="607" t="inlineStr">
        <is>
          <t>มัลติแบกซ์</t>
        </is>
      </c>
      <c r="D153" s="607" t="inlineStr">
        <is>
          <t>ท่าเรือแหลมฉบัง</t>
        </is>
      </c>
      <c r="E153" s="609" t="n">
        <v>6.5</v>
      </c>
      <c r="F153" s="607" t="inlineStr">
        <is>
          <t>Km</t>
        </is>
      </c>
      <c r="G153" s="610" t="inlineStr">
        <is>
          <t>รถเทรลเลอร์</t>
        </is>
      </c>
      <c r="H153" s="625" t="inlineStr">
        <is>
          <t>ROTTERDAM, NETHERLANDS</t>
        </is>
      </c>
      <c r="I153" s="629" t="n">
        <v>9292</v>
      </c>
      <c r="J153" s="612" t="inlineStr">
        <is>
          <t>Km</t>
        </is>
      </c>
      <c r="K153" s="613" t="n">
        <v>2300</v>
      </c>
      <c r="L153" s="645" t="n">
        <v>14805</v>
      </c>
      <c r="M153" s="1797" t="n"/>
      <c r="N153" s="1801" t="n">
        <v>14226.6</v>
      </c>
      <c r="O153" s="615" t="n">
        <v>0</v>
      </c>
      <c r="P153" s="641" t="n">
        <v>100</v>
      </c>
    </row>
    <row r="154" ht="15.75" customHeight="1">
      <c r="A154" s="631" t="inlineStr">
        <is>
          <t>FO23030004</t>
        </is>
      </c>
      <c r="B154" s="632" t="n">
        <v>44993</v>
      </c>
      <c r="C154" s="633" t="inlineStr">
        <is>
          <t>มัลติแบกซ์</t>
        </is>
      </c>
      <c r="D154" s="633" t="inlineStr">
        <is>
          <t>ท่าเรือแหลมฉบัง</t>
        </is>
      </c>
      <c r="E154" s="634" t="n">
        <v>11.9</v>
      </c>
      <c r="F154" s="631" t="inlineStr">
        <is>
          <t>Km</t>
        </is>
      </c>
      <c r="G154" s="635" t="inlineStr">
        <is>
          <t>รถเทรลเลอร์</t>
        </is>
      </c>
      <c r="H154" s="631" t="inlineStr">
        <is>
          <t>MELBOURNE, AUSTRALIA</t>
        </is>
      </c>
      <c r="I154" s="636" t="n">
        <v>7283</v>
      </c>
      <c r="J154" s="635" t="inlineStr">
        <is>
          <t>Km</t>
        </is>
      </c>
      <c r="K154" s="637" t="n">
        <v>3860</v>
      </c>
      <c r="L154" s="642">
        <f>M154-K154</f>
        <v/>
      </c>
      <c r="M154" s="1799" t="n">
        <v>27262</v>
      </c>
      <c r="N154" s="1800" t="n">
        <v>20604</v>
      </c>
      <c r="O154" s="633" t="n">
        <v>0</v>
      </c>
      <c r="P154" s="643" t="n">
        <v>100</v>
      </c>
    </row>
    <row r="155" ht="15.75" customHeight="1">
      <c r="A155" s="625" t="inlineStr">
        <is>
          <t>FO23030005</t>
        </is>
      </c>
      <c r="B155" s="626" t="n">
        <v>44992</v>
      </c>
      <c r="C155" s="615" t="inlineStr">
        <is>
          <t>มัลติแบกซ์</t>
        </is>
      </c>
      <c r="D155" s="615" t="inlineStr">
        <is>
          <t>ท่าเรือแหลมฉบัง</t>
        </is>
      </c>
      <c r="E155" s="627" t="n">
        <v>7.1</v>
      </c>
      <c r="F155" s="625" t="inlineStr">
        <is>
          <t>Km</t>
        </is>
      </c>
      <c r="G155" s="628" t="inlineStr">
        <is>
          <t>รถเทรลเลอร์</t>
        </is>
      </c>
      <c r="H155" s="625" t="inlineStr">
        <is>
          <t>MELBOURNE, AUSTRALIA</t>
        </is>
      </c>
      <c r="I155" s="629" t="n">
        <v>7283</v>
      </c>
      <c r="J155" s="628" t="inlineStr">
        <is>
          <t>Km</t>
        </is>
      </c>
      <c r="K155" s="630" t="n">
        <v>2160</v>
      </c>
      <c r="L155" s="640">
        <f>M155-K155</f>
        <v/>
      </c>
      <c r="M155" s="1797" t="n">
        <v>11452</v>
      </c>
      <c r="N155" s="1801" t="n">
        <v>8082</v>
      </c>
      <c r="O155" s="615" t="n">
        <v>0</v>
      </c>
      <c r="P155" s="641" t="n">
        <v>100</v>
      </c>
    </row>
    <row r="156" ht="15.75" customHeight="1">
      <c r="A156" s="631" t="inlineStr">
        <is>
          <t>FO23030006</t>
        </is>
      </c>
      <c r="B156" s="632" t="n">
        <v>44987</v>
      </c>
      <c r="C156" s="633" t="inlineStr">
        <is>
          <t>มัลติแบกซ์</t>
        </is>
      </c>
      <c r="D156" s="633" t="inlineStr">
        <is>
          <t>ท่าเรือแหลมฉบัง</t>
        </is>
      </c>
      <c r="E156" s="634" t="n">
        <v>7.1</v>
      </c>
      <c r="F156" s="631" t="inlineStr">
        <is>
          <t>Km</t>
        </is>
      </c>
      <c r="G156" s="635" t="inlineStr">
        <is>
          <t>รถเทรลเลอร์</t>
        </is>
      </c>
      <c r="H156" s="631" t="inlineStr">
        <is>
          <t>PERRIS CA, USA</t>
        </is>
      </c>
      <c r="I156" s="636" t="n">
        <v>13413</v>
      </c>
      <c r="J156" s="635" t="inlineStr">
        <is>
          <t>Km</t>
        </is>
      </c>
      <c r="K156" s="637" t="n">
        <v>3700</v>
      </c>
      <c r="L156" s="642">
        <f>M156-K156</f>
        <v/>
      </c>
      <c r="M156" s="1799" t="n">
        <v>18539</v>
      </c>
      <c r="N156" s="1800" t="n">
        <v>12511.2</v>
      </c>
      <c r="O156" s="633" t="n">
        <v>0</v>
      </c>
      <c r="P156" s="643" t="n">
        <v>100</v>
      </c>
    </row>
    <row r="157" ht="15.75" customHeight="1">
      <c r="A157" s="625" t="inlineStr">
        <is>
          <t>FO23030007</t>
        </is>
      </c>
      <c r="B157" s="626" t="n">
        <v>44988</v>
      </c>
      <c r="C157" s="615" t="inlineStr">
        <is>
          <t>มัลติแบกซ์</t>
        </is>
      </c>
      <c r="D157" s="615" t="inlineStr">
        <is>
          <t>ท่าเรือแหลมฉบัง</t>
        </is>
      </c>
      <c r="E157" s="627" t="n">
        <v>6.5</v>
      </c>
      <c r="F157" s="625" t="inlineStr">
        <is>
          <t>Km</t>
        </is>
      </c>
      <c r="G157" s="628" t="inlineStr">
        <is>
          <t>รถเทรลเลอร์</t>
        </is>
      </c>
      <c r="H157" s="625" t="inlineStr">
        <is>
          <t>UK PORT</t>
        </is>
      </c>
      <c r="I157" s="629" t="n">
        <v>9687</v>
      </c>
      <c r="J157" s="628" t="inlineStr">
        <is>
          <t>Km</t>
        </is>
      </c>
      <c r="K157" s="630" t="n">
        <v>3800</v>
      </c>
      <c r="L157" s="640">
        <f>M157-K157</f>
        <v/>
      </c>
      <c r="M157" s="1797" t="n">
        <v>23693</v>
      </c>
      <c r="N157" s="1801" t="n">
        <v>18610.8</v>
      </c>
      <c r="O157" s="615" t="n">
        <v>0</v>
      </c>
      <c r="P157" s="641" t="n">
        <v>100</v>
      </c>
    </row>
    <row r="158" ht="15.75" customHeight="1">
      <c r="A158" s="631" t="inlineStr">
        <is>
          <t>FO23030008</t>
        </is>
      </c>
      <c r="B158" s="632" t="n">
        <v>44987</v>
      </c>
      <c r="C158" s="633" t="inlineStr">
        <is>
          <t>มัลติแบกซ์</t>
        </is>
      </c>
      <c r="D158" s="633" t="inlineStr">
        <is>
          <t>ท่าเรือแหลมฉบัง</t>
        </is>
      </c>
      <c r="E158" s="634" t="n">
        <v>7.1</v>
      </c>
      <c r="F158" s="633" t="inlineStr">
        <is>
          <t>Km</t>
        </is>
      </c>
      <c r="G158" s="633" t="inlineStr">
        <is>
          <t>รถเทรลเลอร์</t>
        </is>
      </c>
      <c r="H158" s="631" t="inlineStr">
        <is>
          <t>UNIVERSITY PARK IL, USA</t>
        </is>
      </c>
      <c r="I158" s="636" t="n">
        <v>13877</v>
      </c>
      <c r="J158" s="639" t="inlineStr">
        <is>
          <t>Km</t>
        </is>
      </c>
      <c r="K158" s="637" t="n">
        <v>3840</v>
      </c>
      <c r="L158" s="642">
        <f>M158-K158</f>
        <v/>
      </c>
      <c r="M158" s="1799" t="n">
        <v>1423.8</v>
      </c>
      <c r="N158" s="1800" t="n">
        <v>7660</v>
      </c>
      <c r="O158" s="633" t="n">
        <v>0</v>
      </c>
      <c r="P158" s="643" t="n">
        <v>100</v>
      </c>
    </row>
    <row r="159" ht="15.75" customHeight="1">
      <c r="A159" s="625" t="inlineStr">
        <is>
          <t>FO23030009</t>
        </is>
      </c>
      <c r="B159" s="626" t="n">
        <v>44992</v>
      </c>
      <c r="C159" s="615" t="inlineStr">
        <is>
          <t>มัลติแบกซ์</t>
        </is>
      </c>
      <c r="D159" s="615" t="inlineStr">
        <is>
          <t>ท่าเรือแหลมฉบัง</t>
        </is>
      </c>
      <c r="E159" s="627" t="n">
        <v>11.9</v>
      </c>
      <c r="F159" s="625" t="inlineStr">
        <is>
          <t>Km</t>
        </is>
      </c>
      <c r="G159" s="628" t="inlineStr">
        <is>
          <t>รถเทรลเลอร์</t>
        </is>
      </c>
      <c r="H159" s="625" t="inlineStr">
        <is>
          <t>JACKSONVILLE IL, USA</t>
        </is>
      </c>
      <c r="I159" s="629" t="n">
        <v>15168</v>
      </c>
      <c r="J159" s="628" t="inlineStr">
        <is>
          <t>Km</t>
        </is>
      </c>
      <c r="K159" s="630" t="n">
        <v>3810</v>
      </c>
      <c r="L159" s="640">
        <f>M159-K159</f>
        <v/>
      </c>
      <c r="M159" s="1797" t="n">
        <v>22596.4</v>
      </c>
      <c r="N159" s="1801" t="n">
        <v>15019.2</v>
      </c>
      <c r="O159" s="615" t="n">
        <v>0</v>
      </c>
      <c r="P159" s="641" t="n">
        <v>100</v>
      </c>
    </row>
    <row r="160" ht="15.75" customHeight="1">
      <c r="A160" s="631" t="inlineStr">
        <is>
          <t>FO23030010</t>
        </is>
      </c>
      <c r="B160" s="632" t="n">
        <v>44992</v>
      </c>
      <c r="C160" s="633" t="inlineStr">
        <is>
          <t>มัลติแบกซ์</t>
        </is>
      </c>
      <c r="D160" s="633" t="inlineStr">
        <is>
          <t>ท่าเรือแหลมฉบัง</t>
        </is>
      </c>
      <c r="E160" s="634" t="n">
        <v>11.9</v>
      </c>
      <c r="F160" s="631" t="inlineStr">
        <is>
          <t>Km</t>
        </is>
      </c>
      <c r="G160" s="635" t="inlineStr">
        <is>
          <t>รถเทรลเลอร์</t>
        </is>
      </c>
      <c r="H160" s="631" t="inlineStr">
        <is>
          <t>JACKSONVILLE IL, USA</t>
        </is>
      </c>
      <c r="I160" s="636" t="n">
        <v>15168</v>
      </c>
      <c r="J160" s="635" t="inlineStr">
        <is>
          <t>Km</t>
        </is>
      </c>
      <c r="K160" s="637" t="n">
        <v>3890</v>
      </c>
      <c r="L160" s="642">
        <f>M160-K160</f>
        <v/>
      </c>
      <c r="M160" s="1799" t="n">
        <v>22617</v>
      </c>
      <c r="N160" s="1800" t="n">
        <v>14962.5</v>
      </c>
      <c r="O160" s="633" t="n">
        <v>0</v>
      </c>
      <c r="P160" s="643" t="n">
        <v>100</v>
      </c>
    </row>
    <row r="161" ht="15.75" customHeight="1">
      <c r="A161" s="625" t="inlineStr">
        <is>
          <t>FO23030011</t>
        </is>
      </c>
      <c r="B161" s="626" t="n">
        <v>44992</v>
      </c>
      <c r="C161" s="615" t="inlineStr">
        <is>
          <t>มัลติแบกซ์</t>
        </is>
      </c>
      <c r="D161" s="615" t="inlineStr">
        <is>
          <t>ท่าเรือแหลมฉบัง</t>
        </is>
      </c>
      <c r="E161" s="627" t="n">
        <v>6.2</v>
      </c>
      <c r="F161" s="625" t="inlineStr">
        <is>
          <t>Km</t>
        </is>
      </c>
      <c r="G161" s="628" t="inlineStr">
        <is>
          <t>รถเทรลเลอร์</t>
        </is>
      </c>
      <c r="H161" s="625" t="inlineStr">
        <is>
          <t>JACKSONVILLE IL, USA</t>
        </is>
      </c>
      <c r="I161" s="629" t="n">
        <v>15168</v>
      </c>
      <c r="J161" s="628" t="inlineStr">
        <is>
          <t>Km</t>
        </is>
      </c>
      <c r="K161" s="630" t="n">
        <v>3870</v>
      </c>
      <c r="L161" s="640">
        <f>M161-K161</f>
        <v/>
      </c>
      <c r="M161" s="1797" t="n">
        <v>22656.4</v>
      </c>
      <c r="N161" s="1801" t="n">
        <v>15019.2</v>
      </c>
      <c r="O161" s="615" t="n">
        <v>0</v>
      </c>
      <c r="P161" s="641" t="n">
        <v>100</v>
      </c>
    </row>
    <row r="162" ht="15.75" customHeight="1">
      <c r="A162" s="631" t="inlineStr">
        <is>
          <t>FO23030012</t>
        </is>
      </c>
      <c r="B162" s="632" t="n">
        <v>44994</v>
      </c>
      <c r="C162" s="633" t="inlineStr">
        <is>
          <t>มัลติแบกซ์</t>
        </is>
      </c>
      <c r="D162" s="633" t="inlineStr">
        <is>
          <t>ท่าเรือแหลมฉบัง</t>
        </is>
      </c>
      <c r="E162" s="634" t="n">
        <v>7.1</v>
      </c>
      <c r="F162" s="631" t="inlineStr">
        <is>
          <t>Km</t>
        </is>
      </c>
      <c r="G162" s="635" t="inlineStr">
        <is>
          <t>รถเทรลเลอร์</t>
        </is>
      </c>
      <c r="H162" s="631" t="inlineStr">
        <is>
          <t>JACKSONVILLE IL, USA</t>
        </is>
      </c>
      <c r="I162" s="636" t="n">
        <v>15168</v>
      </c>
      <c r="J162" s="635" t="inlineStr">
        <is>
          <t>Km</t>
        </is>
      </c>
      <c r="K162" s="637" t="n">
        <v>3700</v>
      </c>
      <c r="L162" s="642">
        <f>M162-K162</f>
        <v/>
      </c>
      <c r="M162" s="1799" t="n">
        <v>19770.12</v>
      </c>
      <c r="N162" s="1800" t="n">
        <v>13384.62</v>
      </c>
      <c r="O162" s="633" t="n">
        <v>0</v>
      </c>
      <c r="P162" s="643" t="n">
        <v>100</v>
      </c>
    </row>
    <row r="163" ht="15.75" customHeight="1">
      <c r="A163" s="625" t="inlineStr">
        <is>
          <t>FO23030013</t>
        </is>
      </c>
      <c r="B163" s="626" t="n">
        <v>44992</v>
      </c>
      <c r="C163" s="615" t="inlineStr">
        <is>
          <t>มัลติแบกซ์</t>
        </is>
      </c>
      <c r="D163" s="615" t="inlineStr">
        <is>
          <t>ท่าเรือแหลมฉบัง</t>
        </is>
      </c>
      <c r="E163" s="627" t="n">
        <v>7.1</v>
      </c>
      <c r="F163" s="625" t="inlineStr">
        <is>
          <t>Km</t>
        </is>
      </c>
      <c r="G163" s="628" t="inlineStr">
        <is>
          <t>รถเทรลเลอร์</t>
        </is>
      </c>
      <c r="H163" s="625" t="inlineStr">
        <is>
          <t>CARROLLTON TX, USA</t>
        </is>
      </c>
      <c r="I163" s="629" t="n">
        <v>14544</v>
      </c>
      <c r="J163" s="628" t="inlineStr">
        <is>
          <t>Km</t>
        </is>
      </c>
      <c r="K163" s="630" t="n">
        <v>3900</v>
      </c>
      <c r="L163" s="640">
        <f>M163-K163</f>
        <v/>
      </c>
      <c r="M163" s="1797" t="n">
        <v>18739</v>
      </c>
      <c r="N163" s="1801" t="n">
        <v>12511.2</v>
      </c>
      <c r="O163" s="615" t="n">
        <v>0</v>
      </c>
      <c r="P163" s="641" t="n">
        <v>100</v>
      </c>
    </row>
    <row r="164" ht="15.75" customHeight="1">
      <c r="A164" s="631" t="inlineStr">
        <is>
          <t>FO23030014</t>
        </is>
      </c>
      <c r="B164" s="632" t="n">
        <v>44988</v>
      </c>
      <c r="C164" s="633" t="inlineStr">
        <is>
          <t>มัลติแบกซ์</t>
        </is>
      </c>
      <c r="D164" s="633" t="inlineStr">
        <is>
          <t>ท่าเรือแหลมฉบัง</t>
        </is>
      </c>
      <c r="E164" s="634" t="n">
        <v>11.9</v>
      </c>
      <c r="F164" s="631" t="inlineStr">
        <is>
          <t>Km</t>
        </is>
      </c>
      <c r="G164" s="635" t="inlineStr">
        <is>
          <t>รถเทรลเลอร์</t>
        </is>
      </c>
      <c r="H164" s="631" t="inlineStr">
        <is>
          <t>AJMAN PORT, UAE</t>
        </is>
      </c>
      <c r="I164" s="636" t="n">
        <v>4929</v>
      </c>
      <c r="J164" s="635" t="inlineStr">
        <is>
          <t>Km</t>
        </is>
      </c>
      <c r="K164" s="637" t="n">
        <v>3690</v>
      </c>
      <c r="L164" s="642">
        <f>M164-K164</f>
        <v/>
      </c>
      <c r="M164" s="1799" t="n">
        <v>19763.1</v>
      </c>
      <c r="N164" s="1800" t="n">
        <v>14123.12</v>
      </c>
      <c r="O164" s="633" t="n">
        <v>0</v>
      </c>
      <c r="P164" s="643" t="n">
        <v>100</v>
      </c>
    </row>
    <row r="165" ht="15.75" customHeight="1">
      <c r="A165" s="625" t="inlineStr">
        <is>
          <t>FO23030015</t>
        </is>
      </c>
      <c r="B165" s="626" t="n">
        <v>44988</v>
      </c>
      <c r="C165" s="615" t="inlineStr">
        <is>
          <t>มัลติแบกซ์</t>
        </is>
      </c>
      <c r="D165" s="615" t="inlineStr">
        <is>
          <t>ท่าเรือแหลมฉบัง</t>
        </is>
      </c>
      <c r="E165" s="627" t="n">
        <v>11.9</v>
      </c>
      <c r="F165" s="625" t="inlineStr">
        <is>
          <t>Km</t>
        </is>
      </c>
      <c r="G165" s="628" t="inlineStr">
        <is>
          <t>รถเทรลเลอร์</t>
        </is>
      </c>
      <c r="H165" s="625" t="inlineStr">
        <is>
          <t>AJMAN PORT, UAE</t>
        </is>
      </c>
      <c r="I165" s="629" t="n">
        <v>4929</v>
      </c>
      <c r="J165" s="628" t="inlineStr">
        <is>
          <t>Km</t>
        </is>
      </c>
      <c r="K165" s="630" t="n">
        <v>3540</v>
      </c>
      <c r="L165" s="640">
        <f>M165-K165</f>
        <v/>
      </c>
      <c r="M165" s="1797" t="n">
        <v>18642.6</v>
      </c>
      <c r="N165" s="1801" t="n">
        <v>13606.32</v>
      </c>
      <c r="O165" s="615" t="n">
        <v>0</v>
      </c>
      <c r="P165" s="641" t="n">
        <v>100</v>
      </c>
    </row>
    <row r="166" ht="15.75" customHeight="1">
      <c r="A166" s="631" t="inlineStr">
        <is>
          <t>FO23030016</t>
        </is>
      </c>
      <c r="B166" s="632" t="n">
        <v>44988</v>
      </c>
      <c r="C166" s="633" t="inlineStr">
        <is>
          <t>มัลติแบกซ์</t>
        </is>
      </c>
      <c r="D166" s="633" t="inlineStr">
        <is>
          <t>ท่าเรือแหลมฉบัง</t>
        </is>
      </c>
      <c r="E166" s="634" t="n">
        <v>11.9</v>
      </c>
      <c r="F166" s="631" t="inlineStr">
        <is>
          <t>Km</t>
        </is>
      </c>
      <c r="G166" s="635" t="inlineStr">
        <is>
          <t>รถเทรลเลอร์</t>
        </is>
      </c>
      <c r="H166" s="631" t="inlineStr">
        <is>
          <t>AJMAN PORT, UAE</t>
        </is>
      </c>
      <c r="I166" s="636" t="n">
        <v>4929</v>
      </c>
      <c r="J166" s="635" t="inlineStr">
        <is>
          <t>Km</t>
        </is>
      </c>
      <c r="K166" s="637" t="n">
        <v>3640</v>
      </c>
      <c r="L166" s="642">
        <f>M166-K166</f>
        <v/>
      </c>
      <c r="M166" s="1799" t="n">
        <v>16856.44</v>
      </c>
      <c r="N166" s="1800" t="n">
        <v>10742.56</v>
      </c>
      <c r="O166" s="633" t="n">
        <v>0</v>
      </c>
      <c r="P166" s="643" t="n">
        <v>100</v>
      </c>
    </row>
    <row r="167" ht="15.75" customHeight="1">
      <c r="A167" s="625" t="inlineStr">
        <is>
          <t>FO23030017</t>
        </is>
      </c>
      <c r="B167" s="626" t="n">
        <v>44993</v>
      </c>
      <c r="C167" s="615" t="inlineStr">
        <is>
          <t>มัลติแบกซ์</t>
        </is>
      </c>
      <c r="D167" s="615" t="inlineStr">
        <is>
          <t>ท่าเรือแหลมฉบัง</t>
        </is>
      </c>
      <c r="E167" s="627" t="n">
        <v>5.2</v>
      </c>
      <c r="F167" s="625" t="inlineStr">
        <is>
          <t>Km</t>
        </is>
      </c>
      <c r="G167" s="628" t="inlineStr">
        <is>
          <t>รถเทรลเลอร์</t>
        </is>
      </c>
      <c r="H167" s="625" t="inlineStr">
        <is>
          <t>MANZANILLO, MEXICO</t>
        </is>
      </c>
      <c r="I167" s="629" t="n">
        <v>15486</v>
      </c>
      <c r="J167" s="628" t="inlineStr">
        <is>
          <t>Km</t>
        </is>
      </c>
      <c r="K167" s="630" t="n">
        <v>3760</v>
      </c>
      <c r="L167" s="640">
        <f>M167-K167</f>
        <v/>
      </c>
      <c r="M167" s="1797" t="n">
        <v>14866.64</v>
      </c>
      <c r="N167" s="1801" t="n">
        <v>8256.48</v>
      </c>
      <c r="O167" s="615" t="n">
        <v>0</v>
      </c>
      <c r="P167" s="641" t="n">
        <v>100</v>
      </c>
    </row>
    <row r="168" ht="15.75" customHeight="1">
      <c r="A168" s="631" t="inlineStr">
        <is>
          <t>FO23030018</t>
        </is>
      </c>
      <c r="B168" s="632" t="n">
        <v>44992</v>
      </c>
      <c r="C168" s="633" t="inlineStr">
        <is>
          <t>มัลติแบกซ์</t>
        </is>
      </c>
      <c r="D168" s="633" t="inlineStr">
        <is>
          <t>ท่าเรือแหลมฉบัง</t>
        </is>
      </c>
      <c r="E168" s="634" t="n">
        <v>7.1</v>
      </c>
      <c r="F168" s="631" t="inlineStr">
        <is>
          <t>Km</t>
        </is>
      </c>
      <c r="G168" s="635" t="inlineStr">
        <is>
          <t>รถเทรลเลอร์</t>
        </is>
      </c>
      <c r="H168" s="631" t="inlineStr">
        <is>
          <t>PERRIS CA, USA</t>
        </is>
      </c>
      <c r="I168" s="636" t="n">
        <v>13413</v>
      </c>
      <c r="J168" s="635" t="inlineStr">
        <is>
          <t>Km</t>
        </is>
      </c>
      <c r="K168" s="637" t="n">
        <v>3900</v>
      </c>
      <c r="L168" s="642">
        <f>M168-K168</f>
        <v/>
      </c>
      <c r="M168" s="1799" t="n">
        <v>22971.6</v>
      </c>
      <c r="N168" s="1800" t="n">
        <v>15602.4</v>
      </c>
      <c r="O168" s="633" t="n">
        <v>0</v>
      </c>
      <c r="P168" s="643" t="n">
        <v>100</v>
      </c>
    </row>
    <row r="169" ht="15.75" customHeight="1">
      <c r="A169" s="625" t="inlineStr">
        <is>
          <t>FO23030019</t>
        </is>
      </c>
      <c r="B169" s="626" t="n">
        <v>44998</v>
      </c>
      <c r="C169" s="615" t="inlineStr">
        <is>
          <t>มัลติแบกซ์</t>
        </is>
      </c>
      <c r="D169" s="615" t="inlineStr">
        <is>
          <t>ท่าเรือแหลมฉบัง</t>
        </is>
      </c>
      <c r="E169" s="627" t="n">
        <v>6.5</v>
      </c>
      <c r="F169" s="625" t="inlineStr">
        <is>
          <t>Km</t>
        </is>
      </c>
      <c r="G169" s="628" t="inlineStr">
        <is>
          <t>รถเทรลเลอร์</t>
        </is>
      </c>
      <c r="H169" s="625" t="inlineStr">
        <is>
          <t>APPLETON WI , USA</t>
        </is>
      </c>
      <c r="I169" s="629" t="n">
        <v>13558</v>
      </c>
      <c r="J169" s="628" t="inlineStr">
        <is>
          <t>Km</t>
        </is>
      </c>
      <c r="K169" s="630" t="n">
        <v>3700</v>
      </c>
      <c r="L169" s="640">
        <f>M169-K169</f>
        <v/>
      </c>
      <c r="M169" s="1797" t="n">
        <v>20815</v>
      </c>
      <c r="N169" s="1801" t="n">
        <v>13187</v>
      </c>
      <c r="O169" s="615" t="n">
        <v>0</v>
      </c>
      <c r="P169" s="641" t="n">
        <v>100</v>
      </c>
    </row>
    <row r="170" ht="15.75" customHeight="1">
      <c r="A170" s="631" t="inlineStr">
        <is>
          <t>FO23030020</t>
        </is>
      </c>
      <c r="B170" s="632" t="n">
        <v>44992</v>
      </c>
      <c r="C170" s="633" t="inlineStr">
        <is>
          <t>มัลติแบกซ์</t>
        </is>
      </c>
      <c r="D170" s="633" t="inlineStr">
        <is>
          <t>ท่าเรือแหลมฉบัง</t>
        </is>
      </c>
      <c r="E170" s="634" t="n">
        <v>11.9</v>
      </c>
      <c r="F170" s="631" t="inlineStr">
        <is>
          <t>Km</t>
        </is>
      </c>
      <c r="G170" s="635" t="inlineStr">
        <is>
          <t>รถเทรลเลอร์</t>
        </is>
      </c>
      <c r="H170" s="631" t="inlineStr">
        <is>
          <t>HONG KONG</t>
        </is>
      </c>
      <c r="I170" s="636" t="n">
        <v>1734</v>
      </c>
      <c r="J170" s="635" t="inlineStr">
        <is>
          <t>Km</t>
        </is>
      </c>
      <c r="K170" s="637" t="n">
        <v>3600</v>
      </c>
      <c r="L170" s="642">
        <f>M170-K170</f>
        <v/>
      </c>
      <c r="M170" s="1799" t="n">
        <v>15210.5</v>
      </c>
      <c r="N170" s="1800" t="n">
        <v>8827.200000000001</v>
      </c>
      <c r="O170" s="633" t="n">
        <v>0</v>
      </c>
      <c r="P170" s="643" t="n">
        <v>100</v>
      </c>
    </row>
    <row r="171" ht="15.75" customHeight="1">
      <c r="A171" s="625" t="inlineStr">
        <is>
          <t>FO23030021</t>
        </is>
      </c>
      <c r="B171" s="626" t="n">
        <v>45002</v>
      </c>
      <c r="C171" s="615" t="inlineStr">
        <is>
          <t>มัลติแบกซ์</t>
        </is>
      </c>
      <c r="D171" s="615" t="inlineStr">
        <is>
          <t>ท่าเรือแหลมฉบัง</t>
        </is>
      </c>
      <c r="E171" s="627" t="n">
        <v>6</v>
      </c>
      <c r="F171" s="625" t="inlineStr">
        <is>
          <t>Km</t>
        </is>
      </c>
      <c r="G171" s="628" t="inlineStr">
        <is>
          <t>รถเทรลเลอร์</t>
        </is>
      </c>
      <c r="H171" s="625" t="inlineStr">
        <is>
          <t>COLUMBUS OHIO, USA</t>
        </is>
      </c>
      <c r="I171" s="629" t="n">
        <v>14000</v>
      </c>
      <c r="J171" s="628" t="inlineStr">
        <is>
          <t>Km</t>
        </is>
      </c>
      <c r="K171" s="630" t="n">
        <v>3730</v>
      </c>
      <c r="L171" s="640">
        <f>M171-K171</f>
        <v/>
      </c>
      <c r="M171" s="1797" t="n">
        <v>21137.7</v>
      </c>
      <c r="N171" s="1801" t="n">
        <v>15179.34</v>
      </c>
      <c r="O171" s="615" t="n">
        <v>0</v>
      </c>
      <c r="P171" s="641" t="n">
        <v>100</v>
      </c>
    </row>
    <row r="172" ht="15.75" customHeight="1">
      <c r="A172" s="631" t="inlineStr">
        <is>
          <t>FO23030022</t>
        </is>
      </c>
      <c r="B172" s="632" t="n">
        <v>44994</v>
      </c>
      <c r="C172" s="633" t="inlineStr">
        <is>
          <t>มัลติแบกซ์</t>
        </is>
      </c>
      <c r="D172" s="633" t="inlineStr">
        <is>
          <t>ท่าเรือแหลมฉบัง</t>
        </is>
      </c>
      <c r="E172" s="634" t="n">
        <v>4.1</v>
      </c>
      <c r="F172" s="631" t="inlineStr">
        <is>
          <t>Km</t>
        </is>
      </c>
      <c r="G172" s="635" t="inlineStr">
        <is>
          <t>รถเทรลเลอร์</t>
        </is>
      </c>
      <c r="H172" s="631" t="inlineStr">
        <is>
          <t>SAN JUAN, PUERTO RICO</t>
        </is>
      </c>
      <c r="I172" s="636" t="n">
        <v>9292</v>
      </c>
      <c r="J172" s="635" t="inlineStr">
        <is>
          <t>Km</t>
        </is>
      </c>
      <c r="K172" s="637" t="n">
        <v>3795</v>
      </c>
      <c r="L172" s="642">
        <f>M172-K172</f>
        <v/>
      </c>
      <c r="M172" s="1799" t="n">
        <v>15288.1</v>
      </c>
      <c r="N172" s="1800" t="n">
        <v>7386</v>
      </c>
      <c r="O172" s="633" t="n">
        <v>0</v>
      </c>
      <c r="P172" s="643" t="n">
        <v>100</v>
      </c>
    </row>
    <row r="173" ht="15.75" customHeight="1">
      <c r="A173" s="625" t="inlineStr">
        <is>
          <t>FO23030023</t>
        </is>
      </c>
      <c r="B173" s="626" t="n">
        <v>45002</v>
      </c>
      <c r="C173" s="615" t="inlineStr">
        <is>
          <t>มัลติแบกซ์</t>
        </is>
      </c>
      <c r="D173" s="615" t="inlineStr">
        <is>
          <t>ท่าเรือแหลมฉบัง</t>
        </is>
      </c>
      <c r="E173" s="627" t="n">
        <v>6.5</v>
      </c>
      <c r="F173" s="625" t="inlineStr">
        <is>
          <t>Km</t>
        </is>
      </c>
      <c r="G173" s="628" t="inlineStr">
        <is>
          <t>รถเทรลเลอร์</t>
        </is>
      </c>
      <c r="H173" s="625" t="inlineStr">
        <is>
          <t>UK PORT</t>
        </is>
      </c>
      <c r="I173" s="629" t="n">
        <v>9687</v>
      </c>
      <c r="J173" s="628" t="inlineStr">
        <is>
          <t>Km</t>
        </is>
      </c>
      <c r="K173" s="630" t="n">
        <v>3650</v>
      </c>
      <c r="L173" s="640">
        <f>M173-K173</f>
        <v/>
      </c>
      <c r="M173" s="1797" t="n">
        <v>28677</v>
      </c>
      <c r="N173" s="1801" t="n">
        <v>23842</v>
      </c>
      <c r="O173" s="615" t="n">
        <v>0</v>
      </c>
      <c r="P173" s="641" t="n">
        <v>100</v>
      </c>
    </row>
    <row r="174" ht="15.75" customHeight="1">
      <c r="A174" s="631" t="inlineStr">
        <is>
          <t>FO23030024</t>
        </is>
      </c>
      <c r="B174" s="632" t="n">
        <v>44993</v>
      </c>
      <c r="C174" s="633" t="inlineStr">
        <is>
          <t>มัลติแบกซ์</t>
        </is>
      </c>
      <c r="D174" s="633" t="inlineStr">
        <is>
          <t>ท่าเรือแหลมฉบัง</t>
        </is>
      </c>
      <c r="E174" s="634" t="n">
        <v>11.9</v>
      </c>
      <c r="F174" s="631" t="inlineStr">
        <is>
          <t>Km</t>
        </is>
      </c>
      <c r="G174" s="635" t="inlineStr">
        <is>
          <t>รถเทรลเลอร์</t>
        </is>
      </c>
      <c r="H174" s="631" t="inlineStr">
        <is>
          <t>GUANGZHOU, CHINA</t>
        </is>
      </c>
      <c r="I174" s="636" t="n">
        <v>2597</v>
      </c>
      <c r="J174" s="635" t="inlineStr">
        <is>
          <t>Km</t>
        </is>
      </c>
      <c r="K174" s="637" t="n">
        <v>2190</v>
      </c>
      <c r="L174" s="642">
        <f>M174-K174</f>
        <v/>
      </c>
      <c r="M174" s="1799" t="n">
        <v>6332</v>
      </c>
      <c r="N174" s="1800" t="n">
        <v>3015.5</v>
      </c>
      <c r="O174" s="633" t="n">
        <v>0</v>
      </c>
      <c r="P174" s="643" t="n">
        <v>100</v>
      </c>
    </row>
    <row r="175" ht="15.75" customHeight="1">
      <c r="A175" s="625" t="inlineStr">
        <is>
          <t>FO23030025</t>
        </is>
      </c>
      <c r="B175" s="626" t="n">
        <v>44993</v>
      </c>
      <c r="C175" s="615" t="inlineStr">
        <is>
          <t>มัลติแบกซ์</t>
        </is>
      </c>
      <c r="D175" s="615" t="inlineStr">
        <is>
          <t>ท่าเรือแหลมฉบัง</t>
        </is>
      </c>
      <c r="E175" s="627" t="n">
        <v>5.2</v>
      </c>
      <c r="F175" s="625" t="inlineStr">
        <is>
          <t>Km</t>
        </is>
      </c>
      <c r="G175" s="628" t="inlineStr">
        <is>
          <t>รถเทรลเลอร์</t>
        </is>
      </c>
      <c r="H175" s="625" t="inlineStr">
        <is>
          <t>SINGAPORE</t>
        </is>
      </c>
      <c r="I175" s="629" t="n">
        <v>1931</v>
      </c>
      <c r="J175" s="628" t="inlineStr">
        <is>
          <t>Km</t>
        </is>
      </c>
      <c r="K175" s="630" t="n">
        <v>4762</v>
      </c>
      <c r="L175" s="640">
        <f>M175-K175</f>
        <v/>
      </c>
      <c r="M175" s="1797" t="n">
        <v>5731</v>
      </c>
      <c r="N175" s="1801" t="n">
        <v>4762</v>
      </c>
      <c r="O175" s="615" t="n">
        <v>0</v>
      </c>
      <c r="P175" s="641" t="n">
        <v>100</v>
      </c>
    </row>
    <row r="176" ht="15.75" customHeight="1">
      <c r="A176" s="631" t="inlineStr">
        <is>
          <t>FO23030026</t>
        </is>
      </c>
      <c r="B176" s="632" t="n">
        <v>44995</v>
      </c>
      <c r="C176" s="633" t="inlineStr">
        <is>
          <t>มัลติแบกซ์</t>
        </is>
      </c>
      <c r="D176" s="633" t="inlineStr">
        <is>
          <t>ท่าเรือแหลมฉบัง</t>
        </is>
      </c>
      <c r="E176" s="634" t="n">
        <v>6</v>
      </c>
      <c r="F176" s="631" t="inlineStr">
        <is>
          <t>Km</t>
        </is>
      </c>
      <c r="G176" s="635" t="inlineStr">
        <is>
          <t>รถเทรลเลอร์</t>
        </is>
      </c>
      <c r="H176" s="631" t="inlineStr">
        <is>
          <t>JEBEL ALI, UAE</t>
        </is>
      </c>
      <c r="I176" s="636" t="n">
        <v>4972</v>
      </c>
      <c r="J176" s="635" t="inlineStr">
        <is>
          <t>Km</t>
        </is>
      </c>
      <c r="K176" s="637" t="n">
        <v>2265</v>
      </c>
      <c r="L176" s="642">
        <f>M176-K176</f>
        <v/>
      </c>
      <c r="M176" s="1799" t="n">
        <v>9497</v>
      </c>
      <c r="N176" s="1800" t="n">
        <v>5913</v>
      </c>
      <c r="O176" s="633" t="n">
        <v>0</v>
      </c>
      <c r="P176" s="643" t="n">
        <v>100</v>
      </c>
    </row>
    <row r="177" ht="15.75" customHeight="1">
      <c r="A177" s="625" t="inlineStr">
        <is>
          <t>FO23030027</t>
        </is>
      </c>
      <c r="B177" s="626" t="n">
        <v>44999</v>
      </c>
      <c r="C177" s="615" t="inlineStr">
        <is>
          <t>มัลติแบกซ์</t>
        </is>
      </c>
      <c r="D177" s="615" t="inlineStr">
        <is>
          <t>ท่าเรือแหลมฉบัง</t>
        </is>
      </c>
      <c r="E177" s="627" t="n">
        <v>7.1</v>
      </c>
      <c r="F177" s="625" t="inlineStr">
        <is>
          <t>Km</t>
        </is>
      </c>
      <c r="G177" s="628" t="inlineStr">
        <is>
          <t>รถเทรลเลอร์</t>
        </is>
      </c>
      <c r="H177" s="625" t="inlineStr">
        <is>
          <t>UNIVERSITY PARK IL, USA</t>
        </is>
      </c>
      <c r="I177" s="629" t="n">
        <v>13877</v>
      </c>
      <c r="J177" s="628" t="inlineStr">
        <is>
          <t>Km</t>
        </is>
      </c>
      <c r="K177" s="630" t="n">
        <v>3900</v>
      </c>
      <c r="L177" s="640">
        <f>M177-K177</f>
        <v/>
      </c>
      <c r="M177" s="1797" t="n">
        <v>14089.8</v>
      </c>
      <c r="N177" s="1801" t="n">
        <v>7660</v>
      </c>
      <c r="O177" s="615" t="n">
        <v>0</v>
      </c>
      <c r="P177" s="641" t="n">
        <v>100</v>
      </c>
    </row>
    <row r="178" ht="15.75" customHeight="1">
      <c r="A178" s="631" t="inlineStr">
        <is>
          <t>FO23030028</t>
        </is>
      </c>
      <c r="B178" s="632" t="n">
        <v>44999</v>
      </c>
      <c r="C178" s="633" t="inlineStr">
        <is>
          <t>มัลติแบกซ์</t>
        </is>
      </c>
      <c r="D178" s="633" t="inlineStr">
        <is>
          <t>ท่าเรือแหลมฉบัง</t>
        </is>
      </c>
      <c r="E178" s="634" t="n">
        <v>7.1</v>
      </c>
      <c r="F178" s="631" t="inlineStr">
        <is>
          <t>Km</t>
        </is>
      </c>
      <c r="G178" s="635" t="inlineStr">
        <is>
          <t>รถเทรลเลอร์</t>
        </is>
      </c>
      <c r="H178" s="631" t="inlineStr">
        <is>
          <t>UNIVERSITY PARK IL, USA</t>
        </is>
      </c>
      <c r="I178" s="636" t="n">
        <v>13877</v>
      </c>
      <c r="J178" s="635" t="inlineStr">
        <is>
          <t>Km</t>
        </is>
      </c>
      <c r="K178" s="637" t="n">
        <v>3840</v>
      </c>
      <c r="L178" s="642">
        <f>M178-K178</f>
        <v/>
      </c>
      <c r="M178" s="1799" t="n">
        <v>23439.5</v>
      </c>
      <c r="N178" s="1800" t="n">
        <v>15795</v>
      </c>
      <c r="O178" s="633" t="n">
        <v>0</v>
      </c>
      <c r="P178" s="643" t="n">
        <v>100</v>
      </c>
    </row>
    <row r="179" ht="15.75" customHeight="1">
      <c r="A179" s="625" t="inlineStr">
        <is>
          <t>FO23030029</t>
        </is>
      </c>
      <c r="B179" s="626" t="n">
        <v>45002</v>
      </c>
      <c r="C179" s="615" t="inlineStr">
        <is>
          <t>มัลติแบกซ์</t>
        </is>
      </c>
      <c r="D179" s="615" t="inlineStr">
        <is>
          <t>ท่าเรือแหลมฉบัง</t>
        </is>
      </c>
      <c r="E179" s="627" t="n">
        <v>7.1</v>
      </c>
      <c r="F179" s="625" t="inlineStr">
        <is>
          <t>Km</t>
        </is>
      </c>
      <c r="G179" s="628" t="inlineStr">
        <is>
          <t>รถเทรลเลอร์</t>
        </is>
      </c>
      <c r="H179" s="625" t="inlineStr">
        <is>
          <t>UNIVERSITY PARK IL, USA</t>
        </is>
      </c>
      <c r="I179" s="629" t="n">
        <v>13877</v>
      </c>
      <c r="J179" s="628" t="inlineStr">
        <is>
          <t>Km</t>
        </is>
      </c>
      <c r="K179" s="630" t="n">
        <v>3840</v>
      </c>
      <c r="L179" s="640">
        <f>M179-K179</f>
        <v/>
      </c>
      <c r="M179" s="1797" t="n">
        <v>14566</v>
      </c>
      <c r="N179" s="1801" t="n">
        <v>8196.200000000001</v>
      </c>
      <c r="O179" s="615" t="n">
        <v>0</v>
      </c>
      <c r="P179" s="641" t="n">
        <v>100</v>
      </c>
    </row>
    <row r="180" ht="15.75" customHeight="1">
      <c r="A180" s="631" t="inlineStr">
        <is>
          <t>FO23030030</t>
        </is>
      </c>
      <c r="B180" s="632" t="n">
        <v>45000</v>
      </c>
      <c r="C180" s="633" t="inlineStr">
        <is>
          <t>มัลติแบกซ์</t>
        </is>
      </c>
      <c r="D180" s="633" t="inlineStr">
        <is>
          <t>ท่าเรือแหลมฉบัง</t>
        </is>
      </c>
      <c r="E180" s="634" t="n">
        <v>7.1</v>
      </c>
      <c r="F180" s="631" t="inlineStr">
        <is>
          <t>Km</t>
        </is>
      </c>
      <c r="G180" s="635" t="inlineStr">
        <is>
          <t>รถเทรลเลอร์</t>
        </is>
      </c>
      <c r="H180" s="631" t="inlineStr">
        <is>
          <t>UNIVERSITY PARK IL, USA</t>
        </is>
      </c>
      <c r="I180" s="636" t="n">
        <v>13877</v>
      </c>
      <c r="J180" s="635" t="inlineStr">
        <is>
          <t>Km</t>
        </is>
      </c>
      <c r="K180" s="637" t="n">
        <v>3700</v>
      </c>
      <c r="L180" s="642">
        <f>M180-K180</f>
        <v/>
      </c>
      <c r="M180" s="1799" t="n">
        <v>15714</v>
      </c>
      <c r="N180" s="1800" t="n">
        <v>8988</v>
      </c>
      <c r="O180" s="633" t="n">
        <v>0</v>
      </c>
      <c r="P180" s="643" t="n">
        <v>100</v>
      </c>
    </row>
    <row r="181" ht="15.75" customHeight="1">
      <c r="A181" s="625" t="inlineStr">
        <is>
          <t>FO23030031</t>
        </is>
      </c>
      <c r="B181" s="626" t="n">
        <v>45000</v>
      </c>
      <c r="C181" s="615" t="inlineStr">
        <is>
          <t>มัลติแบกซ์</t>
        </is>
      </c>
      <c r="D181" s="615" t="inlineStr">
        <is>
          <t>ท่าเรือแหลมฉบัง</t>
        </is>
      </c>
      <c r="E181" s="627" t="n">
        <v>7.1</v>
      </c>
      <c r="F181" s="625" t="inlineStr">
        <is>
          <t>Km</t>
        </is>
      </c>
      <c r="G181" s="628" t="inlineStr">
        <is>
          <t>รถเทรลเลอร์</t>
        </is>
      </c>
      <c r="H181" s="625" t="inlineStr">
        <is>
          <t>UNIVERSITY PARK IL, USA</t>
        </is>
      </c>
      <c r="I181" s="629" t="n">
        <v>13877</v>
      </c>
      <c r="J181" s="628" t="inlineStr">
        <is>
          <t>Km</t>
        </is>
      </c>
      <c r="K181" s="630" t="n">
        <v>3700</v>
      </c>
      <c r="L181" s="640">
        <f>M181-K181</f>
        <v/>
      </c>
      <c r="M181" s="1797" t="n">
        <v>13889.8</v>
      </c>
      <c r="N181" s="1801" t="n">
        <v>7660</v>
      </c>
      <c r="O181" s="615" t="n">
        <v>0</v>
      </c>
      <c r="P181" s="641" t="n">
        <v>100</v>
      </c>
    </row>
    <row r="182" ht="15.75" customHeight="1">
      <c r="A182" s="631" t="inlineStr">
        <is>
          <t>FO23030032</t>
        </is>
      </c>
      <c r="B182" s="632" t="n">
        <v>45002</v>
      </c>
      <c r="C182" s="633" t="inlineStr">
        <is>
          <t>มัลติแบกซ์</t>
        </is>
      </c>
      <c r="D182" s="633" t="inlineStr">
        <is>
          <t>ท่าเรือแหลมฉบัง</t>
        </is>
      </c>
      <c r="E182" s="634" t="n">
        <v>7.1</v>
      </c>
      <c r="F182" s="631" t="inlineStr">
        <is>
          <t>Km</t>
        </is>
      </c>
      <c r="G182" s="635" t="inlineStr">
        <is>
          <t>รถเทรลเลอร์</t>
        </is>
      </c>
      <c r="H182" s="631" t="inlineStr">
        <is>
          <t>UNIVERSITY PARK IL, USA</t>
        </is>
      </c>
      <c r="I182" s="636" t="n">
        <v>13877</v>
      </c>
      <c r="J182" s="635" t="inlineStr">
        <is>
          <t>Km</t>
        </is>
      </c>
      <c r="K182" s="637" t="n">
        <v>3620</v>
      </c>
      <c r="L182" s="642">
        <f>M182-K182</f>
        <v/>
      </c>
      <c r="M182" s="1799" t="n">
        <v>13833.4</v>
      </c>
      <c r="N182" s="1800" t="n">
        <v>7356.6</v>
      </c>
      <c r="O182" s="633" t="n">
        <v>0</v>
      </c>
      <c r="P182" s="643" t="n">
        <v>100</v>
      </c>
    </row>
    <row r="183" ht="15.75" customHeight="1">
      <c r="A183" s="625" t="inlineStr">
        <is>
          <t>FO23030033</t>
        </is>
      </c>
      <c r="B183" s="626" t="n">
        <v>44998</v>
      </c>
      <c r="C183" s="615" t="inlineStr">
        <is>
          <t>มัลติแบกซ์</t>
        </is>
      </c>
      <c r="D183" s="615" t="inlineStr">
        <is>
          <t>ท่าเรือแหลมฉบัง</t>
        </is>
      </c>
      <c r="E183" s="627" t="n">
        <v>7.1</v>
      </c>
      <c r="F183" s="625" t="inlineStr">
        <is>
          <t>Km</t>
        </is>
      </c>
      <c r="G183" s="628" t="inlineStr">
        <is>
          <t>รถเทรลเลอร์</t>
        </is>
      </c>
      <c r="H183" s="625" t="inlineStr">
        <is>
          <t>MANILA, PHILIPPINES</t>
        </is>
      </c>
      <c r="I183" s="629" t="n">
        <v>2167</v>
      </c>
      <c r="J183" s="628" t="inlineStr">
        <is>
          <t>Km</t>
        </is>
      </c>
      <c r="K183" s="630" t="n">
        <v>2220</v>
      </c>
      <c r="L183" s="640">
        <f>M183-K183</f>
        <v/>
      </c>
      <c r="M183" s="1797" t="n">
        <v>6608.76</v>
      </c>
      <c r="N183" s="1801" t="n">
        <v>3284.72</v>
      </c>
      <c r="O183" s="615" t="n">
        <v>0</v>
      </c>
      <c r="P183" s="641" t="n">
        <v>100</v>
      </c>
    </row>
    <row r="184" ht="15.75" customHeight="1">
      <c r="A184" s="631" t="inlineStr">
        <is>
          <t>FO23030034</t>
        </is>
      </c>
      <c r="B184" s="632" t="n">
        <v>44998</v>
      </c>
      <c r="C184" s="633" t="inlineStr">
        <is>
          <t>มัลติแบกซ์</t>
        </is>
      </c>
      <c r="D184" s="633" t="inlineStr">
        <is>
          <t>ท่าเรือแหลมฉบัง</t>
        </is>
      </c>
      <c r="E184" s="634" t="n">
        <v>7.1</v>
      </c>
      <c r="F184" s="631" t="inlineStr">
        <is>
          <t>Km</t>
        </is>
      </c>
      <c r="G184" s="635" t="inlineStr">
        <is>
          <t>รถเทรลเลอร์</t>
        </is>
      </c>
      <c r="H184" s="631" t="inlineStr">
        <is>
          <t>MANILA, PHILIPPINES</t>
        </is>
      </c>
      <c r="I184" s="636" t="n">
        <v>2167</v>
      </c>
      <c r="J184" s="635" t="inlineStr">
        <is>
          <t>Km</t>
        </is>
      </c>
      <c r="K184" s="637" t="n">
        <v>2330</v>
      </c>
      <c r="L184" s="642">
        <f>M184-K184</f>
        <v/>
      </c>
      <c r="M184" s="1799" t="n">
        <v>6718.76</v>
      </c>
      <c r="N184" s="1800" t="n">
        <v>3284.72</v>
      </c>
      <c r="O184" s="633" t="n">
        <v>0</v>
      </c>
      <c r="P184" s="643" t="n">
        <v>100</v>
      </c>
    </row>
    <row r="185" ht="15.75" customHeight="1">
      <c r="A185" s="625" t="inlineStr">
        <is>
          <t>FO23030035</t>
        </is>
      </c>
      <c r="B185" s="626" t="n">
        <v>44999</v>
      </c>
      <c r="C185" s="615" t="inlineStr">
        <is>
          <t>มัลติแบกซ์</t>
        </is>
      </c>
      <c r="D185" s="615" t="inlineStr">
        <is>
          <t>ท่าเรือแหลมฉบัง</t>
        </is>
      </c>
      <c r="E185" s="627" t="n">
        <v>7.1</v>
      </c>
      <c r="F185" s="625" t="inlineStr">
        <is>
          <t>Km</t>
        </is>
      </c>
      <c r="G185" s="628" t="inlineStr">
        <is>
          <t>รถเทรลเลอร์</t>
        </is>
      </c>
      <c r="H185" s="625" t="inlineStr">
        <is>
          <t>CARROLLTON TX, USA</t>
        </is>
      </c>
      <c r="I185" s="629" t="n">
        <v>14544</v>
      </c>
      <c r="J185" s="628" t="inlineStr">
        <is>
          <t>Km</t>
        </is>
      </c>
      <c r="K185" s="630" t="n">
        <v>3830</v>
      </c>
      <c r="L185" s="640">
        <f>M185-K185</f>
        <v/>
      </c>
      <c r="M185" s="1797" t="n">
        <v>18669</v>
      </c>
      <c r="N185" s="1801" t="n">
        <v>12511.2</v>
      </c>
      <c r="O185" s="615" t="n">
        <v>0</v>
      </c>
      <c r="P185" s="641" t="n">
        <v>100</v>
      </c>
    </row>
    <row r="186" ht="15.75" customHeight="1">
      <c r="A186" s="631" t="inlineStr">
        <is>
          <t>FO23030036</t>
        </is>
      </c>
      <c r="B186" s="632" t="n">
        <v>45002</v>
      </c>
      <c r="C186" s="633" t="inlineStr">
        <is>
          <t>มัลติแบกซ์</t>
        </is>
      </c>
      <c r="D186" s="633" t="inlineStr">
        <is>
          <t>ท่าเรือแหลมฉบัง</t>
        </is>
      </c>
      <c r="E186" s="634" t="n">
        <v>7.1</v>
      </c>
      <c r="F186" s="631" t="inlineStr">
        <is>
          <t>Km</t>
        </is>
      </c>
      <c r="G186" s="635" t="inlineStr">
        <is>
          <t>รถเทรลเลอร์</t>
        </is>
      </c>
      <c r="H186" s="631" t="inlineStr">
        <is>
          <t>KLANG, MALAYSIA</t>
        </is>
      </c>
      <c r="I186" s="636" t="n">
        <v>1588</v>
      </c>
      <c r="J186" s="635" t="inlineStr">
        <is>
          <t>Km</t>
        </is>
      </c>
      <c r="K186" s="637" t="n">
        <v>2200</v>
      </c>
      <c r="L186" s="642">
        <f>M186-K186</f>
        <v/>
      </c>
      <c r="M186" s="1799" t="n">
        <v>6537.28</v>
      </c>
      <c r="N186" s="1800" t="n">
        <v>3222.92</v>
      </c>
      <c r="O186" s="633" t="n">
        <v>0</v>
      </c>
      <c r="P186" s="643" t="n">
        <v>100</v>
      </c>
    </row>
    <row r="187" ht="15.75" customHeight="1">
      <c r="A187" s="625" t="inlineStr">
        <is>
          <t>FO23030037</t>
        </is>
      </c>
      <c r="B187" s="626" t="n">
        <v>45001</v>
      </c>
      <c r="C187" s="615" t="inlineStr">
        <is>
          <t>มัลติแบกซ์</t>
        </is>
      </c>
      <c r="D187" s="615" t="inlineStr">
        <is>
          <t>ท่าเรือแหลมฉบัง</t>
        </is>
      </c>
      <c r="E187" s="627" t="n">
        <v>7.1</v>
      </c>
      <c r="F187" s="625" t="inlineStr">
        <is>
          <t>Km</t>
        </is>
      </c>
      <c r="G187" s="628" t="inlineStr">
        <is>
          <t>รถเทรลเลอร์</t>
        </is>
      </c>
      <c r="H187" s="625" t="inlineStr">
        <is>
          <t>MANZANILLO, MEXICO</t>
        </is>
      </c>
      <c r="I187" s="629" t="n">
        <v>15486</v>
      </c>
      <c r="J187" s="628" t="inlineStr">
        <is>
          <t>Km</t>
        </is>
      </c>
      <c r="K187" s="630" t="n">
        <v>3780</v>
      </c>
      <c r="L187" s="640">
        <f>M187-K187</f>
        <v/>
      </c>
      <c r="M187" s="1797" t="n">
        <v>12658.36</v>
      </c>
      <c r="N187" s="1801" t="n">
        <v>6402.7</v>
      </c>
      <c r="O187" s="615" t="n">
        <v>0</v>
      </c>
      <c r="P187" s="641" t="n">
        <v>100</v>
      </c>
    </row>
    <row r="188" ht="15.75" customHeight="1">
      <c r="A188" s="631" t="inlineStr">
        <is>
          <t>FO23030038</t>
        </is>
      </c>
      <c r="B188" s="632" t="n">
        <v>45001</v>
      </c>
      <c r="C188" s="633" t="inlineStr">
        <is>
          <t>มัลติแบกซ์</t>
        </is>
      </c>
      <c r="D188" s="633" t="inlineStr">
        <is>
          <t>ท่าเรือแหลมฉบัง</t>
        </is>
      </c>
      <c r="E188" s="634" t="n">
        <v>6.2</v>
      </c>
      <c r="F188" s="631" t="inlineStr">
        <is>
          <t>Km</t>
        </is>
      </c>
      <c r="G188" s="635" t="inlineStr">
        <is>
          <t>รถเทรลเลอร์</t>
        </is>
      </c>
      <c r="H188" s="631" t="inlineStr">
        <is>
          <t>PERRIS CA, USA</t>
        </is>
      </c>
      <c r="I188" s="636" t="n">
        <v>13413</v>
      </c>
      <c r="J188" s="635" t="inlineStr">
        <is>
          <t>Km</t>
        </is>
      </c>
      <c r="K188" s="637" t="n">
        <v>3780</v>
      </c>
      <c r="L188" s="642">
        <f>M188-K188</f>
        <v/>
      </c>
      <c r="M188" s="1799" t="n">
        <v>22851.6</v>
      </c>
      <c r="N188" s="1800" t="n">
        <v>15602.4</v>
      </c>
      <c r="O188" s="633" t="n">
        <v>0</v>
      </c>
      <c r="P188" s="643" t="n">
        <v>100</v>
      </c>
    </row>
    <row r="189" ht="15.75" customHeight="1">
      <c r="A189" s="625" t="inlineStr">
        <is>
          <t>FO23030039</t>
        </is>
      </c>
      <c r="B189" s="626" t="n">
        <v>45002</v>
      </c>
      <c r="C189" s="615" t="inlineStr">
        <is>
          <t>มัลติแบกซ์</t>
        </is>
      </c>
      <c r="D189" s="615" t="inlineStr">
        <is>
          <t>ท่าเรือแหลมฉบัง</t>
        </is>
      </c>
      <c r="E189" s="627" t="n">
        <v>6.5</v>
      </c>
      <c r="F189" s="625" t="inlineStr">
        <is>
          <t>Km</t>
        </is>
      </c>
      <c r="G189" s="628" t="inlineStr">
        <is>
          <t>รถเทรลเลอร์</t>
        </is>
      </c>
      <c r="H189" s="625" t="inlineStr">
        <is>
          <t>LOUISVILLE KY, USA</t>
        </is>
      </c>
      <c r="I189" s="629" t="n">
        <v>14253</v>
      </c>
      <c r="J189" s="628" t="inlineStr">
        <is>
          <t>Km</t>
        </is>
      </c>
      <c r="K189" s="630" t="n">
        <v>3900</v>
      </c>
      <c r="L189" s="640">
        <f>M189-K189</f>
        <v/>
      </c>
      <c r="M189" s="1797" t="n">
        <v>15324.08</v>
      </c>
      <c r="N189" s="1801" t="n">
        <v>8558.639999999999</v>
      </c>
      <c r="O189" s="615" t="n">
        <v>0</v>
      </c>
      <c r="P189" s="641" t="n">
        <v>100</v>
      </c>
    </row>
    <row r="190" ht="15.75" customHeight="1">
      <c r="A190" s="631" t="inlineStr">
        <is>
          <t>FO23030040</t>
        </is>
      </c>
      <c r="B190" s="632" t="n">
        <v>45005</v>
      </c>
      <c r="C190" s="633" t="inlineStr">
        <is>
          <t>มัลติแบกซ์</t>
        </is>
      </c>
      <c r="D190" s="633" t="inlineStr">
        <is>
          <t>ท่าเรือแหลมฉบัง</t>
        </is>
      </c>
      <c r="E190" s="634" t="n">
        <v>6.5</v>
      </c>
      <c r="F190" s="631" t="inlineStr">
        <is>
          <t>Km</t>
        </is>
      </c>
      <c r="G190" s="635" t="inlineStr">
        <is>
          <t>รถเทรลเลอร์</t>
        </is>
      </c>
      <c r="H190" s="631" t="inlineStr">
        <is>
          <t>UK PORT</t>
        </is>
      </c>
      <c r="I190" s="636" t="n">
        <v>9687</v>
      </c>
      <c r="J190" s="635" t="inlineStr">
        <is>
          <t>Km</t>
        </is>
      </c>
      <c r="K190" s="637" t="n">
        <v>3670</v>
      </c>
      <c r="L190" s="642">
        <f>M190-K190</f>
        <v/>
      </c>
      <c r="M190" s="1799" t="n">
        <v>23135.5</v>
      </c>
      <c r="N190" s="1800" t="n">
        <v>18402.3</v>
      </c>
      <c r="O190" s="633" t="n">
        <v>0</v>
      </c>
      <c r="P190" s="643" t="n">
        <v>100</v>
      </c>
    </row>
    <row r="191" ht="15.75" customHeight="1">
      <c r="A191" s="625" t="inlineStr">
        <is>
          <t>FO23030041</t>
        </is>
      </c>
      <c r="B191" s="626" t="n">
        <v>45005</v>
      </c>
      <c r="C191" s="615" t="inlineStr">
        <is>
          <t>มัลติแบกซ์</t>
        </is>
      </c>
      <c r="D191" s="615" t="inlineStr">
        <is>
          <t>ท่าเรือแหลมฉบัง</t>
        </is>
      </c>
      <c r="E191" s="627" t="n">
        <v>11.7</v>
      </c>
      <c r="F191" s="625" t="inlineStr">
        <is>
          <t>Km</t>
        </is>
      </c>
      <c r="G191" s="628" t="inlineStr">
        <is>
          <t>รถเทรลเลอร์</t>
        </is>
      </c>
      <c r="H191" s="625" t="inlineStr">
        <is>
          <t>TOMAKOMAI, JAPAN</t>
        </is>
      </c>
      <c r="I191" s="629" t="n">
        <v>5092</v>
      </c>
      <c r="J191" s="628" t="inlineStr">
        <is>
          <t>Km</t>
        </is>
      </c>
      <c r="K191" s="630" t="n">
        <v>2200</v>
      </c>
      <c r="L191" s="640">
        <f>M191-K191</f>
        <v/>
      </c>
      <c r="M191" s="1797" t="n">
        <v>7825.4</v>
      </c>
      <c r="N191" s="1801" t="n">
        <v>4613.9</v>
      </c>
      <c r="O191" s="615" t="n">
        <v>0</v>
      </c>
      <c r="P191" s="641" t="n">
        <v>100</v>
      </c>
    </row>
    <row r="192" ht="15.75" customHeight="1">
      <c r="A192" s="631" t="inlineStr">
        <is>
          <t>FO23030042</t>
        </is>
      </c>
      <c r="B192" s="632" t="n">
        <v>45006</v>
      </c>
      <c r="C192" s="633" t="inlineStr">
        <is>
          <t>มัลติแบกซ์</t>
        </is>
      </c>
      <c r="D192" s="633" t="inlineStr">
        <is>
          <t>ท่าเรือแหลมฉบัง</t>
        </is>
      </c>
      <c r="E192" s="634" t="n">
        <v>6.5</v>
      </c>
      <c r="F192" s="631" t="inlineStr">
        <is>
          <t>Km</t>
        </is>
      </c>
      <c r="G192" s="635" t="inlineStr">
        <is>
          <t>รถเทรลเลอร์</t>
        </is>
      </c>
      <c r="H192" s="631" t="inlineStr">
        <is>
          <t>JACKSONVILLE IL, USA</t>
        </is>
      </c>
      <c r="I192" s="636" t="n">
        <v>15168</v>
      </c>
      <c r="J192" s="635" t="inlineStr">
        <is>
          <t>Km</t>
        </is>
      </c>
      <c r="K192" s="637" t="n">
        <v>3810</v>
      </c>
      <c r="L192" s="642">
        <f>M192-K192</f>
        <v/>
      </c>
      <c r="M192" s="1799" t="n">
        <v>2175.4</v>
      </c>
      <c r="N192" s="1800" t="n">
        <v>15019.2</v>
      </c>
      <c r="O192" s="633" t="n">
        <v>0</v>
      </c>
      <c r="P192" s="643" t="n">
        <v>100</v>
      </c>
    </row>
    <row r="193" ht="15.75" customHeight="1">
      <c r="A193" s="625" t="inlineStr">
        <is>
          <t>FO23030043</t>
        </is>
      </c>
      <c r="B193" s="626" t="n">
        <v>45006</v>
      </c>
      <c r="C193" s="615" t="inlineStr">
        <is>
          <t>มัลติแบกซ์</t>
        </is>
      </c>
      <c r="D193" s="615" t="inlineStr">
        <is>
          <t>ท่าเรือแหลมฉบัง</t>
        </is>
      </c>
      <c r="E193" s="627" t="n">
        <v>6.2</v>
      </c>
      <c r="F193" s="625" t="inlineStr">
        <is>
          <t>Km</t>
        </is>
      </c>
      <c r="G193" s="628" t="inlineStr">
        <is>
          <t>รถเทรลเลอร์</t>
        </is>
      </c>
      <c r="H193" s="625" t="inlineStr">
        <is>
          <t>JACKSONVILLE IL, USA</t>
        </is>
      </c>
      <c r="I193" s="629" t="n">
        <v>15168</v>
      </c>
      <c r="J193" s="628" t="inlineStr">
        <is>
          <t>Km</t>
        </is>
      </c>
      <c r="K193" s="630" t="n">
        <v>3860</v>
      </c>
      <c r="L193" s="640">
        <f>M193-K193</f>
        <v/>
      </c>
      <c r="M193" s="1797" t="n">
        <v>22769.4</v>
      </c>
      <c r="N193" s="1801" t="n">
        <v>15019.2</v>
      </c>
      <c r="O193" s="615" t="n">
        <v>0</v>
      </c>
      <c r="P193" s="641" t="n">
        <v>100</v>
      </c>
    </row>
    <row r="194" ht="15.75" customHeight="1">
      <c r="A194" s="631" t="inlineStr">
        <is>
          <t>FO23030044</t>
        </is>
      </c>
      <c r="B194" s="632" t="n">
        <v>45007</v>
      </c>
      <c r="C194" s="633" t="inlineStr">
        <is>
          <t>มัลติแบกซ์</t>
        </is>
      </c>
      <c r="D194" s="633" t="inlineStr">
        <is>
          <t>ท่าเรือแหลมฉบัง</t>
        </is>
      </c>
      <c r="E194" s="634" t="n">
        <v>6.2</v>
      </c>
      <c r="F194" s="631" t="inlineStr">
        <is>
          <t>Km</t>
        </is>
      </c>
      <c r="G194" s="635" t="inlineStr">
        <is>
          <t>รถเทรลเลอร์</t>
        </is>
      </c>
      <c r="H194" s="631" t="inlineStr">
        <is>
          <t>SYDNEY, AUSTRALIA</t>
        </is>
      </c>
      <c r="I194" s="636" t="n">
        <v>7448</v>
      </c>
      <c r="J194" s="635" t="inlineStr">
        <is>
          <t>Km</t>
        </is>
      </c>
      <c r="K194" s="637" t="n">
        <v>3850</v>
      </c>
      <c r="L194" s="642">
        <f>M194-K194</f>
        <v/>
      </c>
      <c r="M194" s="1799" t="n">
        <v>27422</v>
      </c>
      <c r="N194" s="1800" t="n">
        <v>19211</v>
      </c>
      <c r="O194" s="633" t="n">
        <v>0</v>
      </c>
      <c r="P194" s="643" t="n">
        <v>100</v>
      </c>
    </row>
    <row r="195" ht="15.75" customHeight="1">
      <c r="A195" s="625" t="inlineStr">
        <is>
          <t>FO23030045</t>
        </is>
      </c>
      <c r="B195" s="626" t="n">
        <v>45007</v>
      </c>
      <c r="C195" s="615" t="inlineStr">
        <is>
          <t>มัลติแบกซ์</t>
        </is>
      </c>
      <c r="D195" s="615" t="inlineStr">
        <is>
          <t>ท่าเรือแหลมฉบัง</t>
        </is>
      </c>
      <c r="E195" s="627" t="n">
        <v>6.2</v>
      </c>
      <c r="F195" s="625" t="inlineStr">
        <is>
          <t>Km</t>
        </is>
      </c>
      <c r="G195" s="628" t="inlineStr">
        <is>
          <t>รถเทรลเลอร์</t>
        </is>
      </c>
      <c r="H195" s="625" t="inlineStr">
        <is>
          <t>SYDNEY, AUSTRALIA</t>
        </is>
      </c>
      <c r="I195" s="629" t="n">
        <v>7448</v>
      </c>
      <c r="J195" s="628" t="inlineStr">
        <is>
          <t>Km</t>
        </is>
      </c>
      <c r="K195" s="630" t="n">
        <v>3900</v>
      </c>
      <c r="L195" s="640">
        <f>M195-K195</f>
        <v/>
      </c>
      <c r="M195" s="1797" t="n">
        <v>28167</v>
      </c>
      <c r="N195" s="1801" t="n">
        <v>20305</v>
      </c>
      <c r="O195" s="615" t="n">
        <v>0</v>
      </c>
      <c r="P195" s="641" t="n">
        <v>100</v>
      </c>
    </row>
    <row r="196" ht="15.75" customHeight="1">
      <c r="A196" s="631" t="inlineStr">
        <is>
          <t>FO23030046</t>
        </is>
      </c>
      <c r="B196" s="632" t="n">
        <v>45007</v>
      </c>
      <c r="C196" s="633" t="inlineStr">
        <is>
          <t>มัลติแบกซ์</t>
        </is>
      </c>
      <c r="D196" s="633" t="inlineStr">
        <is>
          <t>ท่าเรือแหลมฉบัง</t>
        </is>
      </c>
      <c r="E196" s="634" t="n">
        <v>6.2</v>
      </c>
      <c r="F196" s="631" t="inlineStr">
        <is>
          <t>Km</t>
        </is>
      </c>
      <c r="G196" s="635" t="inlineStr">
        <is>
          <t>รถเทรลเลอร์</t>
        </is>
      </c>
      <c r="H196" s="631" t="inlineStr">
        <is>
          <t>SYDNEY, AUSTRALIA</t>
        </is>
      </c>
      <c r="I196" s="636" t="n">
        <v>7448</v>
      </c>
      <c r="J196" s="635" t="inlineStr">
        <is>
          <t>Km</t>
        </is>
      </c>
      <c r="K196" s="637" t="n">
        <v>3840</v>
      </c>
      <c r="L196" s="642">
        <f>M196-K196</f>
        <v/>
      </c>
      <c r="M196" s="1799" t="n">
        <v>27992</v>
      </c>
      <c r="N196" s="1800" t="n">
        <v>22287</v>
      </c>
      <c r="O196" s="633" t="n">
        <v>0</v>
      </c>
      <c r="P196" s="643" t="n">
        <v>100</v>
      </c>
    </row>
    <row r="197" ht="15.75" customHeight="1">
      <c r="A197" s="625" t="inlineStr">
        <is>
          <t>FO23030047</t>
        </is>
      </c>
      <c r="B197" s="626" t="n">
        <v>45006</v>
      </c>
      <c r="C197" s="615" t="inlineStr">
        <is>
          <t>มัลติแบกซ์</t>
        </is>
      </c>
      <c r="D197" s="615" t="inlineStr">
        <is>
          <t>ท่าเรือแหลมฉบัง</t>
        </is>
      </c>
      <c r="E197" s="627" t="n">
        <v>6.2</v>
      </c>
      <c r="F197" s="625" t="inlineStr">
        <is>
          <t>Km</t>
        </is>
      </c>
      <c r="G197" s="628" t="inlineStr">
        <is>
          <t>รถเทรลเลอร์</t>
        </is>
      </c>
      <c r="H197" s="625" t="inlineStr">
        <is>
          <t>MELBOURNE, AUSTRALIA</t>
        </is>
      </c>
      <c r="I197" s="629" t="n">
        <v>7283</v>
      </c>
      <c r="J197" s="628" t="inlineStr">
        <is>
          <t>Km</t>
        </is>
      </c>
      <c r="K197" s="630" t="n">
        <v>3880</v>
      </c>
      <c r="L197" s="640">
        <f>M197-K197</f>
        <v/>
      </c>
      <c r="M197" s="1797" t="n">
        <v>27817</v>
      </c>
      <c r="N197" s="1801" t="n">
        <v>20590</v>
      </c>
      <c r="O197" s="615" t="n">
        <v>0</v>
      </c>
      <c r="P197" s="641" t="n">
        <v>100</v>
      </c>
    </row>
    <row r="198" ht="15.75" customHeight="1">
      <c r="A198" s="631" t="inlineStr">
        <is>
          <t>FO23030048</t>
        </is>
      </c>
      <c r="B198" s="632" t="n">
        <v>45006</v>
      </c>
      <c r="C198" s="633" t="inlineStr">
        <is>
          <t>มัลติแบกซ์</t>
        </is>
      </c>
      <c r="D198" s="633" t="inlineStr">
        <is>
          <t>ท่าเรือแหลมฉบัง</t>
        </is>
      </c>
      <c r="E198" s="634" t="n">
        <v>7.1</v>
      </c>
      <c r="F198" s="631" t="inlineStr">
        <is>
          <t>Km</t>
        </is>
      </c>
      <c r="G198" s="635" t="inlineStr">
        <is>
          <t>รถเทรลเลอร์</t>
        </is>
      </c>
      <c r="H198" s="631" t="inlineStr">
        <is>
          <t>MELBOURNE, AUSTRALIA</t>
        </is>
      </c>
      <c r="I198" s="636" t="n">
        <v>7283</v>
      </c>
      <c r="J198" s="635" t="inlineStr">
        <is>
          <t>Km</t>
        </is>
      </c>
      <c r="K198" s="637" t="n">
        <v>3870</v>
      </c>
      <c r="L198" s="642">
        <f>M198-K198</f>
        <v/>
      </c>
      <c r="M198" s="1799" t="n">
        <v>27947</v>
      </c>
      <c r="N198" s="1800" t="n">
        <v>19299</v>
      </c>
      <c r="O198" s="633" t="n">
        <v>0</v>
      </c>
      <c r="P198" s="643" t="n">
        <v>100</v>
      </c>
    </row>
    <row r="199" ht="15.75" customHeight="1">
      <c r="A199" s="625" t="inlineStr">
        <is>
          <t>FO23030049</t>
        </is>
      </c>
      <c r="B199" s="626" t="n">
        <v>45008</v>
      </c>
      <c r="C199" s="615" t="inlineStr">
        <is>
          <t>มัลติแบกซ์</t>
        </is>
      </c>
      <c r="D199" s="615" t="inlineStr">
        <is>
          <t>ท่าเรือแหลมฉบัง</t>
        </is>
      </c>
      <c r="E199" s="627" t="n">
        <v>11.9</v>
      </c>
      <c r="F199" s="625" t="inlineStr">
        <is>
          <t>Km</t>
        </is>
      </c>
      <c r="G199" s="628" t="inlineStr">
        <is>
          <t>รถเทรลเลอร์</t>
        </is>
      </c>
      <c r="H199" s="625" t="inlineStr">
        <is>
          <t>DURBAN, SOUTH AFRICA</t>
        </is>
      </c>
      <c r="I199" s="629" t="n">
        <v>8865</v>
      </c>
      <c r="J199" s="628" t="inlineStr">
        <is>
          <t>Km</t>
        </is>
      </c>
      <c r="K199" s="630" t="n">
        <v>3740</v>
      </c>
      <c r="L199" s="640">
        <f>M199-K199</f>
        <v/>
      </c>
      <c r="M199" s="1797" t="n">
        <v>26002</v>
      </c>
      <c r="N199" s="1801" t="n">
        <v>20147</v>
      </c>
      <c r="O199" s="615" t="n">
        <v>0</v>
      </c>
      <c r="P199" s="641" t="n">
        <v>100</v>
      </c>
    </row>
    <row r="200" ht="15.75" customHeight="1">
      <c r="A200" s="631" t="inlineStr">
        <is>
          <t>FO23030050</t>
        </is>
      </c>
      <c r="B200" s="632" t="n">
        <v>45005</v>
      </c>
      <c r="C200" s="633" t="inlineStr">
        <is>
          <t>มัลติแบกซ์</t>
        </is>
      </c>
      <c r="D200" s="633" t="inlineStr">
        <is>
          <t>ท่าเรือแหลมฉบัง</t>
        </is>
      </c>
      <c r="E200" s="634" t="n">
        <v>11.9</v>
      </c>
      <c r="F200" s="631" t="inlineStr">
        <is>
          <t>Km</t>
        </is>
      </c>
      <c r="G200" s="635" t="inlineStr">
        <is>
          <t>รถเทรลเลอร์</t>
        </is>
      </c>
      <c r="H200" s="631" t="inlineStr">
        <is>
          <t>NAGOYA, JAPAN</t>
        </is>
      </c>
      <c r="I200" s="636" t="n">
        <v>4358</v>
      </c>
      <c r="J200" s="635" t="inlineStr">
        <is>
          <t>Km</t>
        </is>
      </c>
      <c r="K200" s="637" t="n">
        <v>3830</v>
      </c>
      <c r="L200" s="642">
        <f>M200-K200</f>
        <v/>
      </c>
      <c r="M200" s="1799" t="n">
        <v>15981.5</v>
      </c>
      <c r="N200" s="1800" t="n">
        <v>10469.25</v>
      </c>
      <c r="O200" s="633" t="n">
        <v>0</v>
      </c>
      <c r="P200" s="643" t="n">
        <v>100</v>
      </c>
    </row>
    <row r="201" ht="15.75" customHeight="1">
      <c r="A201" s="625" t="inlineStr">
        <is>
          <t>FO23030051</t>
        </is>
      </c>
      <c r="B201" s="626" t="n">
        <v>45006</v>
      </c>
      <c r="C201" s="615" t="inlineStr">
        <is>
          <t>มัลติแบกซ์</t>
        </is>
      </c>
      <c r="D201" s="615" t="inlineStr">
        <is>
          <t>ท่าเรือแหลมฉบัง</t>
        </is>
      </c>
      <c r="E201" s="627" t="n">
        <v>6.2</v>
      </c>
      <c r="F201" s="625" t="inlineStr">
        <is>
          <t>Km</t>
        </is>
      </c>
      <c r="G201" s="628" t="inlineStr">
        <is>
          <t>รถเทรลเลอร์</t>
        </is>
      </c>
      <c r="H201" s="625" t="inlineStr">
        <is>
          <t>SINGAPORE</t>
        </is>
      </c>
      <c r="I201" s="629" t="n">
        <v>1931</v>
      </c>
      <c r="J201" s="628" t="inlineStr">
        <is>
          <t>Km</t>
        </is>
      </c>
      <c r="K201" s="630" t="n">
        <v>5015.5</v>
      </c>
      <c r="L201" s="640">
        <f>M201-K201</f>
        <v/>
      </c>
      <c r="M201" s="1797" t="n">
        <v>5961.5</v>
      </c>
      <c r="N201" s="1801" t="n">
        <v>5015.5</v>
      </c>
      <c r="O201" s="615" t="n">
        <v>0</v>
      </c>
      <c r="P201" s="641" t="n">
        <v>100</v>
      </c>
    </row>
    <row r="202" ht="15.75" customHeight="1">
      <c r="A202" s="631" t="inlineStr">
        <is>
          <t>FO23030052</t>
        </is>
      </c>
      <c r="B202" s="632" t="n">
        <v>45009</v>
      </c>
      <c r="C202" s="633" t="inlineStr">
        <is>
          <t>มัลติแบกซ์</t>
        </is>
      </c>
      <c r="D202" s="633" t="inlineStr">
        <is>
          <t>ท่าเรือแหลมฉบัง</t>
        </is>
      </c>
      <c r="E202" s="634" t="n">
        <v>11.9</v>
      </c>
      <c r="F202" s="631" t="inlineStr">
        <is>
          <t>Km</t>
        </is>
      </c>
      <c r="G202" s="635" t="inlineStr">
        <is>
          <t>รถเทรลเลอร์</t>
        </is>
      </c>
      <c r="H202" s="631" t="inlineStr">
        <is>
          <t>MANILA, PHILIPPINES</t>
        </is>
      </c>
      <c r="I202" s="636" t="n">
        <v>2167</v>
      </c>
      <c r="J202" s="635" t="inlineStr">
        <is>
          <t>Km</t>
        </is>
      </c>
      <c r="K202" s="637" t="n">
        <v>2200</v>
      </c>
      <c r="L202" s="642">
        <f>M202-K202</f>
        <v/>
      </c>
      <c r="M202" s="1799" t="n">
        <v>6499.28</v>
      </c>
      <c r="N202" s="1800" t="n">
        <v>3049.28</v>
      </c>
      <c r="O202" s="633" t="n">
        <v>0</v>
      </c>
      <c r="P202" s="643" t="n">
        <v>100</v>
      </c>
    </row>
    <row r="203" ht="15.75" customHeight="1">
      <c r="A203" s="625" t="inlineStr">
        <is>
          <t>FO23030053</t>
        </is>
      </c>
      <c r="B203" s="626" t="n">
        <v>45008</v>
      </c>
      <c r="C203" s="615" t="inlineStr">
        <is>
          <t>มัลติแบกซ์</t>
        </is>
      </c>
      <c r="D203" s="615" t="inlineStr">
        <is>
          <t>ท่าเรือแหลมฉบัง</t>
        </is>
      </c>
      <c r="E203" s="627" t="n">
        <v>6.2</v>
      </c>
      <c r="F203" s="625" t="inlineStr">
        <is>
          <t>Km</t>
        </is>
      </c>
      <c r="G203" s="628" t="inlineStr">
        <is>
          <t>รถเทรลเลอร์</t>
        </is>
      </c>
      <c r="H203" s="625" t="inlineStr">
        <is>
          <t>JEBEL ALI, UAE</t>
        </is>
      </c>
      <c r="I203" s="629" t="n">
        <v>4972</v>
      </c>
      <c r="J203" s="628" t="inlineStr">
        <is>
          <t>Km</t>
        </is>
      </c>
      <c r="K203" s="630" t="n">
        <v>3660</v>
      </c>
      <c r="L203" s="640">
        <f>M203-K203</f>
        <v/>
      </c>
      <c r="M203" s="1797" t="n">
        <v>12746.8</v>
      </c>
      <c r="N203" s="1801" t="n">
        <v>6778</v>
      </c>
      <c r="O203" s="615" t="n">
        <v>0</v>
      </c>
      <c r="P203" s="641" t="n">
        <v>100</v>
      </c>
    </row>
    <row r="204" ht="15.75" customHeight="1">
      <c r="A204" s="631" t="inlineStr">
        <is>
          <t>FO23030054</t>
        </is>
      </c>
      <c r="B204" s="632" t="n">
        <v>45006</v>
      </c>
      <c r="C204" s="633" t="inlineStr">
        <is>
          <t>มัลติแบกซ์</t>
        </is>
      </c>
      <c r="D204" s="633" t="inlineStr">
        <is>
          <t>ท่าเรือแหลมฉบัง</t>
        </is>
      </c>
      <c r="E204" s="634" t="n">
        <v>7.1</v>
      </c>
      <c r="F204" s="631" t="inlineStr">
        <is>
          <t>Km</t>
        </is>
      </c>
      <c r="G204" s="635" t="inlineStr">
        <is>
          <t>รถเทรลเลอร์</t>
        </is>
      </c>
      <c r="H204" s="631" t="inlineStr">
        <is>
          <t>NINGBO, CHINA</t>
        </is>
      </c>
      <c r="I204" s="636" t="n">
        <v>3824</v>
      </c>
      <c r="J204" s="635" t="inlineStr">
        <is>
          <t>Km</t>
        </is>
      </c>
      <c r="K204" s="637" t="n">
        <v>3810</v>
      </c>
      <c r="L204" s="642">
        <f>M204-K204</f>
        <v/>
      </c>
      <c r="M204" s="1799" t="n">
        <v>14517.14</v>
      </c>
      <c r="N204" s="1800" t="n">
        <v>7974</v>
      </c>
      <c r="O204" s="633" t="n">
        <v>0</v>
      </c>
      <c r="P204" s="643" t="n">
        <v>100</v>
      </c>
    </row>
    <row r="205" ht="15.75" customHeight="1">
      <c r="A205" s="625" t="inlineStr">
        <is>
          <t>FO23030055</t>
        </is>
      </c>
      <c r="B205" s="626" t="n">
        <v>45007</v>
      </c>
      <c r="C205" s="615" t="inlineStr">
        <is>
          <t>มัลติแบกซ์</t>
        </is>
      </c>
      <c r="D205" s="615" t="inlineStr">
        <is>
          <t>ท่าเรือแหลมฉบัง</t>
        </is>
      </c>
      <c r="E205" s="627" t="n">
        <v>7.1</v>
      </c>
      <c r="F205" s="625" t="inlineStr">
        <is>
          <t>Km</t>
        </is>
      </c>
      <c r="G205" s="628" t="inlineStr">
        <is>
          <t>รถเทรลเลอร์</t>
        </is>
      </c>
      <c r="H205" s="625" t="inlineStr">
        <is>
          <t>NINGBO, CHINA</t>
        </is>
      </c>
      <c r="I205" s="629" t="n">
        <v>3824</v>
      </c>
      <c r="J205" s="628" t="inlineStr">
        <is>
          <t>Km</t>
        </is>
      </c>
      <c r="K205" s="630" t="n">
        <v>3840</v>
      </c>
      <c r="L205" s="640">
        <f>M205-K205</f>
        <v/>
      </c>
      <c r="M205" s="1797" t="n">
        <v>14619.65</v>
      </c>
      <c r="N205" s="1801" t="n">
        <v>7960.53</v>
      </c>
      <c r="O205" s="615" t="n">
        <v>0</v>
      </c>
      <c r="P205" s="641" t="n">
        <v>100</v>
      </c>
    </row>
    <row r="206" ht="15.75" customHeight="1">
      <c r="A206" s="631" t="inlineStr">
        <is>
          <t>FO23030056</t>
        </is>
      </c>
      <c r="B206" s="632" t="n">
        <v>45007</v>
      </c>
      <c r="C206" s="633" t="inlineStr">
        <is>
          <t>มัลติแบกซ์</t>
        </is>
      </c>
      <c r="D206" s="633" t="inlineStr">
        <is>
          <t>ท่าเรือแหลมฉบัง</t>
        </is>
      </c>
      <c r="E206" s="634" t="n">
        <v>3.6</v>
      </c>
      <c r="F206" s="631" t="inlineStr">
        <is>
          <t>Km</t>
        </is>
      </c>
      <c r="G206" s="635" t="inlineStr">
        <is>
          <t>รถเทรลเลอร์</t>
        </is>
      </c>
      <c r="H206" s="631" t="inlineStr">
        <is>
          <t>SENDAI, JAPAN</t>
        </is>
      </c>
      <c r="I206" s="636" t="n">
        <v>4823</v>
      </c>
      <c r="J206" s="635" t="inlineStr">
        <is>
          <t>Km</t>
        </is>
      </c>
      <c r="K206" s="637" t="n">
        <v>2185</v>
      </c>
      <c r="L206" s="642">
        <f>M206-K206</f>
        <v/>
      </c>
      <c r="M206" s="1799" t="n">
        <v>7689.9</v>
      </c>
      <c r="N206" s="1800" t="n">
        <v>4485.55</v>
      </c>
      <c r="O206" s="633" t="n">
        <v>0</v>
      </c>
      <c r="P206" s="643" t="n">
        <v>100</v>
      </c>
    </row>
    <row r="207" ht="15.75" customHeight="1">
      <c r="A207" s="625" t="inlineStr">
        <is>
          <t>FO23030057</t>
        </is>
      </c>
      <c r="B207" s="626" t="n">
        <v>45006</v>
      </c>
      <c r="C207" s="615" t="inlineStr">
        <is>
          <t>มัลติแบกซ์</t>
        </is>
      </c>
      <c r="D207" s="615" t="inlineStr">
        <is>
          <t>ท่าเรือแหลมฉบัง</t>
        </is>
      </c>
      <c r="E207" s="627" t="n">
        <v>7.1</v>
      </c>
      <c r="F207" s="625" t="inlineStr">
        <is>
          <t>Km</t>
        </is>
      </c>
      <c r="G207" s="628" t="inlineStr">
        <is>
          <t>รถเทรลเลอร์</t>
        </is>
      </c>
      <c r="H207" s="625" t="inlineStr">
        <is>
          <t>CARROLLTON TX, USA</t>
        </is>
      </c>
      <c r="I207" s="629" t="n">
        <v>14544</v>
      </c>
      <c r="J207" s="628" t="inlineStr">
        <is>
          <t>Km</t>
        </is>
      </c>
      <c r="K207" s="630" t="n">
        <v>3700</v>
      </c>
      <c r="L207" s="640">
        <f>M207-K207</f>
        <v/>
      </c>
      <c r="M207" s="1797" t="n">
        <v>18539</v>
      </c>
      <c r="N207" s="1801" t="n">
        <v>12511.2</v>
      </c>
      <c r="O207" s="615" t="n">
        <v>0</v>
      </c>
      <c r="P207" s="641" t="n">
        <v>100</v>
      </c>
    </row>
    <row r="208" ht="15.75" customHeight="1">
      <c r="A208" s="631" t="inlineStr">
        <is>
          <t>FO23030058</t>
        </is>
      </c>
      <c r="B208" s="632" t="n">
        <v>45006</v>
      </c>
      <c r="C208" s="633" t="inlineStr">
        <is>
          <t>มัลติแบกซ์</t>
        </is>
      </c>
      <c r="D208" s="633" t="inlineStr">
        <is>
          <t>ท่าเรือแหลมฉบัง</t>
        </is>
      </c>
      <c r="E208" s="634" t="n">
        <v>7.1</v>
      </c>
      <c r="F208" s="631" t="inlineStr">
        <is>
          <t>Km</t>
        </is>
      </c>
      <c r="G208" s="635" t="inlineStr">
        <is>
          <t>รถเทรลเลอร์</t>
        </is>
      </c>
      <c r="H208" s="631" t="inlineStr">
        <is>
          <t>CARROLLTON TX, USA</t>
        </is>
      </c>
      <c r="I208" s="636" t="n">
        <v>14544</v>
      </c>
      <c r="J208" s="635" t="inlineStr">
        <is>
          <t>Km</t>
        </is>
      </c>
      <c r="K208" s="637" t="n">
        <v>3700</v>
      </c>
      <c r="L208" s="642">
        <f>M208-K208</f>
        <v/>
      </c>
      <c r="M208" s="1799" t="n">
        <v>22771.6</v>
      </c>
      <c r="N208" s="1800" t="n">
        <v>15602.4</v>
      </c>
      <c r="O208" s="633" t="n">
        <v>0</v>
      </c>
      <c r="P208" s="643" t="n">
        <v>100</v>
      </c>
    </row>
    <row r="209" ht="15.75" customHeight="1">
      <c r="A209" s="625" t="inlineStr">
        <is>
          <t>FO23030059</t>
        </is>
      </c>
      <c r="B209" s="626" t="n">
        <v>45008</v>
      </c>
      <c r="C209" s="615" t="inlineStr">
        <is>
          <t>มัลติแบกซ์</t>
        </is>
      </c>
      <c r="D209" s="615" t="inlineStr">
        <is>
          <t>ท่าเรือแหลมฉบัง</t>
        </is>
      </c>
      <c r="E209" s="627" t="n">
        <v>6</v>
      </c>
      <c r="F209" s="625" t="inlineStr">
        <is>
          <t>Km</t>
        </is>
      </c>
      <c r="G209" s="628" t="inlineStr">
        <is>
          <t>รถเทรลเลอร์</t>
        </is>
      </c>
      <c r="H209" s="625" t="inlineStr">
        <is>
          <t>SHIMIZU, JAPAN</t>
        </is>
      </c>
      <c r="I209" s="629" t="n">
        <v>4482</v>
      </c>
      <c r="J209" s="628" t="inlineStr">
        <is>
          <t>Km</t>
        </is>
      </c>
      <c r="K209" s="630" t="n">
        <v>2210</v>
      </c>
      <c r="L209" s="640">
        <f>M209-K209</f>
        <v/>
      </c>
      <c r="M209" s="1797" t="n">
        <v>7893</v>
      </c>
      <c r="N209" s="1801" t="n">
        <v>4743.2</v>
      </c>
      <c r="O209" s="615" t="n">
        <v>0</v>
      </c>
      <c r="P209" s="641" t="n">
        <v>100</v>
      </c>
    </row>
    <row r="210" ht="15.75" customHeight="1">
      <c r="A210" s="631" t="inlineStr">
        <is>
          <t>FO23030060</t>
        </is>
      </c>
      <c r="B210" s="632" t="n">
        <v>45008</v>
      </c>
      <c r="C210" s="633" t="inlineStr">
        <is>
          <t>มัลติแบกซ์</t>
        </is>
      </c>
      <c r="D210" s="633" t="inlineStr">
        <is>
          <t>ท่าเรือแหลมฉบัง</t>
        </is>
      </c>
      <c r="E210" s="634" t="n">
        <v>6</v>
      </c>
      <c r="F210" s="631" t="inlineStr">
        <is>
          <t>Km</t>
        </is>
      </c>
      <c r="G210" s="635" t="inlineStr">
        <is>
          <t>รถเทรลเลอร์</t>
        </is>
      </c>
      <c r="H210" s="631" t="inlineStr">
        <is>
          <t>APPLETON WI , USA</t>
        </is>
      </c>
      <c r="I210" s="636" t="n">
        <v>13558</v>
      </c>
      <c r="J210" s="635" t="inlineStr">
        <is>
          <t>Km</t>
        </is>
      </c>
      <c r="K210" s="637" t="n">
        <v>3820</v>
      </c>
      <c r="L210" s="642">
        <f>M210-K210</f>
        <v/>
      </c>
      <c r="M210" s="1799" t="n">
        <v>18659</v>
      </c>
      <c r="N210" s="1800" t="n">
        <v>12511.2</v>
      </c>
      <c r="O210" s="633" t="n">
        <v>0</v>
      </c>
      <c r="P210" s="643" t="n">
        <v>100</v>
      </c>
    </row>
    <row r="211" ht="15.75" customHeight="1">
      <c r="A211" s="625" t="inlineStr">
        <is>
          <t>FO23030061</t>
        </is>
      </c>
      <c r="B211" s="626" t="n">
        <v>45008</v>
      </c>
      <c r="C211" s="615" t="inlineStr">
        <is>
          <t>มัลติแบกซ์</t>
        </is>
      </c>
      <c r="D211" s="615" t="inlineStr">
        <is>
          <t>ท่าเรือแหลมฉบัง</t>
        </is>
      </c>
      <c r="E211" s="627" t="n">
        <v>6</v>
      </c>
      <c r="F211" s="625" t="inlineStr">
        <is>
          <t>Km</t>
        </is>
      </c>
      <c r="G211" s="628" t="inlineStr">
        <is>
          <t>รถเทรลเลอร์</t>
        </is>
      </c>
      <c r="H211" s="625" t="inlineStr">
        <is>
          <t>OSAKA, JAPAN</t>
        </is>
      </c>
      <c r="I211" s="629" t="n">
        <v>4220</v>
      </c>
      <c r="J211" s="628" t="inlineStr">
        <is>
          <t>Km</t>
        </is>
      </c>
      <c r="K211" s="630" t="n">
        <v>2245</v>
      </c>
      <c r="L211" s="640">
        <f>M211-K211</f>
        <v/>
      </c>
      <c r="M211" s="1797" t="n">
        <v>7669.65</v>
      </c>
      <c r="N211" s="1801" t="n">
        <v>4403.25</v>
      </c>
      <c r="O211" s="615" t="n">
        <v>0</v>
      </c>
      <c r="P211" s="641" t="n">
        <v>100</v>
      </c>
    </row>
    <row r="212" ht="15.75" customHeight="1">
      <c r="A212" s="631" t="inlineStr">
        <is>
          <t>FO23030062</t>
        </is>
      </c>
      <c r="B212" s="632" t="n">
        <v>45008</v>
      </c>
      <c r="C212" s="633" t="inlineStr">
        <is>
          <t>มัลติแบกซ์</t>
        </is>
      </c>
      <c r="D212" s="633" t="inlineStr">
        <is>
          <t>ท่าเรือแหลมฉบัง</t>
        </is>
      </c>
      <c r="E212" s="634" t="n">
        <v>6</v>
      </c>
      <c r="F212" s="631" t="inlineStr">
        <is>
          <t>Km</t>
        </is>
      </c>
      <c r="G212" s="635" t="inlineStr">
        <is>
          <t>รถเทรลเลอร์</t>
        </is>
      </c>
      <c r="H212" s="631" t="inlineStr">
        <is>
          <t>SOUTH BOSTON VA, USA</t>
        </is>
      </c>
      <c r="I212" s="636" t="n">
        <v>13787</v>
      </c>
      <c r="J212" s="635" t="inlineStr">
        <is>
          <t>Km</t>
        </is>
      </c>
      <c r="K212" s="637" t="n">
        <v>3900</v>
      </c>
      <c r="L212" s="642">
        <f>M212-K212</f>
        <v/>
      </c>
      <c r="M212" s="1799" t="n">
        <v>18048</v>
      </c>
      <c r="N212" s="1800" t="n">
        <v>11330</v>
      </c>
      <c r="O212" s="633" t="n">
        <v>0</v>
      </c>
      <c r="P212" s="643" t="n">
        <v>100</v>
      </c>
    </row>
    <row r="213" ht="15.75" customHeight="1">
      <c r="A213" s="625" t="inlineStr">
        <is>
          <t>FO23030063</t>
        </is>
      </c>
      <c r="B213" s="626" t="n">
        <v>45009</v>
      </c>
      <c r="C213" s="615" t="inlineStr">
        <is>
          <t>มัลติแบกซ์</t>
        </is>
      </c>
      <c r="D213" s="615" t="inlineStr">
        <is>
          <t>ท่าเรือแหลมฉบัง</t>
        </is>
      </c>
      <c r="E213" s="627" t="n">
        <v>6.5</v>
      </c>
      <c r="F213" s="625" t="inlineStr">
        <is>
          <t>Km</t>
        </is>
      </c>
      <c r="G213" s="628" t="inlineStr">
        <is>
          <t>รถเทรลเลอร์</t>
        </is>
      </c>
      <c r="H213" s="625" t="inlineStr">
        <is>
          <t>LOUISVILLE KY, USA</t>
        </is>
      </c>
      <c r="I213" s="629" t="n">
        <v>14253</v>
      </c>
      <c r="J213" s="628" t="inlineStr">
        <is>
          <t>Km</t>
        </is>
      </c>
      <c r="K213" s="630" t="n">
        <v>3950</v>
      </c>
      <c r="L213" s="640">
        <f>M213-K213</f>
        <v/>
      </c>
      <c r="M213" s="1797" t="n">
        <v>14502.88</v>
      </c>
      <c r="N213" s="1801" t="n">
        <v>7733.52</v>
      </c>
      <c r="O213" s="615" t="n">
        <v>0</v>
      </c>
      <c r="P213" s="641" t="n">
        <v>100</v>
      </c>
    </row>
    <row r="214" ht="15.75" customHeight="1">
      <c r="A214" s="631" t="inlineStr">
        <is>
          <t>FO23030064</t>
        </is>
      </c>
      <c r="B214" s="632" t="n">
        <v>45023</v>
      </c>
      <c r="C214" s="633" t="inlineStr">
        <is>
          <t>มัลติแบกซ์</t>
        </is>
      </c>
      <c r="D214" s="633" t="inlineStr">
        <is>
          <t>ท่าเรือแหลมฉบัง</t>
        </is>
      </c>
      <c r="E214" s="634" t="n">
        <v>11.9</v>
      </c>
      <c r="F214" s="631" t="inlineStr">
        <is>
          <t>Km</t>
        </is>
      </c>
      <c r="G214" s="635" t="inlineStr">
        <is>
          <t>รถเทรลเลอร์</t>
        </is>
      </c>
      <c r="H214" s="646" t="inlineStr">
        <is>
          <t>AUCKLAND, NEW ZEALAND</t>
        </is>
      </c>
      <c r="I214" s="636" t="n">
        <v>9486</v>
      </c>
      <c r="J214" s="635" t="inlineStr">
        <is>
          <t>Km</t>
        </is>
      </c>
      <c r="K214" s="637" t="n">
        <v>2280</v>
      </c>
      <c r="L214" s="642" t="n">
        <v>13457</v>
      </c>
      <c r="M214" s="1799" t="n">
        <v>15737</v>
      </c>
      <c r="N214" s="1800" t="n">
        <v>11985</v>
      </c>
      <c r="O214" s="633" t="n">
        <v>0</v>
      </c>
      <c r="P214" s="643" t="n">
        <v>100</v>
      </c>
    </row>
    <row r="215" ht="15.75" customHeight="1">
      <c r="A215" s="625" t="inlineStr">
        <is>
          <t>FO23030065</t>
        </is>
      </c>
      <c r="B215" s="626" t="n">
        <v>45023</v>
      </c>
      <c r="C215" s="615" t="inlineStr">
        <is>
          <t>มัลติแบกซ์</t>
        </is>
      </c>
      <c r="D215" s="615" t="inlineStr">
        <is>
          <t>ท่าเรือแหลมฉบัง</t>
        </is>
      </c>
      <c r="E215" s="627" t="n">
        <v>11.9</v>
      </c>
      <c r="F215" s="625" t="inlineStr">
        <is>
          <t>Km</t>
        </is>
      </c>
      <c r="G215" s="628" t="inlineStr">
        <is>
          <t>รถเทรลเลอร์</t>
        </is>
      </c>
      <c r="H215" s="647" t="inlineStr">
        <is>
          <t>AUCKLAND, NEW ZEALAND</t>
        </is>
      </c>
      <c r="I215" s="629" t="n">
        <v>9486</v>
      </c>
      <c r="J215" s="628" t="inlineStr">
        <is>
          <t>Km</t>
        </is>
      </c>
      <c r="K215" s="630" t="n">
        <v>3840</v>
      </c>
      <c r="L215" s="640" t="n">
        <v>19570.4</v>
      </c>
      <c r="M215" s="1797" t="n">
        <v>23410.4</v>
      </c>
      <c r="N215" s="1801" t="n">
        <v>13238.3</v>
      </c>
      <c r="O215" s="615" t="n">
        <v>0</v>
      </c>
      <c r="P215" s="641" t="n">
        <v>100</v>
      </c>
    </row>
    <row r="216" ht="15.75" customHeight="1">
      <c r="A216" s="631" t="inlineStr">
        <is>
          <t>FO23030066</t>
        </is>
      </c>
      <c r="B216" s="632" t="n">
        <v>45023</v>
      </c>
      <c r="C216" s="633" t="inlineStr">
        <is>
          <t>มัลติแบกซ์</t>
        </is>
      </c>
      <c r="D216" s="633" t="inlineStr">
        <is>
          <t>ท่าเรือแหลมฉบัง</t>
        </is>
      </c>
      <c r="E216" s="634" t="n">
        <v>11.9</v>
      </c>
      <c r="F216" s="631" t="inlineStr">
        <is>
          <t>Km</t>
        </is>
      </c>
      <c r="G216" s="635" t="inlineStr">
        <is>
          <t>รถเทรลเลอร์</t>
        </is>
      </c>
      <c r="H216" s="646" t="inlineStr">
        <is>
          <t>AUCKLAND, NEW ZEALAND</t>
        </is>
      </c>
      <c r="I216" s="636" t="n">
        <v>9486</v>
      </c>
      <c r="J216" s="635" t="inlineStr">
        <is>
          <t>Km</t>
        </is>
      </c>
      <c r="K216" s="637" t="n">
        <v>3830</v>
      </c>
      <c r="L216" s="642" t="n">
        <v>14280.6</v>
      </c>
      <c r="M216" s="1799" t="n">
        <v>18110.6</v>
      </c>
      <c r="N216" s="1800" t="n">
        <v>10938.6</v>
      </c>
      <c r="O216" s="633" t="n">
        <v>0</v>
      </c>
      <c r="P216" s="643" t="n">
        <v>100</v>
      </c>
    </row>
    <row r="217" ht="15.75" customHeight="1">
      <c r="A217" s="625" t="inlineStr">
        <is>
          <t>FO23030067</t>
        </is>
      </c>
      <c r="B217" s="626" t="n">
        <v>45007</v>
      </c>
      <c r="C217" s="615" t="inlineStr">
        <is>
          <t>มัลติแบกซ์</t>
        </is>
      </c>
      <c r="D217" s="615" t="inlineStr">
        <is>
          <t>ท่าเรือแหลมฉบัง</t>
        </is>
      </c>
      <c r="E217" s="627" t="n">
        <v>7.1</v>
      </c>
      <c r="F217" s="625" t="inlineStr">
        <is>
          <t>Km</t>
        </is>
      </c>
      <c r="G217" s="628" t="inlineStr">
        <is>
          <t>รถเทรลเลอร์</t>
        </is>
      </c>
      <c r="H217" s="625" t="inlineStr">
        <is>
          <t>UK PORT</t>
        </is>
      </c>
      <c r="I217" s="629" t="n">
        <v>9687</v>
      </c>
      <c r="J217" s="628" t="inlineStr">
        <is>
          <t>Km</t>
        </is>
      </c>
      <c r="K217" s="630" t="n">
        <v>3900</v>
      </c>
      <c r="L217" s="640" t="n">
        <v>8887.639999999999</v>
      </c>
      <c r="M217" s="1797" t="n">
        <v>12787.64</v>
      </c>
      <c r="N217" s="1801" t="n">
        <v>18942.6</v>
      </c>
      <c r="O217" s="615" t="n">
        <v>0</v>
      </c>
      <c r="P217" s="641" t="n">
        <v>100</v>
      </c>
    </row>
    <row r="218" ht="15.75" customHeight="1">
      <c r="A218" s="631" t="inlineStr">
        <is>
          <t>FO23030068</t>
        </is>
      </c>
      <c r="B218" s="632" t="n">
        <v>45007</v>
      </c>
      <c r="C218" s="633" t="inlineStr">
        <is>
          <t>มัลติแบกซ์</t>
        </is>
      </c>
      <c r="D218" s="633" t="inlineStr">
        <is>
          <t>ท่าเรือแหลมฉบัง</t>
        </is>
      </c>
      <c r="E218" s="634" t="n">
        <v>7.1</v>
      </c>
      <c r="F218" s="631" t="inlineStr">
        <is>
          <t>Km</t>
        </is>
      </c>
      <c r="G218" s="635" t="inlineStr">
        <is>
          <t>รถเทรลเลอร์</t>
        </is>
      </c>
      <c r="H218" s="631" t="inlineStr">
        <is>
          <t>NINGBO, CHINA</t>
        </is>
      </c>
      <c r="I218" s="636" t="n">
        <v>3824</v>
      </c>
      <c r="J218" s="635" t="inlineStr">
        <is>
          <t>Km</t>
        </is>
      </c>
      <c r="K218" s="637" t="n">
        <v>3820</v>
      </c>
      <c r="L218" s="642">
        <f>M218-K218</f>
        <v/>
      </c>
      <c r="M218" s="1799" t="n">
        <v>15328.62</v>
      </c>
      <c r="N218" s="1800" t="n">
        <v>8718.18</v>
      </c>
      <c r="O218" s="633" t="n">
        <v>0</v>
      </c>
      <c r="P218" s="643" t="n">
        <v>100</v>
      </c>
    </row>
    <row r="219" ht="15.75" customHeight="1">
      <c r="A219" s="625" t="inlineStr">
        <is>
          <t>FO23030069</t>
        </is>
      </c>
      <c r="B219" s="626" t="n">
        <v>45014</v>
      </c>
      <c r="C219" s="615" t="inlineStr">
        <is>
          <t>มัลติแบกซ์</t>
        </is>
      </c>
      <c r="D219" s="615" t="inlineStr">
        <is>
          <t>ท่าเรือแหลมฉบัง</t>
        </is>
      </c>
      <c r="E219" s="627" t="n">
        <v>4.9</v>
      </c>
      <c r="F219" s="625" t="inlineStr">
        <is>
          <t>Km</t>
        </is>
      </c>
      <c r="G219" s="628" t="inlineStr">
        <is>
          <t>รถเทรลเลอร์</t>
        </is>
      </c>
      <c r="H219" s="625" t="inlineStr">
        <is>
          <t>CARROLLTON TX, USA</t>
        </is>
      </c>
      <c r="I219" s="629" t="n">
        <v>14544</v>
      </c>
      <c r="J219" s="628" t="inlineStr">
        <is>
          <t>Km</t>
        </is>
      </c>
      <c r="K219" s="630" t="n">
        <v>3860</v>
      </c>
      <c r="L219" s="640">
        <f>M219-K219</f>
        <v/>
      </c>
      <c r="M219" s="1797" t="n">
        <v>18699</v>
      </c>
      <c r="N219" s="1801" t="n">
        <v>12511.2</v>
      </c>
      <c r="O219" s="615" t="n">
        <v>0</v>
      </c>
      <c r="P219" s="641" t="n">
        <v>100</v>
      </c>
    </row>
    <row r="220" ht="15.75" customHeight="1">
      <c r="A220" s="631" t="inlineStr">
        <is>
          <t>FO23030070</t>
        </is>
      </c>
      <c r="B220" s="632" t="n">
        <v>45008</v>
      </c>
      <c r="C220" s="633" t="inlineStr">
        <is>
          <t>มัลติแบกซ์</t>
        </is>
      </c>
      <c r="D220" s="633" t="inlineStr">
        <is>
          <t>ท่าเรือแหลมฉบัง</t>
        </is>
      </c>
      <c r="E220" s="634" t="n">
        <v>11.9</v>
      </c>
      <c r="F220" s="631" t="inlineStr">
        <is>
          <t>Km</t>
        </is>
      </c>
      <c r="G220" s="635" t="inlineStr">
        <is>
          <t>รถเทรลเลอร์</t>
        </is>
      </c>
      <c r="H220" s="631" t="inlineStr">
        <is>
          <t>DURBAN, SOUTH AFRICA</t>
        </is>
      </c>
      <c r="I220" s="636" t="n">
        <v>8865</v>
      </c>
      <c r="J220" s="635" t="inlineStr">
        <is>
          <t>Km</t>
        </is>
      </c>
      <c r="K220" s="637" t="n">
        <v>2220</v>
      </c>
      <c r="L220" s="642">
        <f>M220-K220</f>
        <v/>
      </c>
      <c r="M220" s="1799" t="n">
        <v>17540</v>
      </c>
      <c r="N220" s="1800" t="n">
        <v>12848.3</v>
      </c>
      <c r="O220" s="633" t="n">
        <v>0</v>
      </c>
      <c r="P220" s="643" t="n">
        <v>100</v>
      </c>
    </row>
    <row r="221" ht="15.75" customHeight="1">
      <c r="A221" s="625" t="inlineStr">
        <is>
          <t>FO23030071</t>
        </is>
      </c>
      <c r="B221" s="626" t="n">
        <v>45014</v>
      </c>
      <c r="C221" s="615" t="inlineStr">
        <is>
          <t>มัลติแบกซ์</t>
        </is>
      </c>
      <c r="D221" s="615" t="inlineStr">
        <is>
          <t>ท่าเรือแหลมฉบัง</t>
        </is>
      </c>
      <c r="E221" s="627" t="n">
        <v>6.2</v>
      </c>
      <c r="F221" s="625" t="inlineStr">
        <is>
          <t>Km</t>
        </is>
      </c>
      <c r="G221" s="628" t="inlineStr">
        <is>
          <t>รถเทรลเลอร์</t>
        </is>
      </c>
      <c r="H221" s="625" t="inlineStr">
        <is>
          <t>CARROLLTON TX, USA</t>
        </is>
      </c>
      <c r="I221" s="629" t="n">
        <v>14544</v>
      </c>
      <c r="J221" s="628" t="inlineStr">
        <is>
          <t>Km</t>
        </is>
      </c>
      <c r="K221" s="630" t="n">
        <v>3840</v>
      </c>
      <c r="L221" s="640">
        <f>M221-K221</f>
        <v/>
      </c>
      <c r="M221" s="1797" t="n">
        <v>18679</v>
      </c>
      <c r="N221" s="1801" t="n">
        <v>12511.2</v>
      </c>
      <c r="O221" s="615" t="n">
        <v>0</v>
      </c>
      <c r="P221" s="641" t="n">
        <v>100</v>
      </c>
    </row>
    <row r="222" ht="15.75" customHeight="1">
      <c r="A222" s="631" t="inlineStr">
        <is>
          <t>FO23030072</t>
        </is>
      </c>
      <c r="B222" s="632" t="n">
        <v>45014</v>
      </c>
      <c r="C222" s="633" t="inlineStr">
        <is>
          <t>มัลติแบกซ์</t>
        </is>
      </c>
      <c r="D222" s="633" t="inlineStr">
        <is>
          <t>ท่าเรือแหลมฉบัง</t>
        </is>
      </c>
      <c r="E222" s="634" t="n">
        <v>6.2</v>
      </c>
      <c r="F222" s="631" t="inlineStr">
        <is>
          <t>Km</t>
        </is>
      </c>
      <c r="G222" s="635" t="inlineStr">
        <is>
          <t>รถเทรลเลอร์</t>
        </is>
      </c>
      <c r="H222" s="631" t="inlineStr">
        <is>
          <t>CARROLLTON TX, USA</t>
        </is>
      </c>
      <c r="I222" s="636" t="n">
        <v>14544</v>
      </c>
      <c r="J222" s="635" t="inlineStr">
        <is>
          <t>Km</t>
        </is>
      </c>
      <c r="K222" s="637" t="n">
        <v>3880</v>
      </c>
      <c r="L222" s="642">
        <f>M222-K222</f>
        <v/>
      </c>
      <c r="M222" s="1799" t="n">
        <v>22951.6</v>
      </c>
      <c r="N222" s="1800" t="n">
        <v>15602.4</v>
      </c>
      <c r="O222" s="633" t="n">
        <v>0</v>
      </c>
      <c r="P222" s="643" t="n">
        <v>100</v>
      </c>
    </row>
    <row r="223" ht="15.75" customHeight="1">
      <c r="A223" s="625" t="inlineStr">
        <is>
          <t>FO23030073</t>
        </is>
      </c>
      <c r="B223" s="626" t="n">
        <v>45014</v>
      </c>
      <c r="C223" s="615" t="inlineStr">
        <is>
          <t>มัลติแบกซ์</t>
        </is>
      </c>
      <c r="D223" s="615" t="inlineStr">
        <is>
          <t>ท่าเรือแหลมฉบัง</t>
        </is>
      </c>
      <c r="E223" s="627" t="n">
        <v>6.2</v>
      </c>
      <c r="F223" s="625" t="inlineStr">
        <is>
          <t>Km</t>
        </is>
      </c>
      <c r="G223" s="628" t="inlineStr">
        <is>
          <t>รถเทรลเลอร์</t>
        </is>
      </c>
      <c r="H223" s="625" t="inlineStr">
        <is>
          <t>APPLETON WI , USA</t>
        </is>
      </c>
      <c r="I223" s="629" t="n">
        <v>13558</v>
      </c>
      <c r="J223" s="628" t="inlineStr">
        <is>
          <t>Km</t>
        </is>
      </c>
      <c r="K223" s="630" t="n">
        <v>3890</v>
      </c>
      <c r="L223" s="640">
        <f>M223-K223</f>
        <v/>
      </c>
      <c r="M223" s="1797" t="n">
        <v>18733</v>
      </c>
      <c r="N223" s="1801" t="n">
        <v>12187.6</v>
      </c>
      <c r="O223" s="615" t="n">
        <v>0</v>
      </c>
      <c r="P223" s="641" t="n">
        <v>100</v>
      </c>
    </row>
    <row r="224" ht="15.75" customHeight="1">
      <c r="A224" s="631" t="inlineStr">
        <is>
          <t>FO23030074</t>
        </is>
      </c>
      <c r="B224" s="632" t="n">
        <v>45014</v>
      </c>
      <c r="C224" s="633" t="inlineStr">
        <is>
          <t>มัลติแบกซ์</t>
        </is>
      </c>
      <c r="D224" s="633" t="inlineStr">
        <is>
          <t>ท่าเรือแหลมฉบัง</t>
        </is>
      </c>
      <c r="E224" s="634" t="n">
        <v>6.2</v>
      </c>
      <c r="F224" s="631" t="inlineStr">
        <is>
          <t>Km</t>
        </is>
      </c>
      <c r="G224" s="635" t="inlineStr">
        <is>
          <t>รถเทรลเลอร์</t>
        </is>
      </c>
      <c r="H224" s="631" t="inlineStr">
        <is>
          <t>SANTA TERESA, NM USA</t>
        </is>
      </c>
      <c r="I224" s="636" t="n">
        <v>17387</v>
      </c>
      <c r="J224" s="635" t="inlineStr">
        <is>
          <t>Km</t>
        </is>
      </c>
      <c r="K224" s="637" t="n">
        <v>3850</v>
      </c>
      <c r="L224" s="642">
        <f>M224-K224</f>
        <v/>
      </c>
      <c r="M224" s="1799" t="n">
        <v>23005.96</v>
      </c>
      <c r="N224" s="1800" t="n">
        <v>16769.53</v>
      </c>
      <c r="O224" s="633" t="n">
        <v>0</v>
      </c>
      <c r="P224" s="643" t="n">
        <v>100</v>
      </c>
    </row>
    <row r="225" ht="15.75" customHeight="1">
      <c r="A225" s="625" t="inlineStr">
        <is>
          <t>FO23030075</t>
        </is>
      </c>
      <c r="B225" s="626" t="n">
        <v>45013</v>
      </c>
      <c r="C225" s="615" t="inlineStr">
        <is>
          <t>มัลติแบกซ์</t>
        </is>
      </c>
      <c r="D225" s="615" t="inlineStr">
        <is>
          <t>ท่าเรือแหลมฉบัง</t>
        </is>
      </c>
      <c r="E225" s="627" t="n">
        <v>4.1</v>
      </c>
      <c r="F225" s="625" t="inlineStr">
        <is>
          <t>Km</t>
        </is>
      </c>
      <c r="G225" s="628" t="inlineStr">
        <is>
          <t>รถเทรลเลอร์</t>
        </is>
      </c>
      <c r="H225" s="625" t="inlineStr">
        <is>
          <t>UK PORT</t>
        </is>
      </c>
      <c r="I225" s="629" t="n">
        <v>9687</v>
      </c>
      <c r="J225" s="628" t="inlineStr">
        <is>
          <t>Km</t>
        </is>
      </c>
      <c r="K225" s="630" t="n">
        <v>2280</v>
      </c>
      <c r="L225" s="640">
        <f>M225-K225</f>
        <v/>
      </c>
      <c r="M225" s="1797" t="n">
        <v>8057</v>
      </c>
      <c r="N225" s="1801" t="n">
        <v>4550</v>
      </c>
      <c r="O225" s="615" t="n">
        <v>0</v>
      </c>
      <c r="P225" s="641" t="n">
        <v>100</v>
      </c>
    </row>
    <row r="226" ht="15.75" customHeight="1">
      <c r="A226" s="617" t="inlineStr">
        <is>
          <t>FO23030076</t>
        </is>
      </c>
      <c r="B226" s="632" t="n">
        <v>45012</v>
      </c>
      <c r="C226" s="617" t="inlineStr">
        <is>
          <t>มัลติแบกซ์</t>
        </is>
      </c>
      <c r="D226" s="617" t="inlineStr">
        <is>
          <t>ท่าเรือแหลมฉบัง</t>
        </is>
      </c>
      <c r="E226" s="619" t="n">
        <v>5.3</v>
      </c>
      <c r="F226" s="617" t="inlineStr">
        <is>
          <t>Km</t>
        </is>
      </c>
      <c r="G226" s="620" t="inlineStr">
        <is>
          <t>รถเทรลเลอร์</t>
        </is>
      </c>
      <c r="H226" s="631" t="inlineStr">
        <is>
          <t>HONG KONG</t>
        </is>
      </c>
      <c r="I226" s="636" t="n">
        <v>1734</v>
      </c>
      <c r="J226" s="622" t="inlineStr">
        <is>
          <t>Km</t>
        </is>
      </c>
      <c r="K226" s="623" t="n">
        <v>3700</v>
      </c>
      <c r="L226" s="644" t="n">
        <v>11212</v>
      </c>
      <c r="M226" s="1795" t="n">
        <v>14912</v>
      </c>
      <c r="N226" s="1800" t="n">
        <v>8450</v>
      </c>
      <c r="O226" s="633" t="n">
        <v>0</v>
      </c>
      <c r="P226" s="643" t="n">
        <v>100</v>
      </c>
    </row>
    <row r="227" ht="15.75" customHeight="1">
      <c r="A227" s="625" t="inlineStr">
        <is>
          <t>FO23030077</t>
        </is>
      </c>
      <c r="B227" s="626" t="n">
        <v>45014</v>
      </c>
      <c r="C227" s="615" t="inlineStr">
        <is>
          <t>มัลติแบกซ์</t>
        </is>
      </c>
      <c r="D227" s="615" t="inlineStr">
        <is>
          <t>ท่าเรือแหลมฉบัง</t>
        </is>
      </c>
      <c r="E227" s="627" t="n">
        <v>4.9</v>
      </c>
      <c r="F227" s="625" t="inlineStr">
        <is>
          <t>Km</t>
        </is>
      </c>
      <c r="G227" s="628" t="inlineStr">
        <is>
          <t>รถเทรลเลอร์</t>
        </is>
      </c>
      <c r="H227" s="625" t="inlineStr">
        <is>
          <t>DURBAN, SOUTH AFRICA</t>
        </is>
      </c>
      <c r="I227" s="629" t="n">
        <v>8865</v>
      </c>
      <c r="J227" s="628" t="inlineStr">
        <is>
          <t>Km</t>
        </is>
      </c>
      <c r="K227" s="630" t="n">
        <v>2300</v>
      </c>
      <c r="L227" s="640">
        <f>M227-K227</f>
        <v/>
      </c>
      <c r="M227" s="1797" t="n">
        <v>6712</v>
      </c>
      <c r="N227" s="1801" t="n">
        <v>3198</v>
      </c>
      <c r="O227" s="615" t="n">
        <v>0</v>
      </c>
      <c r="P227" s="641" t="n">
        <v>100</v>
      </c>
    </row>
    <row r="228" ht="15.75" customHeight="1">
      <c r="A228" s="631" t="inlineStr">
        <is>
          <t>FO23030078</t>
        </is>
      </c>
      <c r="B228" s="632" t="n">
        <v>45015</v>
      </c>
      <c r="C228" s="633" t="inlineStr">
        <is>
          <t>มัลติแบกซ์</t>
        </is>
      </c>
      <c r="D228" s="633" t="inlineStr">
        <is>
          <t>ท่าเรือแหลมฉบัง</t>
        </is>
      </c>
      <c r="E228" s="634" t="n">
        <v>7.1</v>
      </c>
      <c r="F228" s="631" t="inlineStr">
        <is>
          <t>Km</t>
        </is>
      </c>
      <c r="G228" s="635" t="inlineStr">
        <is>
          <t>รถเทรลเลอร์</t>
        </is>
      </c>
      <c r="H228" s="631" t="inlineStr">
        <is>
          <t>HAMAD, QATAR</t>
        </is>
      </c>
      <c r="I228" s="636" t="n">
        <v>5317</v>
      </c>
      <c r="J228" s="635" t="inlineStr">
        <is>
          <t>Km</t>
        </is>
      </c>
      <c r="K228" s="637" t="n">
        <v>3640</v>
      </c>
      <c r="L228" s="642">
        <f>M228-K228</f>
        <v/>
      </c>
      <c r="M228" s="1799" t="n">
        <v>16643.37</v>
      </c>
      <c r="N228" s="1800" t="n">
        <v>10672.53</v>
      </c>
      <c r="O228" s="633" t="n">
        <v>0</v>
      </c>
      <c r="P228" s="643" t="n">
        <v>100</v>
      </c>
    </row>
    <row r="229" ht="15.75" customHeight="1">
      <c r="A229" s="607" t="inlineStr">
        <is>
          <t>FO23030079</t>
        </is>
      </c>
      <c r="B229" s="626" t="n">
        <v>45015</v>
      </c>
      <c r="C229" s="615" t="inlineStr">
        <is>
          <t>มัลติแบกซ์</t>
        </is>
      </c>
      <c r="D229" s="615" t="inlineStr">
        <is>
          <t>ท่าเรือแหลมฉบัง</t>
        </is>
      </c>
      <c r="E229" s="627" t="n">
        <v>7.1</v>
      </c>
      <c r="F229" s="625" t="inlineStr">
        <is>
          <t>Km</t>
        </is>
      </c>
      <c r="G229" s="628" t="inlineStr">
        <is>
          <t>รถเทรลเลอร์</t>
        </is>
      </c>
      <c r="H229" s="625" t="inlineStr">
        <is>
          <t>SOHAR, OMAN</t>
        </is>
      </c>
      <c r="I229" s="629" t="n">
        <v>4795</v>
      </c>
      <c r="J229" s="628" t="inlineStr">
        <is>
          <t>Km</t>
        </is>
      </c>
      <c r="K229" s="630" t="n">
        <v>2180</v>
      </c>
      <c r="L229" s="640">
        <f>M229-K229</f>
        <v/>
      </c>
      <c r="M229" s="1797" t="n">
        <v>8549.700000000001</v>
      </c>
      <c r="N229" s="1801" t="n">
        <v>5225.5</v>
      </c>
      <c r="O229" s="615" t="n">
        <v>0</v>
      </c>
      <c r="P229" s="641" t="n">
        <v>100</v>
      </c>
    </row>
    <row r="230" ht="15.75" customHeight="1">
      <c r="A230" s="625" t="inlineStr">
        <is>
          <t>FO23040001</t>
        </is>
      </c>
      <c r="B230" s="626" t="n">
        <v>45019</v>
      </c>
      <c r="C230" s="615" t="inlineStr">
        <is>
          <t>มัลติแบกซ์</t>
        </is>
      </c>
      <c r="D230" s="615" t="inlineStr">
        <is>
          <t>ท่าเรือแหลมฉบัง</t>
        </is>
      </c>
      <c r="E230" s="627" t="n">
        <v>6</v>
      </c>
      <c r="F230" s="625" t="inlineStr">
        <is>
          <t>Km</t>
        </is>
      </c>
      <c r="G230" s="625" t="inlineStr">
        <is>
          <t>รถเทรลเลอร์</t>
        </is>
      </c>
      <c r="H230" s="625" t="inlineStr">
        <is>
          <t>SOHAR, OMAN</t>
        </is>
      </c>
      <c r="I230" s="629" t="n">
        <v>4795</v>
      </c>
      <c r="J230" s="628" t="inlineStr">
        <is>
          <t>Km</t>
        </is>
      </c>
      <c r="K230" s="630" t="n">
        <v>3900</v>
      </c>
      <c r="L230" s="640">
        <f>M230-K230</f>
        <v/>
      </c>
      <c r="M230" s="1797" t="n">
        <v>12787.64</v>
      </c>
      <c r="N230" s="1801" t="n">
        <v>6764.67</v>
      </c>
      <c r="O230" s="615" t="n">
        <v>0</v>
      </c>
      <c r="P230" s="641" t="n">
        <v>100</v>
      </c>
    </row>
    <row r="231" ht="15.75" customHeight="1">
      <c r="A231" s="631" t="inlineStr">
        <is>
          <t>FO23040002</t>
        </is>
      </c>
      <c r="B231" s="632" t="n">
        <v>45019</v>
      </c>
      <c r="C231" s="633" t="inlineStr">
        <is>
          <t>มัลติแบกซ์</t>
        </is>
      </c>
      <c r="D231" s="633" t="inlineStr">
        <is>
          <t>ท่าเรือแหลมฉบัง</t>
        </is>
      </c>
      <c r="E231" s="634" t="n">
        <v>7.1</v>
      </c>
      <c r="F231" s="633" t="inlineStr">
        <is>
          <t>Km</t>
        </is>
      </c>
      <c r="G231" s="633" t="inlineStr">
        <is>
          <t>รถเทรลเลอร์</t>
        </is>
      </c>
      <c r="H231" s="631" t="inlineStr">
        <is>
          <t>KHALIFA BIN SALMAN, BAHRAIN</t>
        </is>
      </c>
      <c r="I231" s="636" t="n">
        <v>5416</v>
      </c>
      <c r="J231" s="639" t="inlineStr">
        <is>
          <t>Km</t>
        </is>
      </c>
      <c r="K231" s="637" t="n">
        <v>2100</v>
      </c>
      <c r="L231" s="642">
        <f>M231-K231</f>
        <v/>
      </c>
      <c r="M231" s="1799" t="n">
        <v>5633.09</v>
      </c>
      <c r="N231" s="1800" t="n">
        <v>2479.41</v>
      </c>
      <c r="O231" s="633" t="n">
        <v>0</v>
      </c>
      <c r="P231" s="643" t="n">
        <v>100</v>
      </c>
    </row>
    <row r="232" ht="15.75" customHeight="1">
      <c r="A232" s="631" t="inlineStr">
        <is>
          <t>FO23040003</t>
        </is>
      </c>
      <c r="B232" s="632" t="n">
        <v>45021</v>
      </c>
      <c r="C232" s="633" t="inlineStr">
        <is>
          <t>มัลติแบกซ์</t>
        </is>
      </c>
      <c r="D232" s="633" t="inlineStr">
        <is>
          <t>ลาดกระบัง</t>
        </is>
      </c>
      <c r="E232" s="634" t="n">
        <v>41.1</v>
      </c>
      <c r="F232" s="633" t="inlineStr">
        <is>
          <t>Km</t>
        </is>
      </c>
      <c r="G232" s="633" t="inlineStr">
        <is>
          <t>รถเทรลเลอร์</t>
        </is>
      </c>
      <c r="H232" s="631" t="inlineStr">
        <is>
          <t>HAMAD, QATAR</t>
        </is>
      </c>
      <c r="I232" s="636" t="n">
        <v>5317</v>
      </c>
      <c r="J232" s="639" t="inlineStr">
        <is>
          <t>Km</t>
        </is>
      </c>
      <c r="K232" s="637" t="n">
        <v>3750</v>
      </c>
      <c r="L232" s="642" t="n">
        <v>9415.85</v>
      </c>
      <c r="M232" s="1799" t="n">
        <v>5333.85</v>
      </c>
      <c r="N232" s="1800" t="n">
        <v>4077.81</v>
      </c>
      <c r="O232" s="633" t="n">
        <v>0</v>
      </c>
      <c r="P232" s="643" t="n">
        <v>100</v>
      </c>
    </row>
    <row r="233" ht="15.75" customHeight="1">
      <c r="A233" s="631" t="inlineStr">
        <is>
          <t>FO23040004</t>
        </is>
      </c>
      <c r="B233" s="632" t="n">
        <v>45021</v>
      </c>
      <c r="C233" s="633" t="inlineStr">
        <is>
          <t>มัลติแบกซ์</t>
        </is>
      </c>
      <c r="D233" s="633" t="inlineStr">
        <is>
          <t>ท่าเรือแหลมฉบัง</t>
        </is>
      </c>
      <c r="E233" s="634" t="n">
        <v>7.1</v>
      </c>
      <c r="F233" s="631" t="inlineStr">
        <is>
          <t>Km</t>
        </is>
      </c>
      <c r="G233" s="631" t="inlineStr">
        <is>
          <t>รถเทรลเลอร์</t>
        </is>
      </c>
      <c r="H233" s="631" t="inlineStr">
        <is>
          <t>BREMERHAVEN, GERMANY</t>
        </is>
      </c>
      <c r="I233" s="636" t="n">
        <v>8986</v>
      </c>
      <c r="J233" s="635" t="inlineStr">
        <is>
          <t>Km</t>
        </is>
      </c>
      <c r="K233" s="637" t="n">
        <v>2140</v>
      </c>
      <c r="L233" s="642">
        <f>M233-K233</f>
        <v/>
      </c>
      <c r="M233" s="1799" t="n">
        <v>8089.19</v>
      </c>
      <c r="N233" s="1800" t="n">
        <v>4229.59</v>
      </c>
      <c r="O233" s="633" t="n">
        <v>0</v>
      </c>
      <c r="P233" s="643" t="n">
        <v>100</v>
      </c>
    </row>
    <row r="234" ht="15.75" customHeight="1">
      <c r="A234" s="625" t="inlineStr">
        <is>
          <t>FO23040005</t>
        </is>
      </c>
      <c r="B234" s="626" t="n">
        <v>45019</v>
      </c>
      <c r="C234" s="615" t="inlineStr">
        <is>
          <t>มัลติแบกซ์</t>
        </is>
      </c>
      <c r="D234" s="615" t="inlineStr">
        <is>
          <t>ท่าเรือแหลมฉบัง</t>
        </is>
      </c>
      <c r="E234" s="627" t="n">
        <v>5.3</v>
      </c>
      <c r="F234" s="625" t="inlineStr">
        <is>
          <t>Km</t>
        </is>
      </c>
      <c r="G234" s="625" t="inlineStr">
        <is>
          <t>รถเทรลเลอร์</t>
        </is>
      </c>
      <c r="H234" s="625" t="inlineStr">
        <is>
          <t>HONG KONG</t>
        </is>
      </c>
      <c r="I234" s="629" t="n">
        <v>1734</v>
      </c>
      <c r="J234" s="628" t="inlineStr">
        <is>
          <t>Km</t>
        </is>
      </c>
      <c r="K234" s="630" t="n">
        <v>3820</v>
      </c>
      <c r="L234" s="640">
        <f>M234-K234</f>
        <v/>
      </c>
      <c r="M234" s="1797" t="n">
        <v>14534.1</v>
      </c>
      <c r="N234" s="1801" t="n">
        <v>8046.9</v>
      </c>
      <c r="O234" s="615" t="n">
        <v>0</v>
      </c>
      <c r="P234" s="641" t="n">
        <v>100</v>
      </c>
    </row>
    <row r="235" ht="15.75" customHeight="1">
      <c r="A235" s="631" t="inlineStr">
        <is>
          <t>FO23040006</t>
        </is>
      </c>
      <c r="B235" s="632" t="n">
        <v>45023</v>
      </c>
      <c r="C235" s="633" t="inlineStr">
        <is>
          <t>มัลติแบกซ์</t>
        </is>
      </c>
      <c r="D235" s="633" t="inlineStr">
        <is>
          <t>ท่าเรือแหลมฉบัง</t>
        </is>
      </c>
      <c r="E235" s="634" t="n">
        <v>11.9</v>
      </c>
      <c r="F235" s="631" t="inlineStr">
        <is>
          <t>Km</t>
        </is>
      </c>
      <c r="G235" s="631" t="inlineStr">
        <is>
          <t>รถเทรลเลอร์</t>
        </is>
      </c>
      <c r="H235" s="631" t="inlineStr">
        <is>
          <t>HONG KONG</t>
        </is>
      </c>
      <c r="I235" s="636" t="n">
        <v>1734</v>
      </c>
      <c r="J235" s="635" t="inlineStr">
        <is>
          <t>Km</t>
        </is>
      </c>
      <c r="K235" s="637" t="n">
        <v>3700</v>
      </c>
      <c r="L235" s="642">
        <f>M235-K235</f>
        <v/>
      </c>
      <c r="M235" s="1799" t="n">
        <v>15394.6</v>
      </c>
      <c r="N235" s="1800" t="n">
        <v>9386.6</v>
      </c>
      <c r="O235" s="633" t="n">
        <v>0</v>
      </c>
      <c r="P235" s="643" t="n">
        <v>100</v>
      </c>
    </row>
    <row r="236" ht="15.75" customHeight="1">
      <c r="A236" s="607" t="inlineStr">
        <is>
          <t>FO23040007</t>
        </is>
      </c>
      <c r="B236" s="626" t="n">
        <v>45023</v>
      </c>
      <c r="C236" s="607" t="inlineStr">
        <is>
          <t>มัลติแบกซ์</t>
        </is>
      </c>
      <c r="D236" s="607" t="inlineStr">
        <is>
          <t>ท่าเรือแหลมฉบัง</t>
        </is>
      </c>
      <c r="E236" s="609" t="n">
        <v>11.9</v>
      </c>
      <c r="F236" s="607" t="inlineStr">
        <is>
          <t>Km</t>
        </is>
      </c>
      <c r="G236" s="607" t="inlineStr">
        <is>
          <t>รถเทรลเลอร์</t>
        </is>
      </c>
      <c r="H236" s="625" t="inlineStr">
        <is>
          <t>SINGAPORE</t>
        </is>
      </c>
      <c r="I236" s="629" t="n">
        <v>1931</v>
      </c>
      <c r="J236" s="612" t="inlineStr">
        <is>
          <t>Km</t>
        </is>
      </c>
      <c r="K236" s="613" t="n">
        <v>3800</v>
      </c>
      <c r="L236" s="645" t="n">
        <v>9573.85</v>
      </c>
      <c r="M236" s="1791" t="n">
        <v>13373.85</v>
      </c>
      <c r="N236" s="1801" t="n">
        <v>3132.45</v>
      </c>
      <c r="O236" s="615" t="n">
        <v>0</v>
      </c>
      <c r="P236" s="641" t="n">
        <v>100</v>
      </c>
    </row>
    <row r="237" ht="15.75" customHeight="1">
      <c r="A237" s="631" t="inlineStr">
        <is>
          <t>FO23040008</t>
        </is>
      </c>
      <c r="B237" s="632" t="n">
        <v>45021</v>
      </c>
      <c r="C237" s="633" t="inlineStr">
        <is>
          <t>มัลติแบกซ์</t>
        </is>
      </c>
      <c r="D237" s="633" t="inlineStr">
        <is>
          <t>ท่าเรือแหลมฉบัง</t>
        </is>
      </c>
      <c r="E237" s="634" t="n">
        <v>6</v>
      </c>
      <c r="F237" s="631" t="inlineStr">
        <is>
          <t>Km</t>
        </is>
      </c>
      <c r="G237" s="631" t="inlineStr">
        <is>
          <t>รถเทรลเลอร์</t>
        </is>
      </c>
      <c r="H237" s="631" t="inlineStr">
        <is>
          <t>CARROLLTON TX, USA</t>
        </is>
      </c>
      <c r="I237" s="636" t="n">
        <v>14544</v>
      </c>
      <c r="J237" s="635" t="inlineStr">
        <is>
          <t>Km</t>
        </is>
      </c>
      <c r="K237" s="637" t="n">
        <v>3800</v>
      </c>
      <c r="L237" s="642">
        <f>M237-K237</f>
        <v/>
      </c>
      <c r="M237" s="1799" t="n">
        <v>17624</v>
      </c>
      <c r="N237" s="1800" t="n">
        <v>11400</v>
      </c>
      <c r="O237" s="633" t="n">
        <v>0</v>
      </c>
      <c r="P237" s="643" t="n">
        <v>100</v>
      </c>
    </row>
    <row r="238" ht="15.75" customHeight="1">
      <c r="A238" s="625" t="inlineStr">
        <is>
          <t>FO23040009</t>
        </is>
      </c>
      <c r="B238" s="626" t="n">
        <v>45021</v>
      </c>
      <c r="C238" s="615" t="inlineStr">
        <is>
          <t>มัลติแบกซ์</t>
        </is>
      </c>
      <c r="D238" s="615" t="inlineStr">
        <is>
          <t>ท่าเรือแหลมฉบัง</t>
        </is>
      </c>
      <c r="E238" s="627" t="n">
        <v>11.9</v>
      </c>
      <c r="F238" s="625" t="inlineStr">
        <is>
          <t>Km</t>
        </is>
      </c>
      <c r="G238" s="625" t="inlineStr">
        <is>
          <t>รถเทรลเลอร์</t>
        </is>
      </c>
      <c r="H238" s="625" t="inlineStr">
        <is>
          <t>GUANGZHOU, CHINA</t>
        </is>
      </c>
      <c r="I238" s="629" t="n">
        <v>2597</v>
      </c>
      <c r="J238" s="628" t="inlineStr">
        <is>
          <t>Km</t>
        </is>
      </c>
      <c r="K238" s="630" t="n">
        <v>2100</v>
      </c>
      <c r="L238" s="640">
        <f>M238-K238</f>
        <v/>
      </c>
      <c r="M238" s="1797" t="n">
        <v>7444.5</v>
      </c>
      <c r="N238" s="1801" t="n">
        <v>4067</v>
      </c>
      <c r="O238" s="615" t="n">
        <v>0</v>
      </c>
      <c r="P238" s="641" t="n">
        <v>100</v>
      </c>
    </row>
    <row r="239" ht="15.75" customHeight="1">
      <c r="A239" s="631" t="inlineStr">
        <is>
          <t>FO23040010</t>
        </is>
      </c>
      <c r="B239" s="632" t="n">
        <v>45036</v>
      </c>
      <c r="C239" s="633" t="inlineStr">
        <is>
          <t>มัลติแบกซ์</t>
        </is>
      </c>
      <c r="D239" s="633" t="inlineStr">
        <is>
          <t>ท่าเรือแหลมฉบัง</t>
        </is>
      </c>
      <c r="E239" s="634" t="n">
        <v>6.2</v>
      </c>
      <c r="F239" s="631" t="inlineStr">
        <is>
          <t>Km</t>
        </is>
      </c>
      <c r="G239" s="631" t="inlineStr">
        <is>
          <t>รถเทรลเลอร์</t>
        </is>
      </c>
      <c r="H239" s="631" t="inlineStr">
        <is>
          <t>PERRIS CA, USA</t>
        </is>
      </c>
      <c r="I239" s="636" t="n">
        <v>13413</v>
      </c>
      <c r="J239" s="635" t="inlineStr">
        <is>
          <t>Km</t>
        </is>
      </c>
      <c r="K239" s="637" t="n">
        <v>3750</v>
      </c>
      <c r="L239" s="642">
        <f>M239-K239</f>
        <v/>
      </c>
      <c r="M239" s="1799" t="n">
        <v>22821.6</v>
      </c>
      <c r="N239" s="1800" t="n">
        <v>15602.4</v>
      </c>
      <c r="O239" s="633" t="n">
        <v>0</v>
      </c>
      <c r="P239" s="643" t="n">
        <v>100</v>
      </c>
    </row>
    <row r="240" ht="15.75" customHeight="1">
      <c r="A240" s="625" t="inlineStr">
        <is>
          <t>FO23040011</t>
        </is>
      </c>
      <c r="B240" s="626" t="n">
        <v>45035</v>
      </c>
      <c r="C240" s="615" t="inlineStr">
        <is>
          <t>มัลติแบกซ์</t>
        </is>
      </c>
      <c r="D240" s="615" t="inlineStr">
        <is>
          <t>ท่าเรือแหลมฉบัง</t>
        </is>
      </c>
      <c r="E240" s="627" t="n">
        <v>6.2</v>
      </c>
      <c r="F240" s="625" t="inlineStr">
        <is>
          <t>Km</t>
        </is>
      </c>
      <c r="G240" s="625" t="inlineStr">
        <is>
          <t>รถเทรลเลอร์</t>
        </is>
      </c>
      <c r="H240" s="625" t="inlineStr">
        <is>
          <t>SYDNEY, AUSTRALIA</t>
        </is>
      </c>
      <c r="I240" s="629" t="n">
        <v>7448</v>
      </c>
      <c r="J240" s="628" t="inlineStr">
        <is>
          <t>Km</t>
        </is>
      </c>
      <c r="K240" s="630" t="n">
        <v>3830</v>
      </c>
      <c r="L240" s="640">
        <f>M240-K240</f>
        <v/>
      </c>
      <c r="M240" s="1797" t="n">
        <v>13787</v>
      </c>
      <c r="N240" s="1801" t="n">
        <v>5262</v>
      </c>
      <c r="O240" s="615" t="n">
        <v>0</v>
      </c>
      <c r="P240" s="641" t="n">
        <v>100</v>
      </c>
    </row>
    <row r="241" ht="15.75" customHeight="1">
      <c r="A241" s="631" t="inlineStr">
        <is>
          <t>FO23040012</t>
        </is>
      </c>
      <c r="B241" s="632" t="n">
        <v>45036</v>
      </c>
      <c r="C241" s="633" t="inlineStr">
        <is>
          <t>มัลติแบกซ์</t>
        </is>
      </c>
      <c r="D241" s="633" t="inlineStr">
        <is>
          <t>ท่าเรือแหลมฉบัง</t>
        </is>
      </c>
      <c r="E241" s="634" t="n">
        <v>7.1</v>
      </c>
      <c r="F241" s="631" t="inlineStr">
        <is>
          <t>Km</t>
        </is>
      </c>
      <c r="G241" s="631" t="inlineStr">
        <is>
          <t>รถเทรลเลอร์</t>
        </is>
      </c>
      <c r="H241" s="631" t="inlineStr">
        <is>
          <t>SHUWAIKH, KUWAIT</t>
        </is>
      </c>
      <c r="I241" s="636" t="n">
        <v>5727</v>
      </c>
      <c r="J241" s="635" t="inlineStr">
        <is>
          <t>Km</t>
        </is>
      </c>
      <c r="K241" s="637" t="n">
        <v>3640</v>
      </c>
      <c r="L241" s="642">
        <f>M241-K241</f>
        <v/>
      </c>
      <c r="M241" s="1799" t="n">
        <v>15974.6</v>
      </c>
      <c r="N241" s="1800" t="n">
        <v>10463.84</v>
      </c>
      <c r="O241" s="633" t="n">
        <v>0</v>
      </c>
      <c r="P241" s="643" t="n">
        <v>100</v>
      </c>
    </row>
    <row r="242" ht="15.75" customHeight="1">
      <c r="A242" s="625" t="inlineStr">
        <is>
          <t>FO23040013</t>
        </is>
      </c>
      <c r="B242" s="626" t="n">
        <v>45037</v>
      </c>
      <c r="C242" s="615" t="inlineStr">
        <is>
          <t>มัลติแบกซ์</t>
        </is>
      </c>
      <c r="D242" s="615" t="inlineStr">
        <is>
          <t>ท่าเรือแหลมฉบัง</t>
        </is>
      </c>
      <c r="E242" s="627" t="n">
        <v>6.5</v>
      </c>
      <c r="F242" s="625" t="inlineStr">
        <is>
          <t>Km</t>
        </is>
      </c>
      <c r="G242" s="625" t="inlineStr">
        <is>
          <t>รถเทรลเลอร์</t>
        </is>
      </c>
      <c r="H242" s="625" t="inlineStr">
        <is>
          <t>AJMAN PORT, UAE</t>
        </is>
      </c>
      <c r="I242" s="629" t="n">
        <v>4929</v>
      </c>
      <c r="J242" s="628" t="inlineStr">
        <is>
          <t>Km</t>
        </is>
      </c>
      <c r="K242" s="630" t="n">
        <v>2220</v>
      </c>
      <c r="L242" s="640">
        <f>M242-K242</f>
        <v/>
      </c>
      <c r="M242" s="1797" t="n">
        <v>9717.15</v>
      </c>
      <c r="N242" s="1801" t="n">
        <v>6644.95</v>
      </c>
      <c r="O242" s="615" t="n">
        <v>0</v>
      </c>
      <c r="P242" s="641" t="n">
        <v>100</v>
      </c>
    </row>
    <row r="243" ht="15.75" customHeight="1">
      <c r="A243" s="631" t="inlineStr">
        <is>
          <t>FO23040014</t>
        </is>
      </c>
      <c r="B243" s="632" t="n">
        <v>45037</v>
      </c>
      <c r="C243" s="633" t="inlineStr">
        <is>
          <t>มัลติแบกซ์</t>
        </is>
      </c>
      <c r="D243" s="633" t="inlineStr">
        <is>
          <t>ท่าเรือแหลมฉบัง</t>
        </is>
      </c>
      <c r="E243" s="634" t="n">
        <v>6.5</v>
      </c>
      <c r="F243" s="631" t="inlineStr">
        <is>
          <t>Km</t>
        </is>
      </c>
      <c r="G243" s="631" t="inlineStr">
        <is>
          <t>รถเทรลเลอร์</t>
        </is>
      </c>
      <c r="H243" s="631" t="inlineStr">
        <is>
          <t>HORSENS, DENMARK</t>
        </is>
      </c>
      <c r="I243" s="636" t="n">
        <v>8839</v>
      </c>
      <c r="J243" s="635" t="inlineStr">
        <is>
          <t>Km</t>
        </is>
      </c>
      <c r="K243" s="637" t="n">
        <v>3800</v>
      </c>
      <c r="L243" s="642">
        <f>M243-K243</f>
        <v/>
      </c>
      <c r="M243" s="1799" t="n">
        <v>17394</v>
      </c>
      <c r="N243" s="1800" t="n">
        <v>10091</v>
      </c>
      <c r="O243" s="633" t="n">
        <v>0</v>
      </c>
      <c r="P243" s="643" t="n">
        <v>100</v>
      </c>
    </row>
    <row r="244" ht="15.75" customHeight="1">
      <c r="A244" s="625" t="inlineStr">
        <is>
          <t>FO23040015</t>
        </is>
      </c>
      <c r="B244" s="626" t="n">
        <v>45035</v>
      </c>
      <c r="C244" s="615" t="inlineStr">
        <is>
          <t>มัลติแบกซ์</t>
        </is>
      </c>
      <c r="D244" s="615" t="inlineStr">
        <is>
          <t>ท่าเรือแหลมฉบัง</t>
        </is>
      </c>
      <c r="E244" s="627" t="n">
        <v>6.2</v>
      </c>
      <c r="F244" s="625" t="inlineStr">
        <is>
          <t>Km</t>
        </is>
      </c>
      <c r="G244" s="625" t="inlineStr">
        <is>
          <t>รถเทรลเลอร์</t>
        </is>
      </c>
      <c r="H244" s="625" t="inlineStr">
        <is>
          <t>PERRIS CA, USA</t>
        </is>
      </c>
      <c r="I244" s="629" t="n">
        <v>13413</v>
      </c>
      <c r="J244" s="628" t="inlineStr">
        <is>
          <t>Km</t>
        </is>
      </c>
      <c r="K244" s="630" t="n">
        <v>3700</v>
      </c>
      <c r="L244" s="640">
        <f>M244-K244</f>
        <v/>
      </c>
      <c r="M244" s="1797" t="n">
        <v>18539</v>
      </c>
      <c r="N244" s="1801" t="n">
        <v>12511.2</v>
      </c>
      <c r="O244" s="615" t="n">
        <v>0</v>
      </c>
      <c r="P244" s="641" t="n">
        <v>100</v>
      </c>
    </row>
    <row r="245" ht="15.75" customHeight="1">
      <c r="A245" s="631" t="inlineStr">
        <is>
          <t>FO23040016</t>
        </is>
      </c>
      <c r="B245" s="632" t="n">
        <v>45035</v>
      </c>
      <c r="C245" s="633" t="inlineStr">
        <is>
          <t>มัลติแบกซ์</t>
        </is>
      </c>
      <c r="D245" s="633" t="inlineStr">
        <is>
          <t>ท่าเรือแหลมฉบัง</t>
        </is>
      </c>
      <c r="E245" s="634" t="n">
        <v>6.2</v>
      </c>
      <c r="F245" s="631" t="inlineStr">
        <is>
          <t>Km</t>
        </is>
      </c>
      <c r="G245" s="631" t="inlineStr">
        <is>
          <t>รถเทรลเลอร์</t>
        </is>
      </c>
      <c r="H245" s="631" t="inlineStr">
        <is>
          <t>PERRIS CA, USA</t>
        </is>
      </c>
      <c r="I245" s="636" t="n">
        <v>13413</v>
      </c>
      <c r="J245" s="635" t="inlineStr">
        <is>
          <t>Km</t>
        </is>
      </c>
      <c r="K245" s="637" t="n">
        <v>3870</v>
      </c>
      <c r="L245" s="642">
        <f>M245-K245</f>
        <v/>
      </c>
      <c r="M245" s="1799" t="n">
        <v>18709</v>
      </c>
      <c r="N245" s="1800" t="n">
        <v>12511.2</v>
      </c>
      <c r="O245" s="633" t="n">
        <v>0</v>
      </c>
      <c r="P245" s="643" t="n">
        <v>100</v>
      </c>
    </row>
    <row r="246" ht="15.75" customHeight="1">
      <c r="A246" s="625" t="inlineStr">
        <is>
          <t>FO23040017</t>
        </is>
      </c>
      <c r="B246" s="626" t="n">
        <v>45036</v>
      </c>
      <c r="C246" s="615" t="inlineStr">
        <is>
          <t>มัลติแบกซ์</t>
        </is>
      </c>
      <c r="D246" s="615" t="inlineStr">
        <is>
          <t>ท่าเรือแหลมฉบัง</t>
        </is>
      </c>
      <c r="E246" s="627" t="n">
        <v>6.2</v>
      </c>
      <c r="F246" s="625" t="inlineStr">
        <is>
          <t>Km</t>
        </is>
      </c>
      <c r="G246" s="625" t="inlineStr">
        <is>
          <t>รถเทรลเลอร์</t>
        </is>
      </c>
      <c r="H246" s="625" t="inlineStr">
        <is>
          <t>APPLETON WI , USA</t>
        </is>
      </c>
      <c r="I246" s="629" t="n">
        <v>13558</v>
      </c>
      <c r="J246" s="628" t="inlineStr">
        <is>
          <t>Km</t>
        </is>
      </c>
      <c r="K246" s="630" t="n">
        <v>3830</v>
      </c>
      <c r="L246" s="640">
        <f>M246-K246</f>
        <v/>
      </c>
      <c r="M246" s="1797" t="n">
        <v>18669</v>
      </c>
      <c r="N246" s="1801" t="n">
        <v>12511.2</v>
      </c>
      <c r="O246" s="615" t="n">
        <v>0</v>
      </c>
      <c r="P246" s="641" t="n">
        <v>100</v>
      </c>
    </row>
    <row r="247" ht="15.75" customHeight="1">
      <c r="A247" s="631" t="inlineStr">
        <is>
          <t>FO23040018</t>
        </is>
      </c>
      <c r="B247" s="632" t="n">
        <v>45035</v>
      </c>
      <c r="C247" s="633" t="inlineStr">
        <is>
          <t>มัลติแบกซ์</t>
        </is>
      </c>
      <c r="D247" s="633" t="inlineStr">
        <is>
          <t>ท่าเรือแหลมฉบัง</t>
        </is>
      </c>
      <c r="E247" s="634" t="n">
        <v>6.2</v>
      </c>
      <c r="F247" s="631" t="inlineStr">
        <is>
          <t>Km</t>
        </is>
      </c>
      <c r="G247" s="631" t="inlineStr">
        <is>
          <t>รถเทรลเลอร์</t>
        </is>
      </c>
      <c r="H247" s="631" t="inlineStr">
        <is>
          <t>CARROLLTON TX, USA</t>
        </is>
      </c>
      <c r="I247" s="636" t="n">
        <v>14544</v>
      </c>
      <c r="J247" s="635" t="inlineStr">
        <is>
          <t>Km</t>
        </is>
      </c>
      <c r="K247" s="637" t="n">
        <v>3860</v>
      </c>
      <c r="L247" s="642">
        <f>M247-K247</f>
        <v/>
      </c>
      <c r="M247" s="1799" t="n">
        <v>18699</v>
      </c>
      <c r="N247" s="1800" t="n">
        <v>12511.2</v>
      </c>
      <c r="O247" s="633" t="n">
        <v>0</v>
      </c>
      <c r="P247" s="643" t="n">
        <v>100</v>
      </c>
    </row>
    <row r="248" ht="15.75" customHeight="1">
      <c r="A248" s="625" t="inlineStr">
        <is>
          <t>FO23040019</t>
        </is>
      </c>
      <c r="B248" s="626" t="n">
        <v>45035</v>
      </c>
      <c r="C248" s="615" t="inlineStr">
        <is>
          <t>มัลติแบกซ์</t>
        </is>
      </c>
      <c r="D248" s="615" t="inlineStr">
        <is>
          <t>ท่าเรือแหลมฉบัง</t>
        </is>
      </c>
      <c r="E248" s="627" t="n">
        <v>6</v>
      </c>
      <c r="F248" s="625" t="inlineStr">
        <is>
          <t>Km</t>
        </is>
      </c>
      <c r="G248" s="625" t="inlineStr">
        <is>
          <t>รถเทรลเลอร์</t>
        </is>
      </c>
      <c r="H248" s="625" t="inlineStr">
        <is>
          <t>SHUWAIKH, KUWAIT</t>
        </is>
      </c>
      <c r="I248" s="629" t="n">
        <v>5727</v>
      </c>
      <c r="J248" s="628" t="inlineStr">
        <is>
          <t>Km</t>
        </is>
      </c>
      <c r="K248" s="630" t="n">
        <v>2150</v>
      </c>
      <c r="L248" s="640">
        <f>M248-K248</f>
        <v/>
      </c>
      <c r="M248" s="1797" t="n">
        <v>6551.95</v>
      </c>
      <c r="N248" s="1801" t="n">
        <v>3377.16</v>
      </c>
      <c r="O248" s="615" t="n">
        <v>0</v>
      </c>
      <c r="P248" s="641" t="n">
        <v>100</v>
      </c>
    </row>
    <row r="249" ht="15.75" customHeight="1">
      <c r="A249" s="631" t="inlineStr">
        <is>
          <t>FO23040020</t>
        </is>
      </c>
      <c r="B249" s="632" t="n">
        <v>45038</v>
      </c>
      <c r="C249" s="633" t="inlineStr">
        <is>
          <t>มัลติแบกซ์</t>
        </is>
      </c>
      <c r="D249" s="633" t="inlineStr">
        <is>
          <t>ท่าเรือแหลมฉบัง</t>
        </is>
      </c>
      <c r="E249" s="634" t="n">
        <v>6.5</v>
      </c>
      <c r="F249" s="631" t="inlineStr">
        <is>
          <t>Km</t>
        </is>
      </c>
      <c r="G249" s="631" t="inlineStr">
        <is>
          <t>รถเทรลเลอร์</t>
        </is>
      </c>
      <c r="H249" s="631" t="inlineStr">
        <is>
          <t>SOUTH BOSTON VA, USA</t>
        </is>
      </c>
      <c r="I249" s="636" t="n">
        <v>13787</v>
      </c>
      <c r="J249" s="635" t="inlineStr">
        <is>
          <t>Km</t>
        </is>
      </c>
      <c r="K249" s="637" t="n">
        <v>3700</v>
      </c>
      <c r="L249" s="642">
        <f>M249-K249</f>
        <v/>
      </c>
      <c r="M249" s="1799" t="n">
        <v>22468</v>
      </c>
      <c r="N249" s="1800" t="n">
        <v>15270</v>
      </c>
      <c r="O249" s="633" t="n">
        <v>0</v>
      </c>
      <c r="P249" s="643" t="n">
        <v>100</v>
      </c>
    </row>
    <row r="250" ht="15.75" customHeight="1">
      <c r="A250" s="625" t="inlineStr">
        <is>
          <t>FO23040021</t>
        </is>
      </c>
      <c r="B250" s="626" t="n">
        <v>45048</v>
      </c>
      <c r="C250" s="615" t="inlineStr">
        <is>
          <t>มัลติแบกซ์</t>
        </is>
      </c>
      <c r="D250" s="615" t="inlineStr">
        <is>
          <t>ท่าเรือแหลมฉบัง</t>
        </is>
      </c>
      <c r="E250" s="627" t="n">
        <v>6.2</v>
      </c>
      <c r="F250" s="625" t="inlineStr">
        <is>
          <t>Km</t>
        </is>
      </c>
      <c r="G250" s="625" t="inlineStr">
        <is>
          <t>รถเทรลเลอร์</t>
        </is>
      </c>
      <c r="H250" s="625" t="inlineStr">
        <is>
          <t>AUCKLAND, NEW ZEALAND</t>
        </is>
      </c>
      <c r="I250" s="629" t="n">
        <v>9486</v>
      </c>
      <c r="J250" s="628" t="inlineStr">
        <is>
          <t>Km</t>
        </is>
      </c>
      <c r="K250" s="630" t="n">
        <v>3810</v>
      </c>
      <c r="L250" s="640" t="n">
        <v>20414.9</v>
      </c>
      <c r="M250" s="1797" t="n">
        <v>24224.9</v>
      </c>
      <c r="N250" s="1801" t="n">
        <v>15325.4</v>
      </c>
      <c r="O250" s="615" t="n">
        <v>0</v>
      </c>
      <c r="P250" s="641" t="n">
        <v>100</v>
      </c>
    </row>
    <row r="251" ht="15.75" customHeight="1">
      <c r="A251" s="631" t="inlineStr">
        <is>
          <t>FO23040022</t>
        </is>
      </c>
      <c r="B251" s="632" t="n">
        <v>45048</v>
      </c>
      <c r="C251" s="633" t="inlineStr">
        <is>
          <t>มัลติแบกซ์</t>
        </is>
      </c>
      <c r="D251" s="633" t="inlineStr">
        <is>
          <t>ท่าเรือแหลมฉบัง</t>
        </is>
      </c>
      <c r="E251" s="634" t="n">
        <v>6.2</v>
      </c>
      <c r="F251" s="631" t="inlineStr">
        <is>
          <t>Km</t>
        </is>
      </c>
      <c r="G251" s="631" t="inlineStr">
        <is>
          <t>รถเทรลเลอร์</t>
        </is>
      </c>
      <c r="H251" s="631" t="inlineStr">
        <is>
          <t>AUCKLAND, NEW ZEALAND</t>
        </is>
      </c>
      <c r="I251" s="636" t="n">
        <v>9486</v>
      </c>
      <c r="J251" s="635" t="inlineStr">
        <is>
          <t>Km</t>
        </is>
      </c>
      <c r="K251" s="637" t="n">
        <v>3700</v>
      </c>
      <c r="L251" s="642" t="n">
        <v>20834.6</v>
      </c>
      <c r="M251" s="1799" t="n">
        <v>24534.6</v>
      </c>
      <c r="N251" s="1800" t="n">
        <v>17383.1</v>
      </c>
      <c r="O251" s="633" t="n">
        <v>0</v>
      </c>
      <c r="P251" s="643" t="n">
        <v>100</v>
      </c>
    </row>
    <row r="252" ht="15.75" customHeight="1">
      <c r="A252" s="625" t="inlineStr">
        <is>
          <t>FO23040023</t>
        </is>
      </c>
      <c r="B252" s="626" t="n">
        <v>45048</v>
      </c>
      <c r="C252" s="615" t="inlineStr">
        <is>
          <t>มัลติแบกซ์</t>
        </is>
      </c>
      <c r="D252" s="615" t="inlineStr">
        <is>
          <t>ท่าเรือแหลมฉบัง</t>
        </is>
      </c>
      <c r="E252" s="627" t="n">
        <v>6.2</v>
      </c>
      <c r="F252" s="625" t="inlineStr">
        <is>
          <t>Km</t>
        </is>
      </c>
      <c r="G252" s="625" t="inlineStr">
        <is>
          <t>รถเทรลเลอร์</t>
        </is>
      </c>
      <c r="H252" s="625" t="inlineStr">
        <is>
          <t>AUCKLAND, NEW ZEALAND</t>
        </is>
      </c>
      <c r="I252" s="629" t="n">
        <v>9486</v>
      </c>
      <c r="J252" s="628" t="inlineStr">
        <is>
          <t>Km</t>
        </is>
      </c>
      <c r="K252" s="630" t="n">
        <v>3700</v>
      </c>
      <c r="L252" s="640" t="n">
        <v>19709</v>
      </c>
      <c r="M252" s="1797" t="n">
        <v>23409</v>
      </c>
      <c r="N252" s="1801" t="n">
        <v>16584.5</v>
      </c>
      <c r="O252" s="615" t="n">
        <v>0</v>
      </c>
      <c r="P252" s="641" t="n">
        <v>100</v>
      </c>
    </row>
    <row r="253" ht="15.75" customHeight="1">
      <c r="A253" s="631" t="inlineStr">
        <is>
          <t>FO23040024</t>
        </is>
      </c>
      <c r="B253" s="632" t="n">
        <v>45043</v>
      </c>
      <c r="C253" s="633" t="inlineStr">
        <is>
          <t>มัลติแบกซ์</t>
        </is>
      </c>
      <c r="D253" s="633" t="inlineStr">
        <is>
          <t>ท่าเรือแหลมฉบัง</t>
        </is>
      </c>
      <c r="E253" s="634" t="n">
        <v>6.5</v>
      </c>
      <c r="F253" s="631" t="inlineStr">
        <is>
          <t>Km</t>
        </is>
      </c>
      <c r="G253" s="631" t="inlineStr">
        <is>
          <t>รถเทรลเลอร์</t>
        </is>
      </c>
      <c r="H253" s="631" t="inlineStr">
        <is>
          <t>HELSINGBORG, SWEDEN</t>
        </is>
      </c>
      <c r="I253" s="636" t="n">
        <v>8687</v>
      </c>
      <c r="J253" s="635" t="inlineStr">
        <is>
          <t>Km</t>
        </is>
      </c>
      <c r="K253" s="637" t="n">
        <v>4000</v>
      </c>
      <c r="L253" s="642">
        <f>M253-K253</f>
        <v/>
      </c>
      <c r="M253" s="1799" t="n">
        <v>17717.9</v>
      </c>
      <c r="N253" s="1800" t="n">
        <v>11188.4</v>
      </c>
      <c r="O253" s="633" t="n">
        <v>0</v>
      </c>
      <c r="P253" s="643" t="n">
        <v>100</v>
      </c>
    </row>
    <row r="254" ht="15.75" customHeight="1">
      <c r="A254" s="625" t="inlineStr">
        <is>
          <t>FO23040025</t>
        </is>
      </c>
      <c r="B254" s="626" t="n">
        <v>45035</v>
      </c>
      <c r="C254" s="615" t="inlineStr">
        <is>
          <t>มัลติแบกซ์</t>
        </is>
      </c>
      <c r="D254" s="615" t="inlineStr">
        <is>
          <t>ท่าเรือแหลมฉบัง</t>
        </is>
      </c>
      <c r="E254" s="627" t="n">
        <v>6</v>
      </c>
      <c r="F254" s="625" t="inlineStr">
        <is>
          <t>Km</t>
        </is>
      </c>
      <c r="G254" s="625" t="inlineStr">
        <is>
          <t>รถเทรลเลอร์</t>
        </is>
      </c>
      <c r="H254" s="625" t="inlineStr">
        <is>
          <t>SINGAPORE</t>
        </is>
      </c>
      <c r="I254" s="629" t="n">
        <v>1931</v>
      </c>
      <c r="J254" s="628" t="inlineStr">
        <is>
          <t>Km</t>
        </is>
      </c>
      <c r="K254" s="630" t="n">
        <v>2220</v>
      </c>
      <c r="L254" s="640">
        <f>M254-K254</f>
        <v/>
      </c>
      <c r="M254" s="1797" t="n">
        <v>8348</v>
      </c>
      <c r="N254" s="1801" t="n">
        <v>5214</v>
      </c>
      <c r="O254" s="615" t="n">
        <v>0</v>
      </c>
      <c r="P254" s="641" t="n">
        <v>100</v>
      </c>
    </row>
    <row r="255" ht="15.75" customHeight="1">
      <c r="A255" s="631" t="inlineStr">
        <is>
          <t>FO23040026</t>
        </is>
      </c>
      <c r="B255" s="632" t="n">
        <v>45036</v>
      </c>
      <c r="C255" s="633" t="inlineStr">
        <is>
          <t>มัลติแบกซ์</t>
        </is>
      </c>
      <c r="D255" s="633" t="inlineStr">
        <is>
          <t>ท่าเรือแหลมฉบัง</t>
        </is>
      </c>
      <c r="E255" s="634" t="n">
        <v>6.2</v>
      </c>
      <c r="F255" s="631" t="inlineStr">
        <is>
          <t>Km</t>
        </is>
      </c>
      <c r="G255" s="631" t="inlineStr">
        <is>
          <t>รถเทรลเลอร์</t>
        </is>
      </c>
      <c r="H255" s="631" t="inlineStr">
        <is>
          <t>SANTA TERESA, NM USA</t>
        </is>
      </c>
      <c r="I255" s="636" t="n">
        <v>17387</v>
      </c>
      <c r="J255" s="635" t="inlineStr">
        <is>
          <t>Km</t>
        </is>
      </c>
      <c r="K255" s="637" t="n">
        <v>3840</v>
      </c>
      <c r="L255" s="642">
        <f>M255-K255</f>
        <v/>
      </c>
      <c r="M255" s="1799" t="n">
        <v>22614.99</v>
      </c>
      <c r="N255" s="1800" t="n">
        <v>16468.87</v>
      </c>
      <c r="O255" s="633" t="n">
        <v>0</v>
      </c>
      <c r="P255" s="643" t="n">
        <v>100</v>
      </c>
    </row>
    <row r="256" ht="15.75" customHeight="1">
      <c r="A256" s="625" t="inlineStr">
        <is>
          <t>FO23040027</t>
        </is>
      </c>
      <c r="B256" s="626" t="n">
        <v>45036</v>
      </c>
      <c r="C256" s="615" t="inlineStr">
        <is>
          <t>มัลติแบกซ์</t>
        </is>
      </c>
      <c r="D256" s="615" t="inlineStr">
        <is>
          <t>ท่าเรือแหลมฉบัง</t>
        </is>
      </c>
      <c r="E256" s="627" t="n">
        <v>7.1</v>
      </c>
      <c r="F256" s="625" t="inlineStr">
        <is>
          <t>Km</t>
        </is>
      </c>
      <c r="G256" s="625" t="inlineStr">
        <is>
          <t>รถเทรลเลอร์</t>
        </is>
      </c>
      <c r="H256" s="625" t="inlineStr">
        <is>
          <t>KLANG, MALAYSIA</t>
        </is>
      </c>
      <c r="I256" s="629" t="n">
        <v>1588</v>
      </c>
      <c r="J256" s="628" t="inlineStr">
        <is>
          <t>Km</t>
        </is>
      </c>
      <c r="K256" s="630" t="n">
        <v>3700</v>
      </c>
      <c r="L256" s="640">
        <f>M256-K256</f>
        <v/>
      </c>
      <c r="M256" s="1797" t="n">
        <v>13274.6</v>
      </c>
      <c r="N256" s="1801" t="n">
        <v>6697.4</v>
      </c>
      <c r="O256" s="615" t="n">
        <v>0</v>
      </c>
      <c r="P256" s="641" t="n">
        <v>100</v>
      </c>
    </row>
    <row r="257" ht="15.75" customHeight="1">
      <c r="A257" s="631" t="inlineStr">
        <is>
          <t>FO23040028</t>
        </is>
      </c>
      <c r="B257" s="632" t="n">
        <v>45041</v>
      </c>
      <c r="C257" s="633" t="inlineStr">
        <is>
          <t>มัลติแบกซ์</t>
        </is>
      </c>
      <c r="D257" s="633" t="inlineStr">
        <is>
          <t>ท่าเรือแหลมฉบัง</t>
        </is>
      </c>
      <c r="E257" s="634" t="n">
        <v>6.2</v>
      </c>
      <c r="F257" s="631" t="inlineStr">
        <is>
          <t>Km</t>
        </is>
      </c>
      <c r="G257" s="631" t="inlineStr">
        <is>
          <t>รถเทรลเลอร์</t>
        </is>
      </c>
      <c r="H257" s="631" t="inlineStr">
        <is>
          <t>MELBOURNE, AUSTRALIA</t>
        </is>
      </c>
      <c r="I257" s="636" t="n">
        <v>7283</v>
      </c>
      <c r="J257" s="635" t="inlineStr">
        <is>
          <t>Km</t>
        </is>
      </c>
      <c r="K257" s="637" t="n">
        <v>3870</v>
      </c>
      <c r="L257" s="642">
        <f>M257-K257</f>
        <v/>
      </c>
      <c r="M257" s="1799" t="n">
        <v>13827</v>
      </c>
      <c r="N257" s="1800" t="n">
        <v>5262</v>
      </c>
      <c r="O257" s="633" t="n">
        <v>0</v>
      </c>
      <c r="P257" s="643" t="n">
        <v>100</v>
      </c>
    </row>
    <row r="258" ht="15.75" customHeight="1">
      <c r="A258" s="625" t="inlineStr">
        <is>
          <t>FO23040029</t>
        </is>
      </c>
      <c r="B258" s="626" t="n">
        <v>45041</v>
      </c>
      <c r="C258" s="615" t="inlineStr">
        <is>
          <t>มัลติแบกซ์</t>
        </is>
      </c>
      <c r="D258" s="615" t="inlineStr">
        <is>
          <t>ท่าเรือแหลมฉบัง</t>
        </is>
      </c>
      <c r="E258" s="627" t="n">
        <v>6.2</v>
      </c>
      <c r="F258" s="625" t="inlineStr">
        <is>
          <t>Km</t>
        </is>
      </c>
      <c r="G258" s="625" t="inlineStr">
        <is>
          <t>รถเทรลเลอร์</t>
        </is>
      </c>
      <c r="H258" s="625" t="inlineStr">
        <is>
          <t>MELBOURNE, AUSTRALIA</t>
        </is>
      </c>
      <c r="I258" s="629" t="n">
        <v>7283</v>
      </c>
      <c r="J258" s="628" t="inlineStr">
        <is>
          <t>Km</t>
        </is>
      </c>
      <c r="K258" s="630" t="n">
        <v>2150</v>
      </c>
      <c r="L258" s="640">
        <f>M258-K258</f>
        <v/>
      </c>
      <c r="M258" s="1797" t="n">
        <v>8402</v>
      </c>
      <c r="N258" s="1801" t="n">
        <v>3454</v>
      </c>
      <c r="O258" s="615" t="n">
        <v>0</v>
      </c>
      <c r="P258" s="641" t="n">
        <v>100</v>
      </c>
    </row>
    <row r="259" ht="15.75" customHeight="1">
      <c r="A259" s="631" t="inlineStr">
        <is>
          <t>FO23040030</t>
        </is>
      </c>
      <c r="B259" s="632" t="n">
        <v>45043</v>
      </c>
      <c r="C259" s="633" t="inlineStr">
        <is>
          <t>มัลติแบกซ์</t>
        </is>
      </c>
      <c r="D259" s="633" t="inlineStr">
        <is>
          <t>ท่าเรือแหลมฉบัง</t>
        </is>
      </c>
      <c r="E259" s="634" t="n">
        <v>6.2</v>
      </c>
      <c r="F259" s="631" t="inlineStr">
        <is>
          <t>Km</t>
        </is>
      </c>
      <c r="G259" s="631" t="inlineStr">
        <is>
          <t>รถเทรลเลอร์</t>
        </is>
      </c>
      <c r="H259" s="631" t="inlineStr">
        <is>
          <t>SYDNEY, AUSTRALIA</t>
        </is>
      </c>
      <c r="I259" s="636" t="n">
        <v>7448</v>
      </c>
      <c r="J259" s="635" t="inlineStr">
        <is>
          <t>Km</t>
        </is>
      </c>
      <c r="K259" s="637" t="n">
        <v>3860</v>
      </c>
      <c r="L259" s="642">
        <f>M259-K259</f>
        <v/>
      </c>
      <c r="M259" s="1799" t="n">
        <v>25937</v>
      </c>
      <c r="N259" s="1800" t="n">
        <v>16007</v>
      </c>
      <c r="O259" s="633" t="n">
        <v>0</v>
      </c>
      <c r="P259" s="643" t="n">
        <v>100</v>
      </c>
    </row>
    <row r="260" ht="15.75" customHeight="1">
      <c r="A260" s="625" t="inlineStr">
        <is>
          <t>FO23040031</t>
        </is>
      </c>
      <c r="B260" s="626" t="n">
        <v>45036</v>
      </c>
      <c r="C260" s="615" t="inlineStr">
        <is>
          <t>มัลติแบกซ์</t>
        </is>
      </c>
      <c r="D260" s="615" t="inlineStr">
        <is>
          <t>ท่าเรือแหลมฉบัง</t>
        </is>
      </c>
      <c r="E260" s="627" t="n">
        <v>7.1</v>
      </c>
      <c r="F260" s="625" t="inlineStr">
        <is>
          <t>Km</t>
        </is>
      </c>
      <c r="G260" s="625" t="inlineStr">
        <is>
          <t>รถเทรลเลอร์</t>
        </is>
      </c>
      <c r="H260" s="625" t="inlineStr">
        <is>
          <t>LOUISVILLE KY, USA</t>
        </is>
      </c>
      <c r="I260" s="629" t="n">
        <v>14253</v>
      </c>
      <c r="J260" s="628" t="inlineStr">
        <is>
          <t>Km</t>
        </is>
      </c>
      <c r="K260" s="630" t="n">
        <v>3870</v>
      </c>
      <c r="L260" s="640">
        <f>M260-K260</f>
        <v/>
      </c>
      <c r="M260" s="1797" t="n">
        <v>15417.38</v>
      </c>
      <c r="N260" s="1801" t="n">
        <v>8841.42</v>
      </c>
      <c r="O260" s="615" t="n">
        <v>0</v>
      </c>
      <c r="P260" s="641" t="n">
        <v>100</v>
      </c>
    </row>
    <row r="261" ht="15.75" customHeight="1">
      <c r="A261" s="631" t="inlineStr">
        <is>
          <t>FO23040032</t>
        </is>
      </c>
      <c r="B261" s="632" t="n">
        <v>45035</v>
      </c>
      <c r="C261" s="633" t="inlineStr">
        <is>
          <t>มัลติแบกซ์</t>
        </is>
      </c>
      <c r="D261" s="633" t="inlineStr">
        <is>
          <t>ท่าเรือแหลมฉบัง</t>
        </is>
      </c>
      <c r="E261" s="634" t="n">
        <v>6.2</v>
      </c>
      <c r="F261" s="631" t="inlineStr">
        <is>
          <t>Km</t>
        </is>
      </c>
      <c r="G261" s="631" t="inlineStr">
        <is>
          <t>รถเทรลเลอร์</t>
        </is>
      </c>
      <c r="H261" s="631" t="inlineStr">
        <is>
          <t>MANILA, PHILIPPINES</t>
        </is>
      </c>
      <c r="I261" s="636" t="n">
        <v>2167</v>
      </c>
      <c r="J261" s="635" t="inlineStr">
        <is>
          <t>Km</t>
        </is>
      </c>
      <c r="K261" s="637" t="n">
        <v>2180</v>
      </c>
      <c r="L261" s="642">
        <f>M261-K261</f>
        <v/>
      </c>
      <c r="M261" s="1799" t="n">
        <v>6767.3</v>
      </c>
      <c r="N261" s="1800" t="n">
        <v>3450.2</v>
      </c>
      <c r="O261" s="633" t="n">
        <v>0</v>
      </c>
      <c r="P261" s="643" t="n">
        <v>100</v>
      </c>
    </row>
    <row r="262" ht="15.75" customHeight="1">
      <c r="A262" s="625" t="inlineStr">
        <is>
          <t>FO23040033</t>
        </is>
      </c>
      <c r="B262" s="626" t="n">
        <v>45043</v>
      </c>
      <c r="C262" s="615" t="inlineStr">
        <is>
          <t>มัลติแบกซ์</t>
        </is>
      </c>
      <c r="D262" s="615" t="inlineStr">
        <is>
          <t>ท่าเรือแหลมฉบัง</t>
        </is>
      </c>
      <c r="E262" s="627" t="n">
        <v>6.5</v>
      </c>
      <c r="F262" s="625" t="inlineStr">
        <is>
          <t>Km</t>
        </is>
      </c>
      <c r="G262" s="625" t="inlineStr">
        <is>
          <t>รถเทรลเลอร์</t>
        </is>
      </c>
      <c r="H262" s="625" t="inlineStr">
        <is>
          <t>UK PORT</t>
        </is>
      </c>
      <c r="I262" s="629" t="n">
        <v>9687</v>
      </c>
      <c r="J262" s="628" t="inlineStr">
        <is>
          <t>Km</t>
        </is>
      </c>
      <c r="K262" s="630" t="n">
        <v>3630</v>
      </c>
      <c r="L262" s="640">
        <f>M262-K262</f>
        <v/>
      </c>
      <c r="M262" s="1797" t="n">
        <v>26466.24</v>
      </c>
      <c r="N262" s="1801" t="n">
        <v>21241.24</v>
      </c>
      <c r="O262" s="615" t="n">
        <v>0</v>
      </c>
      <c r="P262" s="641" t="n">
        <v>100</v>
      </c>
    </row>
    <row r="263" ht="15.75" customHeight="1">
      <c r="A263" s="631" t="inlineStr">
        <is>
          <t>FO23040034</t>
        </is>
      </c>
      <c r="B263" s="632" t="n">
        <v>45043</v>
      </c>
      <c r="C263" s="633" t="inlineStr">
        <is>
          <t>มัลติแบกซ์</t>
        </is>
      </c>
      <c r="D263" s="633" t="inlineStr">
        <is>
          <t>ท่าเรือแหลมฉบัง</t>
        </is>
      </c>
      <c r="E263" s="634" t="n">
        <v>6.5</v>
      </c>
      <c r="F263" s="631" t="inlineStr">
        <is>
          <t>Km</t>
        </is>
      </c>
      <c r="G263" s="631" t="inlineStr">
        <is>
          <t>รถเทรลเลอร์</t>
        </is>
      </c>
      <c r="H263" s="631" t="inlineStr">
        <is>
          <t>UK PORT</t>
        </is>
      </c>
      <c r="I263" s="636" t="n">
        <v>9687</v>
      </c>
      <c r="J263" s="635" t="inlineStr">
        <is>
          <t>Km</t>
        </is>
      </c>
      <c r="K263" s="637" t="n">
        <v>3660</v>
      </c>
      <c r="L263" s="642">
        <f>M263-K263</f>
        <v/>
      </c>
      <c r="M263" s="1799" t="n">
        <v>24094.7</v>
      </c>
      <c r="N263" s="1800" t="n">
        <v>19052.7</v>
      </c>
      <c r="O263" s="633" t="n">
        <v>0</v>
      </c>
      <c r="P263" s="643" t="n">
        <v>100</v>
      </c>
    </row>
    <row r="264" ht="15.75" customHeight="1">
      <c r="A264" s="625" t="inlineStr">
        <is>
          <t>FO23040038</t>
        </is>
      </c>
      <c r="B264" s="626" t="n">
        <v>45040</v>
      </c>
      <c r="C264" s="615" t="inlineStr">
        <is>
          <t>มัลติแบกซ์</t>
        </is>
      </c>
      <c r="D264" s="615" t="inlineStr">
        <is>
          <t>ท่าเรือแหลมฉบัง</t>
        </is>
      </c>
      <c r="E264" s="627" t="n">
        <v>11.9</v>
      </c>
      <c r="F264" s="625" t="inlineStr">
        <is>
          <t>Km</t>
        </is>
      </c>
      <c r="G264" s="625" t="inlineStr">
        <is>
          <t>รถเทรลเลอร์</t>
        </is>
      </c>
      <c r="H264" s="625" t="inlineStr">
        <is>
          <t>HONG KONG</t>
        </is>
      </c>
      <c r="I264" s="629" t="n">
        <v>1734</v>
      </c>
      <c r="J264" s="628" t="inlineStr">
        <is>
          <t>Km</t>
        </is>
      </c>
      <c r="K264" s="630" t="n">
        <v>3820</v>
      </c>
      <c r="L264" s="640">
        <f>M264-K264</f>
        <v/>
      </c>
      <c r="M264" s="1797" t="n">
        <v>15461.8</v>
      </c>
      <c r="N264" s="1801" t="n">
        <v>8899.700000000001</v>
      </c>
      <c r="O264" s="615" t="n">
        <v>0</v>
      </c>
      <c r="P264" s="641" t="n">
        <v>100</v>
      </c>
    </row>
    <row r="265" ht="15.75" customHeight="1">
      <c r="A265" s="631" t="inlineStr">
        <is>
          <t>FO23040039</t>
        </is>
      </c>
      <c r="B265" s="632" t="n">
        <v>45043</v>
      </c>
      <c r="C265" s="633" t="inlineStr">
        <is>
          <t>มัลติแบกซ์</t>
        </is>
      </c>
      <c r="D265" s="633" t="inlineStr">
        <is>
          <t>ท่าเรือแหลมฉบัง</t>
        </is>
      </c>
      <c r="E265" s="634" t="n">
        <v>6</v>
      </c>
      <c r="F265" s="631" t="inlineStr">
        <is>
          <t>Km</t>
        </is>
      </c>
      <c r="G265" s="631" t="inlineStr">
        <is>
          <t>รถเทรลเลอร์</t>
        </is>
      </c>
      <c r="H265" s="631" t="inlineStr">
        <is>
          <t>COLUMBUS OHIO, USA</t>
        </is>
      </c>
      <c r="I265" s="636" t="n">
        <v>14000</v>
      </c>
      <c r="J265" s="635" t="inlineStr">
        <is>
          <t>Km</t>
        </is>
      </c>
      <c r="K265" s="637" t="n">
        <v>3900</v>
      </c>
      <c r="L265" s="642">
        <f>M265-K265</f>
        <v/>
      </c>
      <c r="M265" s="1799" t="n">
        <v>21245.25</v>
      </c>
      <c r="N265" s="1800" t="n">
        <v>14853.81</v>
      </c>
      <c r="O265" s="633" t="n">
        <v>0</v>
      </c>
      <c r="P265" s="643" t="n">
        <v>100</v>
      </c>
    </row>
    <row r="266" ht="15.75" customHeight="1">
      <c r="A266" s="625" t="inlineStr">
        <is>
          <t>FO23040040</t>
        </is>
      </c>
      <c r="B266" s="626" t="n">
        <v>45044</v>
      </c>
      <c r="C266" s="615" t="inlineStr">
        <is>
          <t>มัลติแบกซ์</t>
        </is>
      </c>
      <c r="D266" s="615" t="inlineStr">
        <is>
          <t>ท่าเรือแหลมฉบัง</t>
        </is>
      </c>
      <c r="E266" s="627" t="n">
        <v>3.6</v>
      </c>
      <c r="F266" s="625" t="inlineStr">
        <is>
          <t>Km</t>
        </is>
      </c>
      <c r="G266" s="625" t="inlineStr">
        <is>
          <t>รถเทรลเลอร์</t>
        </is>
      </c>
      <c r="H266" s="625" t="inlineStr">
        <is>
          <t>BUSAN, KOREA</t>
        </is>
      </c>
      <c r="I266" s="629" t="n">
        <v>3740</v>
      </c>
      <c r="J266" s="628" t="inlineStr">
        <is>
          <t>Km</t>
        </is>
      </c>
      <c r="K266" s="630" t="n">
        <v>3830</v>
      </c>
      <c r="L266" s="640">
        <f>M266-K266</f>
        <v/>
      </c>
      <c r="M266" s="1797" t="n">
        <v>10197.7</v>
      </c>
      <c r="N266" s="1801" t="n">
        <v>4439.4</v>
      </c>
      <c r="O266" s="615" t="n">
        <v>0</v>
      </c>
      <c r="P266" s="641" t="n">
        <v>100</v>
      </c>
    </row>
    <row r="267" ht="15.75" customHeight="1">
      <c r="A267" s="631" t="inlineStr">
        <is>
          <t>FO23040041</t>
        </is>
      </c>
      <c r="B267" s="632" t="n">
        <v>45040</v>
      </c>
      <c r="C267" s="633" t="inlineStr">
        <is>
          <t>มัลติแบกซ์</t>
        </is>
      </c>
      <c r="D267" s="633" t="inlineStr">
        <is>
          <t>ท่าเรือแหลมฉบัง</t>
        </is>
      </c>
      <c r="E267" s="634" t="n">
        <v>5.3</v>
      </c>
      <c r="F267" s="631" t="inlineStr">
        <is>
          <t>Km</t>
        </is>
      </c>
      <c r="G267" s="631" t="inlineStr">
        <is>
          <t>รถเทรลเลอร์</t>
        </is>
      </c>
      <c r="H267" s="631" t="inlineStr">
        <is>
          <t>NINGBO, CHINA</t>
        </is>
      </c>
      <c r="I267" s="636" t="n">
        <v>3824</v>
      </c>
      <c r="J267" s="635" t="inlineStr">
        <is>
          <t>Km</t>
        </is>
      </c>
      <c r="K267" s="637" t="n">
        <v>3700</v>
      </c>
      <c r="L267" s="642">
        <f>M267-K267</f>
        <v/>
      </c>
      <c r="M267" s="1799" t="n">
        <v>13780.46</v>
      </c>
      <c r="N267" s="1800" t="n">
        <v>7403.4</v>
      </c>
      <c r="O267" s="633" t="n">
        <v>0</v>
      </c>
      <c r="P267" s="643" t="n">
        <v>100</v>
      </c>
    </row>
    <row r="268" ht="15.75" customHeight="1">
      <c r="A268" s="625" t="inlineStr">
        <is>
          <t>FO23040042</t>
        </is>
      </c>
      <c r="B268" s="626" t="n">
        <v>45040</v>
      </c>
      <c r="C268" s="615" t="inlineStr">
        <is>
          <t>มัลติแบกซ์</t>
        </is>
      </c>
      <c r="D268" s="615" t="inlineStr">
        <is>
          <t>ท่าเรือแหลมฉบัง</t>
        </is>
      </c>
      <c r="E268" s="627" t="n">
        <v>6.2</v>
      </c>
      <c r="F268" s="625" t="inlineStr">
        <is>
          <t>Km</t>
        </is>
      </c>
      <c r="G268" s="625" t="inlineStr">
        <is>
          <t>รถเทรลเลอร์</t>
        </is>
      </c>
      <c r="H268" s="625" t="inlineStr">
        <is>
          <t>SOUTH BOSTON VA, USA</t>
        </is>
      </c>
      <c r="I268" s="629" t="n">
        <v>13787</v>
      </c>
      <c r="J268" s="628" t="inlineStr">
        <is>
          <t>Km</t>
        </is>
      </c>
      <c r="K268" s="630" t="n">
        <v>3810</v>
      </c>
      <c r="L268" s="640">
        <f>M268-K268</f>
        <v/>
      </c>
      <c r="M268" s="1797" t="n">
        <v>18438</v>
      </c>
      <c r="N268" s="1801" t="n">
        <v>10952</v>
      </c>
      <c r="O268" s="615" t="n">
        <v>0</v>
      </c>
      <c r="P268" s="641" t="n">
        <v>100</v>
      </c>
    </row>
    <row r="269" ht="15.75" customHeight="1">
      <c r="A269" s="631" t="inlineStr">
        <is>
          <t>FO23040043</t>
        </is>
      </c>
      <c r="B269" s="632" t="inlineStr">
        <is>
          <t>27/04/203</t>
        </is>
      </c>
      <c r="C269" s="633" t="inlineStr">
        <is>
          <t>มัลติแบกซ์</t>
        </is>
      </c>
      <c r="D269" s="633" t="inlineStr">
        <is>
          <t>ท่าเรือแหลมฉบัง</t>
        </is>
      </c>
      <c r="E269" s="634" t="n">
        <v>6.5</v>
      </c>
      <c r="F269" s="631" t="inlineStr">
        <is>
          <t>Km</t>
        </is>
      </c>
      <c r="G269" s="631" t="inlineStr">
        <is>
          <t>รถเทรลเลอร์</t>
        </is>
      </c>
      <c r="H269" s="631" t="inlineStr">
        <is>
          <t>SANTA TERESA, NM USA</t>
        </is>
      </c>
      <c r="I269" s="636" t="n">
        <v>17387</v>
      </c>
      <c r="J269" s="635" t="inlineStr">
        <is>
          <t>Km</t>
        </is>
      </c>
      <c r="K269" s="637" t="n">
        <v>3840</v>
      </c>
      <c r="L269" s="642">
        <f>M269-K269</f>
        <v/>
      </c>
      <c r="M269" s="1799" t="n">
        <v>22295.66</v>
      </c>
      <c r="N269" s="1800" t="n">
        <v>15983.28</v>
      </c>
      <c r="O269" s="633" t="n">
        <v>0</v>
      </c>
      <c r="P269" s="643" t="n">
        <v>100</v>
      </c>
    </row>
    <row r="270" ht="15.75" customHeight="1">
      <c r="A270" s="625" t="inlineStr">
        <is>
          <t>FO23040044</t>
        </is>
      </c>
      <c r="B270" s="626" t="n">
        <v>45042</v>
      </c>
      <c r="C270" s="615" t="inlineStr">
        <is>
          <t>มัลติแบกซ์</t>
        </is>
      </c>
      <c r="D270" s="615" t="inlineStr">
        <is>
          <t>ท่าเรือแหลมฉบัง</t>
        </is>
      </c>
      <c r="E270" s="627" t="n">
        <v>6.2</v>
      </c>
      <c r="F270" s="625" t="inlineStr">
        <is>
          <t>Km</t>
        </is>
      </c>
      <c r="G270" s="625" t="inlineStr">
        <is>
          <t>รถเทรลเลอร์</t>
        </is>
      </c>
      <c r="H270" s="625" t="inlineStr">
        <is>
          <t>APPLETON WI , USA</t>
        </is>
      </c>
      <c r="I270" s="629" t="n">
        <v>13558</v>
      </c>
      <c r="J270" s="628" t="inlineStr">
        <is>
          <t>Km</t>
        </is>
      </c>
      <c r="K270" s="630" t="n">
        <v>3810</v>
      </c>
      <c r="L270" s="640">
        <f>M270-K270</f>
        <v/>
      </c>
      <c r="M270" s="1797" t="n">
        <v>18773</v>
      </c>
      <c r="N270" s="1801" t="n">
        <v>12158</v>
      </c>
      <c r="O270" s="615" t="n">
        <v>0</v>
      </c>
      <c r="P270" s="641" t="n">
        <v>100</v>
      </c>
    </row>
    <row r="271" ht="15.75" customHeight="1">
      <c r="A271" s="631" t="inlineStr">
        <is>
          <t>FO23040045</t>
        </is>
      </c>
      <c r="B271" s="632" t="n">
        <v>45042</v>
      </c>
      <c r="C271" s="633" t="inlineStr">
        <is>
          <t>มัลติแบกซ์</t>
        </is>
      </c>
      <c r="D271" s="633" t="inlineStr">
        <is>
          <t>ท่าเรือแหลมฉบัง</t>
        </is>
      </c>
      <c r="E271" s="634" t="n">
        <v>6.2</v>
      </c>
      <c r="F271" s="631" t="inlineStr">
        <is>
          <t>Km</t>
        </is>
      </c>
      <c r="G271" s="631" t="inlineStr">
        <is>
          <t>รถเทรลเลอร์</t>
        </is>
      </c>
      <c r="H271" s="631" t="inlineStr">
        <is>
          <t>APPLETON WI , USA</t>
        </is>
      </c>
      <c r="I271" s="636" t="n">
        <v>13558</v>
      </c>
      <c r="J271" s="635" t="inlineStr">
        <is>
          <t>Km</t>
        </is>
      </c>
      <c r="K271" s="637" t="n">
        <v>3840</v>
      </c>
      <c r="L271" s="642">
        <f>M271-K271</f>
        <v/>
      </c>
      <c r="M271" s="1799" t="n">
        <v>16747.5</v>
      </c>
      <c r="N271" s="1800" t="n">
        <v>10159.5</v>
      </c>
      <c r="O271" s="633" t="n">
        <v>0</v>
      </c>
      <c r="P271" s="643" t="n">
        <v>100</v>
      </c>
    </row>
    <row r="272" ht="15.75" customHeight="1">
      <c r="A272" s="625" t="inlineStr">
        <is>
          <t>FO23040046</t>
        </is>
      </c>
      <c r="B272" s="626" t="n">
        <v>45043</v>
      </c>
      <c r="C272" s="615" t="inlineStr">
        <is>
          <t>มัลติแบกซ์</t>
        </is>
      </c>
      <c r="D272" s="615" t="inlineStr">
        <is>
          <t>ท่าเรือแหลมฉบัง</t>
        </is>
      </c>
      <c r="E272" s="627" t="n">
        <v>6.5</v>
      </c>
      <c r="F272" s="625" t="inlineStr">
        <is>
          <t>Km</t>
        </is>
      </c>
      <c r="G272" s="625" t="inlineStr">
        <is>
          <t>รถเทรลเลอร์</t>
        </is>
      </c>
      <c r="H272" s="625" t="inlineStr">
        <is>
          <t>LOUISVILLE KY, USA</t>
        </is>
      </c>
      <c r="I272" s="629" t="n">
        <v>14253</v>
      </c>
      <c r="J272" s="628" t="inlineStr">
        <is>
          <t>Km</t>
        </is>
      </c>
      <c r="K272" s="630" t="n">
        <v>3890</v>
      </c>
      <c r="L272" s="640">
        <f>M272-K272</f>
        <v/>
      </c>
      <c r="M272" s="1797" t="n">
        <v>14492.8</v>
      </c>
      <c r="N272" s="1801" t="n">
        <v>7899.29</v>
      </c>
      <c r="O272" s="615" t="n">
        <v>0</v>
      </c>
      <c r="P272" s="641" t="n">
        <v>100</v>
      </c>
    </row>
    <row r="273" ht="15.75" customHeight="1">
      <c r="A273" s="631" t="inlineStr">
        <is>
          <t>FO23040047</t>
        </is>
      </c>
      <c r="B273" s="632" t="n">
        <v>45043</v>
      </c>
      <c r="C273" s="633" t="inlineStr">
        <is>
          <t>มัลติแบกซ์</t>
        </is>
      </c>
      <c r="D273" s="633" t="inlineStr">
        <is>
          <t>ท่าเรือแหลมฉบัง</t>
        </is>
      </c>
      <c r="E273" s="634" t="n">
        <v>6</v>
      </c>
      <c r="F273" s="631" t="inlineStr">
        <is>
          <t>Km</t>
        </is>
      </c>
      <c r="G273" s="631" t="inlineStr">
        <is>
          <t>รถเทรลเลอร์</t>
        </is>
      </c>
      <c r="H273" s="631" t="inlineStr">
        <is>
          <t>SAN JUAN, PUERTO RICO</t>
        </is>
      </c>
      <c r="I273" s="636" t="n">
        <v>9292</v>
      </c>
      <c r="J273" s="635" t="inlineStr">
        <is>
          <t>Km</t>
        </is>
      </c>
      <c r="K273" s="637" t="n">
        <v>3850</v>
      </c>
      <c r="L273" s="642">
        <f>M273-K273</f>
        <v/>
      </c>
      <c r="M273" s="1799" t="n">
        <v>15268</v>
      </c>
      <c r="N273" s="1800" t="n">
        <v>7386</v>
      </c>
      <c r="O273" s="633" t="n">
        <v>0</v>
      </c>
      <c r="P273" s="643" t="n">
        <v>100</v>
      </c>
    </row>
    <row r="274" ht="15.75" customHeight="1">
      <c r="A274" s="625" t="inlineStr">
        <is>
          <t>FO23040048</t>
        </is>
      </c>
      <c r="B274" s="626" t="n">
        <v>45043</v>
      </c>
      <c r="C274" s="615" t="inlineStr">
        <is>
          <t>มัลติแบกซ์</t>
        </is>
      </c>
      <c r="D274" s="615" t="inlineStr">
        <is>
          <t>ท่าเรือแหลมฉบัง</t>
        </is>
      </c>
      <c r="E274" s="627" t="n">
        <v>6</v>
      </c>
      <c r="F274" s="625" t="inlineStr">
        <is>
          <t>Km</t>
        </is>
      </c>
      <c r="G274" s="625" t="inlineStr">
        <is>
          <t>รถเทรลเลอร์</t>
        </is>
      </c>
      <c r="H274" s="625" t="inlineStr">
        <is>
          <t>SAN JUAN, PUERTO RICO</t>
        </is>
      </c>
      <c r="I274" s="629" t="n">
        <v>9292</v>
      </c>
      <c r="J274" s="628" t="inlineStr">
        <is>
          <t>Km</t>
        </is>
      </c>
      <c r="K274" s="630" t="n">
        <v>3750</v>
      </c>
      <c r="L274" s="640">
        <f>M274-K274</f>
        <v/>
      </c>
      <c r="M274" s="1797" t="n">
        <v>15168</v>
      </c>
      <c r="N274" s="1801" t="n">
        <v>7386</v>
      </c>
      <c r="O274" s="615" t="n">
        <v>0</v>
      </c>
      <c r="P274" s="641" t="n">
        <v>100</v>
      </c>
    </row>
    <row r="275" ht="15.75" customHeight="1">
      <c r="A275" s="631" t="inlineStr">
        <is>
          <t>FO23040049</t>
        </is>
      </c>
      <c r="B275" s="632" t="n">
        <v>45044</v>
      </c>
      <c r="C275" s="633" t="inlineStr">
        <is>
          <t>มัลติแบกซ์</t>
        </is>
      </c>
      <c r="D275" s="633" t="inlineStr">
        <is>
          <t>ท่าเรือแหลมฉบัง</t>
        </is>
      </c>
      <c r="E275" s="634" t="n">
        <v>7.5</v>
      </c>
      <c r="F275" s="631" t="inlineStr">
        <is>
          <t>Km</t>
        </is>
      </c>
      <c r="G275" s="631" t="inlineStr">
        <is>
          <t>รถเทรลเลอร์</t>
        </is>
      </c>
      <c r="H275" s="631" t="inlineStr">
        <is>
          <t>SINGAPORE</t>
        </is>
      </c>
      <c r="I275" s="636" t="n">
        <v>1931</v>
      </c>
      <c r="J275" s="635" t="inlineStr">
        <is>
          <t>Km</t>
        </is>
      </c>
      <c r="K275" s="637" t="n">
        <v>5393.6</v>
      </c>
      <c r="L275" s="642">
        <f>M275-K275</f>
        <v/>
      </c>
      <c r="M275" s="1799" t="n">
        <v>6361.6</v>
      </c>
      <c r="N275" s="1800" t="n">
        <v>5393.6</v>
      </c>
      <c r="O275" s="633" t="n">
        <v>0</v>
      </c>
      <c r="P275" s="643" t="n">
        <v>100</v>
      </c>
    </row>
    <row r="276" ht="15.75" customHeight="1">
      <c r="A276" s="625" t="inlineStr">
        <is>
          <t>FO23040050</t>
        </is>
      </c>
      <c r="B276" s="626" t="n">
        <v>45044</v>
      </c>
      <c r="C276" s="615" t="inlineStr">
        <is>
          <t>มัลติแบกซ์</t>
        </is>
      </c>
      <c r="D276" s="615" t="inlineStr">
        <is>
          <t>ท่าเรือแหลมฉบัง</t>
        </is>
      </c>
      <c r="E276" s="627" t="n">
        <v>7.1</v>
      </c>
      <c r="F276" s="625" t="inlineStr">
        <is>
          <t>Km</t>
        </is>
      </c>
      <c r="G276" s="625" t="inlineStr">
        <is>
          <t>รถเทรลเลอร์</t>
        </is>
      </c>
      <c r="H276" s="625" t="inlineStr">
        <is>
          <t>UNIVERSITY PARK IL, USA</t>
        </is>
      </c>
      <c r="I276" s="629" t="n">
        <v>13877</v>
      </c>
      <c r="J276" s="628" t="inlineStr">
        <is>
          <t>Km</t>
        </is>
      </c>
      <c r="K276" s="630" t="n">
        <v>3840</v>
      </c>
      <c r="L276" s="640">
        <f>M276-K276</f>
        <v/>
      </c>
      <c r="M276" s="1797" t="n">
        <v>14566</v>
      </c>
      <c r="N276" s="1801" t="n">
        <v>8196.200000000001</v>
      </c>
      <c r="O276" s="615" t="n">
        <v>0</v>
      </c>
      <c r="P276" s="641" t="n">
        <v>100</v>
      </c>
    </row>
    <row r="277" ht="15.75" customHeight="1">
      <c r="A277" s="631" t="inlineStr">
        <is>
          <t>FO23040051</t>
        </is>
      </c>
      <c r="B277" s="632" t="n">
        <v>45045</v>
      </c>
      <c r="C277" s="633" t="inlineStr">
        <is>
          <t>มัลติแบกซ์</t>
        </is>
      </c>
      <c r="D277" s="633" t="inlineStr">
        <is>
          <t>ท่าเรือแหลมฉบัง</t>
        </is>
      </c>
      <c r="E277" s="634" t="n">
        <v>7.1</v>
      </c>
      <c r="F277" s="631" t="inlineStr">
        <is>
          <t>Km</t>
        </is>
      </c>
      <c r="G277" s="631" t="inlineStr">
        <is>
          <t>รถเทรลเลอร์</t>
        </is>
      </c>
      <c r="H277" s="631" t="inlineStr">
        <is>
          <t>UNIVERSITY PARK IL, USA</t>
        </is>
      </c>
      <c r="I277" s="636" t="n">
        <v>13877</v>
      </c>
      <c r="J277" s="635" t="inlineStr">
        <is>
          <t>Km</t>
        </is>
      </c>
      <c r="K277" s="637" t="n">
        <v>3700</v>
      </c>
      <c r="L277" s="642">
        <f>M277-K277</f>
        <v/>
      </c>
      <c r="M277" s="1799" t="n">
        <v>13889.8</v>
      </c>
      <c r="N277" s="1800" t="n">
        <v>7660</v>
      </c>
      <c r="O277" s="633" t="n">
        <v>0</v>
      </c>
      <c r="P277" s="643" t="n">
        <v>100</v>
      </c>
    </row>
    <row r="278" ht="15.75" customHeight="1">
      <c r="A278" s="625" t="inlineStr">
        <is>
          <t>FO23050001</t>
        </is>
      </c>
      <c r="B278" s="626" t="n">
        <v>45048</v>
      </c>
      <c r="C278" s="615" t="inlineStr">
        <is>
          <t>มัลติแบกซ์</t>
        </is>
      </c>
      <c r="D278" s="615" t="inlineStr">
        <is>
          <t>ท่าเรือแหลมฉบัง</t>
        </is>
      </c>
      <c r="E278" s="627" t="n">
        <v>4.5</v>
      </c>
      <c r="F278" s="625" t="inlineStr">
        <is>
          <t>Km</t>
        </is>
      </c>
      <c r="G278" s="625" t="inlineStr">
        <is>
          <t>รถเทรลเลอร์</t>
        </is>
      </c>
      <c r="H278" s="625" t="inlineStr">
        <is>
          <t>UK PORT</t>
        </is>
      </c>
      <c r="I278" s="629" t="n">
        <v>9687</v>
      </c>
      <c r="J278" s="628" t="inlineStr">
        <is>
          <t>Km</t>
        </is>
      </c>
      <c r="K278" s="630" t="n">
        <v>2040</v>
      </c>
      <c r="L278" s="640">
        <f>M278-K278</f>
        <v/>
      </c>
      <c r="M278" s="1797" t="n">
        <v>11557</v>
      </c>
      <c r="N278" s="1801" t="n">
        <v>8877</v>
      </c>
      <c r="O278" s="615" t="n">
        <v>0</v>
      </c>
      <c r="P278" s="641" t="n">
        <v>100</v>
      </c>
    </row>
    <row r="279" ht="15.75" customHeight="1">
      <c r="A279" s="648" t="inlineStr">
        <is>
          <t>FO23050002</t>
        </is>
      </c>
      <c r="B279" s="632" t="n">
        <v>45071</v>
      </c>
      <c r="C279" s="633" t="inlineStr">
        <is>
          <t>มัลติแบกซ์</t>
        </is>
      </c>
      <c r="D279" s="633" t="inlineStr">
        <is>
          <t>ท่่าเรือลาดกระบัง</t>
        </is>
      </c>
      <c r="E279" s="634" t="n">
        <v>41.1</v>
      </c>
      <c r="F279" s="631" t="inlineStr">
        <is>
          <t>Km</t>
        </is>
      </c>
      <c r="G279" s="631" t="inlineStr">
        <is>
          <t>รถเทรลเลอร์</t>
        </is>
      </c>
      <c r="H279" s="631" t="inlineStr">
        <is>
          <t>UK PORT</t>
        </is>
      </c>
      <c r="I279" s="636" t="n">
        <v>9687</v>
      </c>
      <c r="J279" s="635" t="inlineStr">
        <is>
          <t>Km</t>
        </is>
      </c>
      <c r="K279" s="637" t="n">
        <v>0</v>
      </c>
      <c r="L279" s="642" t="n">
        <v>0</v>
      </c>
      <c r="M279" s="1799" t="n">
        <v>0</v>
      </c>
      <c r="N279" s="1800" t="n">
        <v>7468</v>
      </c>
      <c r="O279" s="633" t="n">
        <v>0</v>
      </c>
      <c r="P279" s="643" t="n">
        <v>100</v>
      </c>
    </row>
    <row r="280" ht="15.75" customHeight="1">
      <c r="A280" s="625" t="inlineStr">
        <is>
          <t>FO23050003</t>
        </is>
      </c>
      <c r="B280" s="626" t="n">
        <v>45048</v>
      </c>
      <c r="C280" s="615" t="inlineStr">
        <is>
          <t>มัลติแบกซ์</t>
        </is>
      </c>
      <c r="D280" s="615" t="inlineStr">
        <is>
          <t>ท่าเรือแหลมฉบัง</t>
        </is>
      </c>
      <c r="E280" s="627" t="n">
        <v>6.2</v>
      </c>
      <c r="F280" s="625" t="inlineStr">
        <is>
          <t>Km</t>
        </is>
      </c>
      <c r="G280" s="625" t="inlineStr">
        <is>
          <t>รถเทรลเลอร์</t>
        </is>
      </c>
      <c r="H280" s="625" t="inlineStr">
        <is>
          <t>HONG KONG</t>
        </is>
      </c>
      <c r="I280" s="629" t="n">
        <v>1734</v>
      </c>
      <c r="J280" s="628" t="inlineStr">
        <is>
          <t>Km</t>
        </is>
      </c>
      <c r="K280" s="630" t="n">
        <v>3700</v>
      </c>
      <c r="L280" s="640">
        <f>M280-K280</f>
        <v/>
      </c>
      <c r="M280" s="1797" t="n">
        <v>15204.9</v>
      </c>
      <c r="N280" s="1801" t="n">
        <v>9026</v>
      </c>
      <c r="O280" s="615" t="n">
        <v>0</v>
      </c>
      <c r="P280" s="641" t="n">
        <v>100</v>
      </c>
    </row>
    <row r="281" ht="15.75" customHeight="1">
      <c r="A281" s="631" t="inlineStr">
        <is>
          <t>FO23050004</t>
        </is>
      </c>
      <c r="B281" s="632" t="n">
        <v>45048</v>
      </c>
      <c r="C281" s="633" t="inlineStr">
        <is>
          <t>มัลติแบกซ์</t>
        </is>
      </c>
      <c r="D281" s="633" t="inlineStr">
        <is>
          <t>ท่าเรือแหลมฉบัง</t>
        </is>
      </c>
      <c r="E281" s="634" t="n">
        <v>6.2</v>
      </c>
      <c r="F281" s="631" t="inlineStr">
        <is>
          <t>Km</t>
        </is>
      </c>
      <c r="G281" s="631" t="inlineStr">
        <is>
          <t>รถเทรลเลอร์</t>
        </is>
      </c>
      <c r="H281" s="631" t="inlineStr">
        <is>
          <t>HONG KONG</t>
        </is>
      </c>
      <c r="I281" s="636" t="n">
        <v>1734</v>
      </c>
      <c r="J281" s="635" t="inlineStr">
        <is>
          <t>Km</t>
        </is>
      </c>
      <c r="K281" s="637" t="n">
        <v>2150</v>
      </c>
      <c r="L281" s="642">
        <f>M281-K281</f>
        <v/>
      </c>
      <c r="M281" s="1799" t="n">
        <v>7967.5</v>
      </c>
      <c r="N281" s="1800" t="n">
        <v>4400.8</v>
      </c>
      <c r="O281" s="633" t="n">
        <v>0</v>
      </c>
      <c r="P281" s="643" t="n">
        <v>100</v>
      </c>
    </row>
    <row r="282" ht="15.75" customHeight="1">
      <c r="A282" s="625" t="inlineStr">
        <is>
          <t>FO23050005</t>
        </is>
      </c>
      <c r="B282" s="626" t="n">
        <v>45051</v>
      </c>
      <c r="C282" s="615" t="inlineStr">
        <is>
          <t>มัลติแบกซ์</t>
        </is>
      </c>
      <c r="D282" s="615" t="inlineStr">
        <is>
          <t>ท่าเรือแหลมฉบัง</t>
        </is>
      </c>
      <c r="E282" s="627" t="n">
        <v>6</v>
      </c>
      <c r="F282" s="625" t="inlineStr">
        <is>
          <t>Km</t>
        </is>
      </c>
      <c r="G282" s="625" t="inlineStr">
        <is>
          <t>รถเทรลเลอร์</t>
        </is>
      </c>
      <c r="H282" s="625" t="inlineStr">
        <is>
          <t>PORT OF LIBYA</t>
        </is>
      </c>
      <c r="I282" s="629" t="n">
        <v>9007</v>
      </c>
      <c r="J282" s="628" t="inlineStr">
        <is>
          <t>Km</t>
        </is>
      </c>
      <c r="K282" s="630" t="n">
        <v>2185</v>
      </c>
      <c r="L282" s="640">
        <f>M282-K282</f>
        <v/>
      </c>
      <c r="M282" s="1797" t="n">
        <v>7308</v>
      </c>
      <c r="N282" s="1801" t="n">
        <v>3723.6</v>
      </c>
      <c r="O282" s="615" t="n">
        <v>0</v>
      </c>
      <c r="P282" s="641" t="n">
        <v>100</v>
      </c>
    </row>
    <row r="283" ht="15.75" customHeight="1">
      <c r="A283" s="631" t="inlineStr">
        <is>
          <t>FO23050006</t>
        </is>
      </c>
      <c r="B283" s="632" t="n">
        <v>45048</v>
      </c>
      <c r="C283" s="633" t="inlineStr">
        <is>
          <t>มัลติแบกซ์</t>
        </is>
      </c>
      <c r="D283" s="633" t="inlineStr">
        <is>
          <t>ท่าเรือแหลมฉบัง</t>
        </is>
      </c>
      <c r="E283" s="634" t="n">
        <v>6.2</v>
      </c>
      <c r="F283" s="631" t="inlineStr">
        <is>
          <t>Km</t>
        </is>
      </c>
      <c r="G283" s="631" t="inlineStr">
        <is>
          <t>รถเทรลเลอร์</t>
        </is>
      </c>
      <c r="H283" s="631" t="inlineStr">
        <is>
          <t>PERRIS CA, USA</t>
        </is>
      </c>
      <c r="I283" s="636" t="n">
        <v>13413</v>
      </c>
      <c r="J283" s="635" t="inlineStr">
        <is>
          <t>Km</t>
        </is>
      </c>
      <c r="K283" s="637" t="n">
        <v>3700</v>
      </c>
      <c r="L283" s="642">
        <f>M283-K283</f>
        <v/>
      </c>
      <c r="M283" s="1799" t="n">
        <v>18539</v>
      </c>
      <c r="N283" s="1800" t="n">
        <v>12511.2</v>
      </c>
      <c r="O283" s="633" t="n">
        <v>0</v>
      </c>
      <c r="P283" s="643" t="n">
        <v>100</v>
      </c>
    </row>
    <row r="284" ht="15.75" customHeight="1">
      <c r="A284" s="625" t="inlineStr">
        <is>
          <t>FO23050007</t>
        </is>
      </c>
      <c r="B284" s="626" t="n">
        <v>45055</v>
      </c>
      <c r="C284" s="615" t="inlineStr">
        <is>
          <t>มัลติแบกซ์</t>
        </is>
      </c>
      <c r="D284" s="615" t="n"/>
      <c r="E284" s="627" t="n"/>
      <c r="F284" s="625" t="n"/>
      <c r="G284" s="625" t="inlineStr">
        <is>
          <t>รถเทรลเลอร์</t>
        </is>
      </c>
      <c r="H284" s="625" t="inlineStr">
        <is>
          <t>SINGAPORE</t>
        </is>
      </c>
      <c r="I284" s="629" t="n">
        <v>1931</v>
      </c>
      <c r="J284" s="628" t="n"/>
      <c r="K284" s="630" t="n">
        <v>3142.78</v>
      </c>
      <c r="L284" s="640" t="n">
        <v>1333.24</v>
      </c>
      <c r="M284" s="1797" t="n">
        <v>4476.07</v>
      </c>
      <c r="N284" s="1801" t="n">
        <v>3142.78</v>
      </c>
      <c r="O284" s="615" t="n">
        <v>0</v>
      </c>
      <c r="P284" s="641" t="n">
        <v>100</v>
      </c>
    </row>
    <row r="285" ht="15.75" customHeight="1">
      <c r="A285" s="631" t="inlineStr">
        <is>
          <t>FO23050008</t>
        </is>
      </c>
      <c r="B285" s="632" t="n">
        <v>45054</v>
      </c>
      <c r="C285" s="633" t="inlineStr">
        <is>
          <t>มัลติแบกซ์</t>
        </is>
      </c>
      <c r="D285" s="633" t="inlineStr">
        <is>
          <t>ท่าเรือแหลมฉบัง</t>
        </is>
      </c>
      <c r="E285" s="634" t="n">
        <v>6</v>
      </c>
      <c r="F285" s="631" t="inlineStr">
        <is>
          <t>Km</t>
        </is>
      </c>
      <c r="G285" s="631" t="inlineStr">
        <is>
          <t>รถเทรลเลอร์</t>
        </is>
      </c>
      <c r="H285" s="631" t="inlineStr">
        <is>
          <t>UK PORT</t>
        </is>
      </c>
      <c r="I285" s="636" t="n">
        <v>9687</v>
      </c>
      <c r="J285" s="635" t="inlineStr">
        <is>
          <t>Km</t>
        </is>
      </c>
      <c r="K285" s="637" t="n">
        <v>2230</v>
      </c>
      <c r="L285" s="642">
        <f>M285-K285</f>
        <v/>
      </c>
      <c r="M285" s="1799" t="n">
        <v>8007</v>
      </c>
      <c r="N285" s="1800" t="n">
        <v>4550</v>
      </c>
      <c r="O285" s="633" t="n">
        <v>0</v>
      </c>
      <c r="P285" s="643" t="n">
        <v>100</v>
      </c>
    </row>
    <row r="286" ht="15.75" customHeight="1">
      <c r="A286" s="625" t="inlineStr">
        <is>
          <t>FO23050009</t>
        </is>
      </c>
      <c r="B286" s="626" t="n">
        <v>45054</v>
      </c>
      <c r="C286" s="615" t="inlineStr">
        <is>
          <t>มัลติแบกซ์</t>
        </is>
      </c>
      <c r="D286" s="615" t="inlineStr">
        <is>
          <t>ท่าเรือแหลมฉบัง</t>
        </is>
      </c>
      <c r="E286" s="627" t="n">
        <v>6.3</v>
      </c>
      <c r="F286" s="625" t="inlineStr">
        <is>
          <t>Km</t>
        </is>
      </c>
      <c r="G286" s="625" t="inlineStr">
        <is>
          <t>รถเทรลเลอร์</t>
        </is>
      </c>
      <c r="H286" s="625" t="inlineStr">
        <is>
          <t>SOUTH BOSTON VA, USA</t>
        </is>
      </c>
      <c r="I286" s="629" t="n">
        <v>13787</v>
      </c>
      <c r="J286" s="628" t="inlineStr">
        <is>
          <t>Km</t>
        </is>
      </c>
      <c r="K286" s="630" t="n">
        <v>3800</v>
      </c>
      <c r="L286" s="640">
        <f>M286-K286</f>
        <v/>
      </c>
      <c r="M286" s="1797" t="n">
        <v>18639</v>
      </c>
      <c r="N286" s="1801" t="n">
        <v>12511.2</v>
      </c>
      <c r="O286" s="615" t="n">
        <v>0</v>
      </c>
      <c r="P286" s="641" t="n">
        <v>100</v>
      </c>
    </row>
    <row r="287" ht="15.75" customHeight="1">
      <c r="A287" s="631" t="inlineStr">
        <is>
          <t>FO23050010</t>
        </is>
      </c>
      <c r="B287" s="632" t="n">
        <v>45051</v>
      </c>
      <c r="C287" s="633" t="inlineStr">
        <is>
          <t>มัลติแบกซ์</t>
        </is>
      </c>
      <c r="D287" s="633" t="inlineStr">
        <is>
          <t>ท่าเรือแหลมฉบัง</t>
        </is>
      </c>
      <c r="E287" s="634" t="n">
        <v>7.1</v>
      </c>
      <c r="F287" s="631" t="inlineStr">
        <is>
          <t>Km</t>
        </is>
      </c>
      <c r="G287" s="631" t="inlineStr">
        <is>
          <t>รถเทรลเลอร์</t>
        </is>
      </c>
      <c r="H287" s="631" t="inlineStr">
        <is>
          <t>SHUWAIKH, KUWAIT</t>
        </is>
      </c>
      <c r="I287" s="636" t="n">
        <v>5727</v>
      </c>
      <c r="J287" s="635" t="inlineStr">
        <is>
          <t>Km</t>
        </is>
      </c>
      <c r="K287" s="637" t="n">
        <v>2220</v>
      </c>
      <c r="L287" s="642">
        <f>M287-K287</f>
        <v/>
      </c>
      <c r="M287" s="1799" t="n">
        <v>8261.780000000001</v>
      </c>
      <c r="N287" s="1800" t="n">
        <v>5083.78</v>
      </c>
      <c r="O287" s="633" t="n">
        <v>0</v>
      </c>
      <c r="P287" s="643" t="n">
        <v>100</v>
      </c>
    </row>
    <row r="288" ht="15.75" customHeight="1">
      <c r="A288" s="625" t="inlineStr">
        <is>
          <t>FO23050011</t>
        </is>
      </c>
      <c r="B288" s="626" t="n">
        <v>45051</v>
      </c>
      <c r="C288" s="615" t="inlineStr">
        <is>
          <t>มัลติแบกซ์</t>
        </is>
      </c>
      <c r="D288" s="615" t="inlineStr">
        <is>
          <t>ท่าเรือแหลมฉบัง</t>
        </is>
      </c>
      <c r="E288" s="627" t="n">
        <v>7.1</v>
      </c>
      <c r="F288" s="625" t="inlineStr">
        <is>
          <t>Km</t>
        </is>
      </c>
      <c r="G288" s="625" t="inlineStr">
        <is>
          <t>รถเทรลเลอร์</t>
        </is>
      </c>
      <c r="H288" s="625" t="inlineStr">
        <is>
          <t>HAMAD, QATAR</t>
        </is>
      </c>
      <c r="I288" s="629" t="n">
        <v>5317</v>
      </c>
      <c r="J288" s="628" t="inlineStr">
        <is>
          <t>Km</t>
        </is>
      </c>
      <c r="K288" s="630" t="n">
        <v>2180</v>
      </c>
      <c r="L288" s="640">
        <f>M288-K288</f>
        <v/>
      </c>
      <c r="M288" s="1797" t="n">
        <v>8639.15</v>
      </c>
      <c r="N288" s="1801" t="n">
        <v>5232.02</v>
      </c>
      <c r="O288" s="615" t="n">
        <v>0</v>
      </c>
      <c r="P288" s="641" t="n">
        <v>100</v>
      </c>
    </row>
    <row r="289" ht="15.75" customHeight="1">
      <c r="A289" s="631" t="inlineStr">
        <is>
          <t>FO23050012</t>
        </is>
      </c>
      <c r="B289" s="632" t="n">
        <v>45051</v>
      </c>
      <c r="C289" s="633" t="inlineStr">
        <is>
          <t>มัลติแบกซ์</t>
        </is>
      </c>
      <c r="D289" s="633" t="inlineStr">
        <is>
          <t>ท่าเรือแหลมฉบัง</t>
        </is>
      </c>
      <c r="E289" s="634" t="n">
        <v>7.1</v>
      </c>
      <c r="F289" s="631" t="inlineStr">
        <is>
          <t>Km</t>
        </is>
      </c>
      <c r="G289" s="631" t="inlineStr">
        <is>
          <t>รถเทรลเลอร์</t>
        </is>
      </c>
      <c r="H289" s="631" t="inlineStr">
        <is>
          <t>AJMAN PORT, UAE</t>
        </is>
      </c>
      <c r="I289" s="636" t="n">
        <v>4929</v>
      </c>
      <c r="J289" s="635" t="inlineStr">
        <is>
          <t>Km</t>
        </is>
      </c>
      <c r="K289" s="637" t="n">
        <v>3640</v>
      </c>
      <c r="L289" s="642">
        <f>M289-K289</f>
        <v/>
      </c>
      <c r="M289" s="1799" t="n">
        <v>18631.64</v>
      </c>
      <c r="N289" s="1800" t="n">
        <v>13057.23</v>
      </c>
      <c r="O289" s="633" t="n">
        <v>0</v>
      </c>
      <c r="P289" s="643" t="n">
        <v>100</v>
      </c>
    </row>
    <row r="290" ht="15.75" customHeight="1">
      <c r="A290" s="625" t="inlineStr">
        <is>
          <t>FO23050013</t>
        </is>
      </c>
      <c r="B290" s="626" t="n">
        <v>45054</v>
      </c>
      <c r="C290" s="615" t="inlineStr">
        <is>
          <t>มัลติแบกซ์</t>
        </is>
      </c>
      <c r="D290" s="615" t="inlineStr">
        <is>
          <t>ท่าเรือแหลมฉบัง</t>
        </is>
      </c>
      <c r="E290" s="627" t="n">
        <v>7.1</v>
      </c>
      <c r="F290" s="625" t="inlineStr">
        <is>
          <t>Km</t>
        </is>
      </c>
      <c r="G290" s="625" t="inlineStr">
        <is>
          <t>รถเทรลเลอร์</t>
        </is>
      </c>
      <c r="H290" s="625" t="inlineStr">
        <is>
          <t>AJMAN PORT, UAE</t>
        </is>
      </c>
      <c r="I290" s="629" t="n">
        <v>4929</v>
      </c>
      <c r="J290" s="628" t="inlineStr">
        <is>
          <t>Km</t>
        </is>
      </c>
      <c r="K290" s="630" t="n">
        <v>3740</v>
      </c>
      <c r="L290" s="640">
        <f>M290-K290</f>
        <v/>
      </c>
      <c r="M290" s="1797" t="n">
        <v>16940.1</v>
      </c>
      <c r="N290" s="1801" t="n">
        <v>10567.3</v>
      </c>
      <c r="O290" s="615" t="n">
        <v>0</v>
      </c>
      <c r="P290" s="641" t="n">
        <v>100</v>
      </c>
    </row>
    <row r="291" ht="15.75" customHeight="1">
      <c r="A291" s="631" t="inlineStr">
        <is>
          <t>FO23050014</t>
        </is>
      </c>
      <c r="B291" s="632" t="n">
        <v>45056</v>
      </c>
      <c r="C291" s="633" t="inlineStr">
        <is>
          <t>มัลติแบกซ์</t>
        </is>
      </c>
      <c r="D291" s="633" t="inlineStr">
        <is>
          <t>ท่าเรือแหลมฉบัง</t>
        </is>
      </c>
      <c r="E291" s="634" t="n">
        <v>6.3</v>
      </c>
      <c r="F291" s="631" t="inlineStr">
        <is>
          <t>Km</t>
        </is>
      </c>
      <c r="G291" s="631" t="inlineStr">
        <is>
          <t>รถเทรลเลอร์</t>
        </is>
      </c>
      <c r="H291" s="631" t="inlineStr">
        <is>
          <t>UK PORT</t>
        </is>
      </c>
      <c r="I291" s="636" t="n">
        <v>9687</v>
      </c>
      <c r="J291" s="635" t="inlineStr">
        <is>
          <t>Km</t>
        </is>
      </c>
      <c r="K291" s="637" t="n">
        <v>3750</v>
      </c>
      <c r="L291" s="642">
        <f>M291-K291</f>
        <v/>
      </c>
      <c r="M291" s="1799" t="n">
        <v>28777</v>
      </c>
      <c r="N291" s="1800" t="n">
        <v>23842</v>
      </c>
      <c r="O291" s="633" t="n">
        <v>0</v>
      </c>
      <c r="P291" s="643" t="n">
        <v>100</v>
      </c>
    </row>
    <row r="292" ht="15.75" customHeight="1">
      <c r="A292" s="625" t="inlineStr">
        <is>
          <t>FO23050015</t>
        </is>
      </c>
      <c r="B292" s="626" t="n">
        <v>45054</v>
      </c>
      <c r="C292" s="615" t="inlineStr">
        <is>
          <t>มัลติแบกซ์</t>
        </is>
      </c>
      <c r="D292" s="615" t="inlineStr">
        <is>
          <t>ท่าเรือแหลมฉบัง</t>
        </is>
      </c>
      <c r="E292" s="627" t="n">
        <v>6</v>
      </c>
      <c r="F292" s="625" t="inlineStr">
        <is>
          <t>Km</t>
        </is>
      </c>
      <c r="G292" s="625" t="inlineStr">
        <is>
          <t>รถเทรลเลอร์</t>
        </is>
      </c>
      <c r="H292" s="625" t="inlineStr">
        <is>
          <t>HAMAD, QATAR</t>
        </is>
      </c>
      <c r="I292" s="629" t="n">
        <v>5317</v>
      </c>
      <c r="J292" s="628" t="inlineStr">
        <is>
          <t>Km</t>
        </is>
      </c>
      <c r="K292" s="630" t="n">
        <v>2210</v>
      </c>
      <c r="L292" s="640">
        <f>M292-K292</f>
        <v/>
      </c>
      <c r="M292" s="1797" t="n">
        <v>5980.69</v>
      </c>
      <c r="N292" s="1801" t="n">
        <v>2729.97</v>
      </c>
      <c r="O292" s="615" t="n">
        <v>0</v>
      </c>
      <c r="P292" s="641" t="n">
        <v>100</v>
      </c>
    </row>
    <row r="293" ht="15.75" customHeight="1">
      <c r="A293" s="631" t="inlineStr">
        <is>
          <t>FO23050016</t>
        </is>
      </c>
      <c r="B293" s="632" t="n">
        <v>45061</v>
      </c>
      <c r="C293" s="633" t="inlineStr">
        <is>
          <t>มัลติแบกซ์</t>
        </is>
      </c>
      <c r="D293" s="633" t="inlineStr">
        <is>
          <t>ท่าเรือแหลมฉบัง</t>
        </is>
      </c>
      <c r="E293" s="634" t="n">
        <v>6.2</v>
      </c>
      <c r="F293" s="631" t="inlineStr">
        <is>
          <t>Km</t>
        </is>
      </c>
      <c r="G293" s="631" t="inlineStr">
        <is>
          <t>รถเทรลเลอร์</t>
        </is>
      </c>
      <c r="H293" s="631" t="inlineStr">
        <is>
          <t>JEBEL ALI, UAE</t>
        </is>
      </c>
      <c r="I293" s="636" t="n">
        <v>4972</v>
      </c>
      <c r="J293" s="635" t="inlineStr">
        <is>
          <t>Km</t>
        </is>
      </c>
      <c r="K293" s="637" t="n">
        <v>3570</v>
      </c>
      <c r="L293" s="642">
        <f>M293-K293</f>
        <v/>
      </c>
      <c r="M293" s="1799" t="n">
        <v>15922.75</v>
      </c>
      <c r="N293" s="1800" t="n">
        <v>9530.799999999999</v>
      </c>
      <c r="O293" s="633" t="n">
        <v>0</v>
      </c>
      <c r="P293" s="643" t="n">
        <v>100</v>
      </c>
    </row>
    <row r="294" ht="15.75" customHeight="1">
      <c r="A294" s="625" t="inlineStr">
        <is>
          <t>FO23050017</t>
        </is>
      </c>
      <c r="B294" s="626" t="n">
        <v>45072</v>
      </c>
      <c r="C294" s="615" t="inlineStr">
        <is>
          <t>มัลติแบกซ์</t>
        </is>
      </c>
      <c r="D294" s="615" t="inlineStr">
        <is>
          <t>ท่าเรือแหลมฉบัง</t>
        </is>
      </c>
      <c r="E294" s="627" t="n">
        <v>7.1</v>
      </c>
      <c r="F294" s="625" t="inlineStr">
        <is>
          <t>Km</t>
        </is>
      </c>
      <c r="G294" s="625" t="inlineStr">
        <is>
          <t>รถเทรลเลอร์</t>
        </is>
      </c>
      <c r="H294" s="625" t="inlineStr">
        <is>
          <t>AUCKLAND, NEW ZEALAND</t>
        </is>
      </c>
      <c r="I294" s="629" t="n">
        <v>9486</v>
      </c>
      <c r="J294" s="628" t="inlineStr">
        <is>
          <t>Km</t>
        </is>
      </c>
      <c r="K294" s="630" t="n">
        <v>3890</v>
      </c>
      <c r="L294" s="640">
        <f>M294-K294</f>
        <v/>
      </c>
      <c r="M294" s="1797" t="n">
        <v>20716.9</v>
      </c>
      <c r="N294" s="1801" t="n">
        <v>12903.9</v>
      </c>
      <c r="O294" s="615" t="n">
        <v>0</v>
      </c>
      <c r="P294" s="641" t="n">
        <v>100</v>
      </c>
    </row>
    <row r="295" ht="15.75" customHeight="1">
      <c r="A295" s="631" t="inlineStr">
        <is>
          <t>FO23050018</t>
        </is>
      </c>
      <c r="B295" s="632" t="n">
        <v>45062</v>
      </c>
      <c r="C295" s="633" t="inlineStr">
        <is>
          <t>มัลติแบกซ์</t>
        </is>
      </c>
      <c r="D295" s="633" t="inlineStr">
        <is>
          <t>ท่าเรือแหลมฉบัง</t>
        </is>
      </c>
      <c r="E295" s="634" t="n">
        <v>6.2</v>
      </c>
      <c r="F295" s="631" t="inlineStr">
        <is>
          <t>Km</t>
        </is>
      </c>
      <c r="G295" s="631" t="inlineStr">
        <is>
          <t>รถเทรลเลอร์</t>
        </is>
      </c>
      <c r="H295" s="631" t="inlineStr">
        <is>
          <t>AUCKLAND, NEW ZEALAND</t>
        </is>
      </c>
      <c r="I295" s="636" t="n">
        <v>9486</v>
      </c>
      <c r="J295" s="635" t="inlineStr">
        <is>
          <t>Km</t>
        </is>
      </c>
      <c r="K295" s="637" t="n">
        <v>3830</v>
      </c>
      <c r="L295" s="642">
        <f>M295-K295</f>
        <v/>
      </c>
      <c r="M295" s="1799" t="n">
        <v>20691.35</v>
      </c>
      <c r="N295" s="1800" t="n">
        <v>12792.45</v>
      </c>
      <c r="O295" s="633" t="n">
        <v>0</v>
      </c>
      <c r="P295" s="643" t="n">
        <v>100</v>
      </c>
    </row>
    <row r="296" ht="15.75" customHeight="1">
      <c r="A296" s="625" t="inlineStr">
        <is>
          <t>FO23050019</t>
        </is>
      </c>
      <c r="B296" s="626" t="n">
        <v>45062</v>
      </c>
      <c r="C296" s="615" t="inlineStr">
        <is>
          <t>มัลติแบกซ์</t>
        </is>
      </c>
      <c r="D296" s="615" t="inlineStr">
        <is>
          <t>ท่าเรือแหลมฉบัง</t>
        </is>
      </c>
      <c r="E296" s="627" t="n">
        <v>6.3</v>
      </c>
      <c r="F296" s="625" t="inlineStr">
        <is>
          <t>Km</t>
        </is>
      </c>
      <c r="G296" s="625" t="inlineStr">
        <is>
          <t>รถเทรลเลอร์</t>
        </is>
      </c>
      <c r="H296" s="625" t="inlineStr">
        <is>
          <t>AUCKLAND, NEW ZEALAND</t>
        </is>
      </c>
      <c r="I296" s="629" t="n">
        <v>9486</v>
      </c>
      <c r="J296" s="628" t="inlineStr">
        <is>
          <t>Km</t>
        </is>
      </c>
      <c r="K296" s="630" t="n">
        <v>3860</v>
      </c>
      <c r="L296" s="640">
        <f>M296-K296</f>
        <v/>
      </c>
      <c r="M296" s="1797" t="n">
        <v>21261.05</v>
      </c>
      <c r="N296" s="1801" t="n">
        <v>12365.65</v>
      </c>
      <c r="O296" s="615" t="n">
        <v>0</v>
      </c>
      <c r="P296" s="641" t="n">
        <v>100</v>
      </c>
    </row>
    <row r="297" ht="15.75" customHeight="1">
      <c r="A297" s="385" t="inlineStr">
        <is>
          <t>FO23050020</t>
        </is>
      </c>
      <c r="B297" s="649" t="n">
        <v>45056</v>
      </c>
      <c r="C297" s="633" t="inlineStr">
        <is>
          <t>มัลติแบกซ์</t>
        </is>
      </c>
      <c r="D297" s="633" t="inlineStr">
        <is>
          <t>ท่าเรือแหลมฉบัง</t>
        </is>
      </c>
      <c r="E297" s="634" t="n">
        <v>6.3</v>
      </c>
      <c r="F297" s="631" t="inlineStr">
        <is>
          <t>Km</t>
        </is>
      </c>
      <c r="G297" s="631" t="inlineStr">
        <is>
          <t>รถเทรลเลอร์</t>
        </is>
      </c>
      <c r="H297" s="385" t="inlineStr">
        <is>
          <t>DURBAN, SOUTH AFRICA</t>
        </is>
      </c>
      <c r="I297" s="650" t="n">
        <v>8865</v>
      </c>
      <c r="J297" s="635" t="inlineStr">
        <is>
          <t>Km</t>
        </is>
      </c>
      <c r="K297" s="637" t="n">
        <v>3570</v>
      </c>
      <c r="L297" s="642">
        <f>M297-K297</f>
        <v/>
      </c>
      <c r="M297" s="1799" t="n">
        <v>23343</v>
      </c>
      <c r="N297" s="1801" t="n">
        <v>18255.4</v>
      </c>
      <c r="O297" s="633" t="n">
        <v>0</v>
      </c>
      <c r="P297" s="643" t="n">
        <v>100</v>
      </c>
    </row>
    <row r="298" ht="15.75" customHeight="1">
      <c r="A298" s="631" t="inlineStr">
        <is>
          <t>FO23050021</t>
        </is>
      </c>
      <c r="B298" s="632" t="n">
        <v>45064</v>
      </c>
      <c r="C298" s="615" t="inlineStr">
        <is>
          <t>มัลติแบกซ์</t>
        </is>
      </c>
      <c r="D298" s="615" t="inlineStr">
        <is>
          <t>ท่าเรือแหลมฉบัง</t>
        </is>
      </c>
      <c r="E298" s="627" t="n">
        <v>6.2</v>
      </c>
      <c r="F298" s="625" t="inlineStr">
        <is>
          <t>Km</t>
        </is>
      </c>
      <c r="G298" s="625" t="inlineStr">
        <is>
          <t>รถเทรลเลอร์</t>
        </is>
      </c>
      <c r="H298" s="631" t="inlineStr">
        <is>
          <t>ROTTERDAM, NETHERLANDS</t>
        </is>
      </c>
      <c r="I298" s="636" t="n">
        <v>9292</v>
      </c>
      <c r="J298" s="628" t="inlineStr">
        <is>
          <t>Km</t>
        </is>
      </c>
      <c r="K298" s="630" t="n">
        <v>2180</v>
      </c>
      <c r="L298" s="640">
        <f>M298-K298</f>
        <v/>
      </c>
      <c r="M298" s="1797" t="n">
        <v>16985</v>
      </c>
      <c r="N298" s="1800" t="n">
        <v>14226.6</v>
      </c>
      <c r="O298" s="615" t="n">
        <v>0</v>
      </c>
      <c r="P298" s="641" t="n">
        <v>100</v>
      </c>
    </row>
    <row r="299" ht="15.75" customHeight="1">
      <c r="A299" s="631" t="inlineStr">
        <is>
          <t>FO23050022</t>
        </is>
      </c>
      <c r="B299" s="632" t="n">
        <v>45055</v>
      </c>
      <c r="C299" s="633" t="inlineStr">
        <is>
          <t>มัลติแบกซ์</t>
        </is>
      </c>
      <c r="D299" s="633" t="inlineStr">
        <is>
          <t>ท่าเรือแหลมฉบัง</t>
        </is>
      </c>
      <c r="E299" s="634" t="n">
        <v>6.2</v>
      </c>
      <c r="F299" s="631" t="inlineStr">
        <is>
          <t>Km</t>
        </is>
      </c>
      <c r="G299" s="631" t="inlineStr">
        <is>
          <t>รถเทรลเลอร์</t>
        </is>
      </c>
      <c r="H299" s="631" t="inlineStr">
        <is>
          <t>APPLETON WI , USA</t>
        </is>
      </c>
      <c r="I299" s="636" t="n">
        <v>13558</v>
      </c>
      <c r="J299" s="635" t="inlineStr">
        <is>
          <t>Km</t>
        </is>
      </c>
      <c r="K299" s="637" t="n">
        <v>3830</v>
      </c>
      <c r="L299" s="642">
        <f>M299-K299</f>
        <v/>
      </c>
      <c r="M299" s="1799" t="n">
        <v>21719.1</v>
      </c>
      <c r="N299" s="1800" t="n">
        <v>14665.2</v>
      </c>
      <c r="O299" s="633" t="n">
        <v>0</v>
      </c>
      <c r="P299" s="643" t="n">
        <v>100</v>
      </c>
    </row>
    <row r="300" ht="15.75" customHeight="1">
      <c r="A300" s="625" t="inlineStr">
        <is>
          <t>FO23050023</t>
        </is>
      </c>
      <c r="B300" s="626" t="n">
        <v>45056</v>
      </c>
      <c r="C300" s="615" t="inlineStr">
        <is>
          <t>มัลติแบกซ์</t>
        </is>
      </c>
      <c r="D300" s="615" t="inlineStr">
        <is>
          <t>ท่าเรือแหลมฉบัง</t>
        </is>
      </c>
      <c r="E300" s="627" t="n">
        <v>6.2</v>
      </c>
      <c r="F300" s="625" t="inlineStr">
        <is>
          <t>Km</t>
        </is>
      </c>
      <c r="G300" s="625" t="inlineStr">
        <is>
          <t>รถเทรลเลอร์</t>
        </is>
      </c>
      <c r="H300" s="625" t="inlineStr">
        <is>
          <t>APPLETON WI , USA</t>
        </is>
      </c>
      <c r="I300" s="629" t="n">
        <v>13558</v>
      </c>
      <c r="J300" s="628" t="inlineStr">
        <is>
          <t>Km</t>
        </is>
      </c>
      <c r="K300" s="630" t="n">
        <v>3840</v>
      </c>
      <c r="L300" s="640">
        <f>M300-K300</f>
        <v/>
      </c>
      <c r="M300" s="1797" t="n">
        <v>21729.1</v>
      </c>
      <c r="N300" s="1801" t="n">
        <v>14665.2</v>
      </c>
      <c r="O300" s="615" t="n">
        <v>0</v>
      </c>
      <c r="P300" s="641" t="n">
        <v>100</v>
      </c>
    </row>
    <row r="301" ht="15.75" customHeight="1">
      <c r="A301" s="631" t="inlineStr">
        <is>
          <t>FO23050024</t>
        </is>
      </c>
      <c r="B301" s="632" t="n">
        <v>45061</v>
      </c>
      <c r="C301" s="633" t="inlineStr">
        <is>
          <t>มัลติแบกซ์</t>
        </is>
      </c>
      <c r="D301" s="633" t="inlineStr">
        <is>
          <t>ท่าเรือแหลมฉบัง</t>
        </is>
      </c>
      <c r="E301" s="634" t="n">
        <v>11.9</v>
      </c>
      <c r="F301" s="631" t="inlineStr">
        <is>
          <t>Km</t>
        </is>
      </c>
      <c r="G301" s="631" t="inlineStr">
        <is>
          <t>รถเทรลเลอร์</t>
        </is>
      </c>
      <c r="H301" s="631" t="inlineStr">
        <is>
          <t>CARROLLTON TX, USA</t>
        </is>
      </c>
      <c r="I301" s="636" t="n">
        <v>14544</v>
      </c>
      <c r="J301" s="635" t="inlineStr">
        <is>
          <t>Km</t>
        </is>
      </c>
      <c r="K301" s="637" t="n">
        <v>3700</v>
      </c>
      <c r="L301" s="642">
        <f>M301-K301</f>
        <v/>
      </c>
      <c r="M301" s="1799" t="n">
        <v>21589.1</v>
      </c>
      <c r="N301" s="1800" t="n">
        <v>14665.2</v>
      </c>
      <c r="O301" s="633" t="n">
        <v>0</v>
      </c>
      <c r="P301" s="643" t="n">
        <v>100</v>
      </c>
    </row>
    <row r="302" ht="15.75" customHeight="1">
      <c r="A302" s="625" t="inlineStr">
        <is>
          <t>FO23050025</t>
        </is>
      </c>
      <c r="B302" s="626" t="n">
        <v>45062</v>
      </c>
      <c r="C302" s="615" t="inlineStr">
        <is>
          <t>มัลติแบกซ์</t>
        </is>
      </c>
      <c r="D302" s="615" t="inlineStr">
        <is>
          <t>ท่าเรือแหลมฉบัง</t>
        </is>
      </c>
      <c r="E302" s="627" t="n">
        <v>6.2</v>
      </c>
      <c r="F302" s="625" t="inlineStr">
        <is>
          <t>Km</t>
        </is>
      </c>
      <c r="G302" s="625" t="inlineStr">
        <is>
          <t>รถเทรลเลอร์</t>
        </is>
      </c>
      <c r="H302" s="625" t="inlineStr">
        <is>
          <t>CARROLLTON TX, USA</t>
        </is>
      </c>
      <c r="I302" s="629" t="n">
        <v>14544</v>
      </c>
      <c r="J302" s="628" t="inlineStr">
        <is>
          <t>Km</t>
        </is>
      </c>
      <c r="K302" s="630" t="n">
        <v>3860</v>
      </c>
      <c r="L302" s="640">
        <f>M302-K302</f>
        <v/>
      </c>
      <c r="M302" s="1797" t="n">
        <v>18699</v>
      </c>
      <c r="N302" s="1801" t="n">
        <v>12511.2</v>
      </c>
      <c r="O302" s="615" t="n">
        <v>0</v>
      </c>
      <c r="P302" s="641" t="n">
        <v>100</v>
      </c>
    </row>
    <row r="303" ht="15.75" customHeight="1">
      <c r="A303" s="631" t="inlineStr">
        <is>
          <t>FO23050026</t>
        </is>
      </c>
      <c r="B303" s="632" t="n">
        <v>45072</v>
      </c>
      <c r="C303" s="633" t="inlineStr">
        <is>
          <t>มัลติแบกซ์</t>
        </is>
      </c>
      <c r="D303" s="633" t="inlineStr">
        <is>
          <t>ท่าเรือแหลมฉบัง</t>
        </is>
      </c>
      <c r="E303" s="634" t="n">
        <v>6.3</v>
      </c>
      <c r="F303" s="631" t="inlineStr">
        <is>
          <t>Km</t>
        </is>
      </c>
      <c r="G303" s="631" t="inlineStr">
        <is>
          <t>รถเทรลเลอร์</t>
        </is>
      </c>
      <c r="H303" s="631" t="inlineStr">
        <is>
          <t>SOUTH BOSTON VA, USA</t>
        </is>
      </c>
      <c r="I303" s="636" t="n">
        <v>13787</v>
      </c>
      <c r="J303" s="635" t="inlineStr">
        <is>
          <t>Km</t>
        </is>
      </c>
      <c r="K303" s="637" t="n">
        <v>3700</v>
      </c>
      <c r="L303" s="642">
        <f>M303-K303</f>
        <v/>
      </c>
      <c r="M303" s="1799" t="n">
        <v>13302</v>
      </c>
      <c r="N303" s="1800" t="n">
        <v>5376</v>
      </c>
      <c r="O303" s="633" t="n">
        <v>0</v>
      </c>
      <c r="P303" s="643" t="n">
        <v>100</v>
      </c>
    </row>
    <row r="304" ht="15.75" customHeight="1">
      <c r="A304" s="625" t="inlineStr">
        <is>
          <t>FO23050027</t>
        </is>
      </c>
      <c r="B304" s="626" t="n">
        <v>45057</v>
      </c>
      <c r="C304" s="615" t="inlineStr">
        <is>
          <t>มัลติแบกซ์</t>
        </is>
      </c>
      <c r="D304" s="615" t="inlineStr">
        <is>
          <t>ท่าเรือแหลมฉบัง</t>
        </is>
      </c>
      <c r="E304" s="627" t="n">
        <v>6.3</v>
      </c>
      <c r="F304" s="625" t="inlineStr">
        <is>
          <t>Km</t>
        </is>
      </c>
      <c r="G304" s="625" t="inlineStr">
        <is>
          <t>รถเทรลเลอร์</t>
        </is>
      </c>
      <c r="H304" s="625" t="inlineStr">
        <is>
          <t>UK PORT</t>
        </is>
      </c>
      <c r="I304" s="629" t="n">
        <v>9687</v>
      </c>
      <c r="J304" s="628" t="inlineStr">
        <is>
          <t>Km</t>
        </is>
      </c>
      <c r="K304" s="630" t="n">
        <v>3640</v>
      </c>
      <c r="L304" s="640">
        <f>M304-K304</f>
        <v/>
      </c>
      <c r="M304" s="1797" t="n">
        <v>23970.1</v>
      </c>
      <c r="N304" s="1801" t="n">
        <v>19030.3</v>
      </c>
      <c r="O304" s="615" t="n">
        <v>0</v>
      </c>
      <c r="P304" s="641" t="n">
        <v>100</v>
      </c>
    </row>
    <row r="305" ht="15.75" customHeight="1">
      <c r="A305" s="631" t="inlineStr">
        <is>
          <t>FO23050031</t>
        </is>
      </c>
      <c r="B305" s="632" t="n">
        <v>45064</v>
      </c>
      <c r="C305" s="633" t="inlineStr">
        <is>
          <t>มัลติแบกซ์</t>
        </is>
      </c>
      <c r="D305" s="633" t="inlineStr">
        <is>
          <t>ท่าเรือแหลมฉบัง</t>
        </is>
      </c>
      <c r="E305" s="634" t="n">
        <v>6.2</v>
      </c>
      <c r="F305" s="631" t="inlineStr">
        <is>
          <t>Km</t>
        </is>
      </c>
      <c r="G305" s="631" t="inlineStr">
        <is>
          <t>รถเทรลเลอร์</t>
        </is>
      </c>
      <c r="H305" s="631" t="inlineStr">
        <is>
          <t>APPLETON WI , USA</t>
        </is>
      </c>
      <c r="I305" s="636" t="n">
        <v>13558</v>
      </c>
      <c r="J305" s="635" t="inlineStr">
        <is>
          <t>Km</t>
        </is>
      </c>
      <c r="K305" s="637" t="n">
        <v>3870</v>
      </c>
      <c r="L305" s="642">
        <f>M305-K305</f>
        <v/>
      </c>
      <c r="M305" s="1799" t="n">
        <v>22941.6</v>
      </c>
      <c r="N305" s="1800" t="n">
        <v>15602.4</v>
      </c>
      <c r="O305" s="633" t="n">
        <v>0</v>
      </c>
      <c r="P305" s="643" t="n">
        <v>100</v>
      </c>
    </row>
    <row r="306" ht="15.75" customHeight="1">
      <c r="A306" s="625" t="inlineStr">
        <is>
          <t>FO23050032</t>
        </is>
      </c>
      <c r="B306" s="626" t="n">
        <v>45064</v>
      </c>
      <c r="C306" s="615" t="inlineStr">
        <is>
          <t>มัลติแบกซ์</t>
        </is>
      </c>
      <c r="D306" s="615" t="inlineStr">
        <is>
          <t>ท่าเรือแหลมฉบัง</t>
        </is>
      </c>
      <c r="E306" s="627" t="n">
        <v>6.2</v>
      </c>
      <c r="F306" s="625" t="inlineStr">
        <is>
          <t>Km</t>
        </is>
      </c>
      <c r="G306" s="625" t="inlineStr">
        <is>
          <t>รถเทรลเลอร์</t>
        </is>
      </c>
      <c r="H306" s="625" t="inlineStr">
        <is>
          <t>JACKSONVILLE IL, USA</t>
        </is>
      </c>
      <c r="I306" s="629" t="n">
        <v>15168</v>
      </c>
      <c r="J306" s="628" t="inlineStr">
        <is>
          <t>Km</t>
        </is>
      </c>
      <c r="K306" s="630" t="n">
        <v>3830</v>
      </c>
      <c r="L306" s="640">
        <f>M306-K306</f>
        <v/>
      </c>
      <c r="M306" s="1797" t="n">
        <v>23969.36</v>
      </c>
      <c r="N306" s="1801" t="n">
        <v>17014.08</v>
      </c>
      <c r="O306" s="615" t="n">
        <v>0</v>
      </c>
      <c r="P306" s="641" t="n">
        <v>100</v>
      </c>
    </row>
    <row r="307" ht="15.75" customHeight="1">
      <c r="A307" s="631" t="inlineStr">
        <is>
          <t>FO23050033</t>
        </is>
      </c>
      <c r="B307" s="632" t="n">
        <v>45064</v>
      </c>
      <c r="C307" s="633" t="inlineStr">
        <is>
          <t>มัลติแบกซ์</t>
        </is>
      </c>
      <c r="D307" s="633" t="inlineStr">
        <is>
          <t>ท่าเรือแหลมฉบัง</t>
        </is>
      </c>
      <c r="E307" s="634" t="n">
        <v>6.2</v>
      </c>
      <c r="F307" s="631" t="inlineStr">
        <is>
          <t>Km</t>
        </is>
      </c>
      <c r="G307" s="631" t="inlineStr">
        <is>
          <t>รถเทรลเลอร์</t>
        </is>
      </c>
      <c r="H307" s="631" t="inlineStr">
        <is>
          <t>JACKSONVILLE IL, USA</t>
        </is>
      </c>
      <c r="I307" s="636" t="n">
        <v>15168</v>
      </c>
      <c r="J307" s="635" t="inlineStr">
        <is>
          <t>Km</t>
        </is>
      </c>
      <c r="K307" s="637" t="n">
        <v>3900</v>
      </c>
      <c r="L307" s="642">
        <f>M307-K307</f>
        <v/>
      </c>
      <c r="M307" s="1799" t="n">
        <v>24039.36</v>
      </c>
      <c r="N307" s="1800" t="n">
        <v>17014.08</v>
      </c>
      <c r="O307" s="633" t="n">
        <v>0</v>
      </c>
      <c r="P307" s="643" t="n">
        <v>100</v>
      </c>
    </row>
    <row r="308" ht="15.75" customHeight="1">
      <c r="A308" s="625" t="inlineStr">
        <is>
          <t>FO23050034</t>
        </is>
      </c>
      <c r="B308" s="626" t="n">
        <v>45061</v>
      </c>
      <c r="C308" s="615" t="inlineStr">
        <is>
          <t>มัลติแบกซ์</t>
        </is>
      </c>
      <c r="D308" s="615" t="inlineStr">
        <is>
          <t>ท่าเรือแหลมฉบัง</t>
        </is>
      </c>
      <c r="E308" s="627" t="n">
        <v>11.9</v>
      </c>
      <c r="F308" s="625" t="inlineStr">
        <is>
          <t>Km</t>
        </is>
      </c>
      <c r="G308" s="625" t="inlineStr">
        <is>
          <t>รถเทรลเลอร์</t>
        </is>
      </c>
      <c r="H308" s="625" t="inlineStr">
        <is>
          <t>GUANGZHOU, CHINA</t>
        </is>
      </c>
      <c r="I308" s="629" t="n">
        <v>2597</v>
      </c>
      <c r="J308" s="628" t="inlineStr">
        <is>
          <t>Km</t>
        </is>
      </c>
      <c r="K308" s="630" t="n">
        <v>3820</v>
      </c>
      <c r="L308" s="640">
        <f>M308-K308</f>
        <v/>
      </c>
      <c r="M308" s="1797" t="n">
        <v>17910</v>
      </c>
      <c r="N308" s="1801" t="n">
        <v>11494</v>
      </c>
      <c r="O308" s="615" t="n">
        <v>0</v>
      </c>
      <c r="P308" s="641" t="n">
        <v>100</v>
      </c>
    </row>
    <row r="309" ht="15.75" customHeight="1">
      <c r="A309" s="631" t="inlineStr">
        <is>
          <t>FO23050035</t>
        </is>
      </c>
      <c r="B309" s="632" t="n">
        <v>45062</v>
      </c>
      <c r="C309" s="633" t="inlineStr">
        <is>
          <t>มัลติแบกซ์</t>
        </is>
      </c>
      <c r="D309" s="633" t="inlineStr">
        <is>
          <t>ท่าเรือแหลมฉบัง</t>
        </is>
      </c>
      <c r="E309" s="634" t="n">
        <v>6.3</v>
      </c>
      <c r="F309" s="631" t="inlineStr">
        <is>
          <t>Km</t>
        </is>
      </c>
      <c r="G309" s="631" t="inlineStr">
        <is>
          <t>รถเทรลเลอร์</t>
        </is>
      </c>
      <c r="H309" s="631" t="inlineStr">
        <is>
          <t>LOUISVILLE KY, USA</t>
        </is>
      </c>
      <c r="I309" s="636" t="n">
        <v>14253</v>
      </c>
      <c r="J309" s="635" t="inlineStr">
        <is>
          <t>Km</t>
        </is>
      </c>
      <c r="K309" s="637" t="n">
        <v>3830</v>
      </c>
      <c r="L309" s="642">
        <f>M309-K309</f>
        <v/>
      </c>
      <c r="M309" s="1799" t="n">
        <v>15683.05</v>
      </c>
      <c r="N309" s="1800" t="n">
        <v>8947.139999999999</v>
      </c>
      <c r="O309" s="633" t="n">
        <v>0</v>
      </c>
      <c r="P309" s="643" t="n">
        <v>100</v>
      </c>
    </row>
    <row r="310" ht="15.75" customHeight="1">
      <c r="A310" s="625" t="inlineStr">
        <is>
          <t>FO23050036</t>
        </is>
      </c>
      <c r="B310" s="626" t="n">
        <v>45070</v>
      </c>
      <c r="C310" s="615" t="inlineStr">
        <is>
          <t>มัลติแบกซ์</t>
        </is>
      </c>
      <c r="D310" s="615" t="inlineStr">
        <is>
          <t>ท่าเรือแหลมฉบัง</t>
        </is>
      </c>
      <c r="E310" s="627" t="n">
        <v>7.1</v>
      </c>
      <c r="F310" s="625" t="inlineStr">
        <is>
          <t>Km</t>
        </is>
      </c>
      <c r="G310" s="625" t="inlineStr">
        <is>
          <t>รถเทรลเลอร์</t>
        </is>
      </c>
      <c r="H310" s="625" t="inlineStr">
        <is>
          <t>SYDNEY, AUSTRALIA</t>
        </is>
      </c>
      <c r="I310" s="629" t="n">
        <v>7448</v>
      </c>
      <c r="J310" s="628" t="inlineStr">
        <is>
          <t>Km</t>
        </is>
      </c>
      <c r="K310" s="630" t="n">
        <v>3700</v>
      </c>
      <c r="L310" s="640">
        <f>M310-K310</f>
        <v/>
      </c>
      <c r="M310" s="1797" t="n">
        <v>27762</v>
      </c>
      <c r="N310" s="1801" t="n">
        <v>19896.5</v>
      </c>
      <c r="O310" s="615" t="n">
        <v>0</v>
      </c>
      <c r="P310" s="641" t="n">
        <v>100</v>
      </c>
    </row>
    <row r="311" ht="15.75" customHeight="1">
      <c r="A311" s="631" t="inlineStr">
        <is>
          <t>FO23050037</t>
        </is>
      </c>
      <c r="B311" s="632" t="n">
        <v>45070</v>
      </c>
      <c r="C311" s="633" t="inlineStr">
        <is>
          <t>มัลติแบกซ์</t>
        </is>
      </c>
      <c r="D311" s="633" t="inlineStr">
        <is>
          <t>ท่าเรือแหลมฉบัง</t>
        </is>
      </c>
      <c r="E311" s="634" t="n">
        <v>7.1</v>
      </c>
      <c r="F311" s="631" t="inlineStr">
        <is>
          <t>Km</t>
        </is>
      </c>
      <c r="G311" s="631" t="inlineStr">
        <is>
          <t>รถเทรลเลอร์</t>
        </is>
      </c>
      <c r="H311" s="631" t="inlineStr">
        <is>
          <t>SYDNEY, AUSTRALIA</t>
        </is>
      </c>
      <c r="I311" s="636" t="n">
        <v>7448</v>
      </c>
      <c r="J311" s="635" t="inlineStr">
        <is>
          <t>Km</t>
        </is>
      </c>
      <c r="K311" s="637" t="n">
        <v>3800</v>
      </c>
      <c r="L311" s="642">
        <f>M311-K311</f>
        <v/>
      </c>
      <c r="M311" s="1799" t="n">
        <v>24502</v>
      </c>
      <c r="N311" s="1800" t="n">
        <v>16560</v>
      </c>
      <c r="O311" s="633" t="n">
        <v>0</v>
      </c>
      <c r="P311" s="643" t="n">
        <v>100</v>
      </c>
    </row>
    <row r="312" ht="15.75" customHeight="1">
      <c r="A312" s="625" t="inlineStr">
        <is>
          <t>FO23050038</t>
        </is>
      </c>
      <c r="B312" s="626" t="n">
        <v>45064</v>
      </c>
      <c r="C312" s="615" t="inlineStr">
        <is>
          <t>มัลติแบกซ์</t>
        </is>
      </c>
      <c r="D312" s="615" t="inlineStr">
        <is>
          <t>ท่าเรือแหลมฉบัง</t>
        </is>
      </c>
      <c r="E312" s="627" t="n">
        <v>6.2</v>
      </c>
      <c r="F312" s="625" t="inlineStr">
        <is>
          <t>Km</t>
        </is>
      </c>
      <c r="G312" s="625" t="inlineStr">
        <is>
          <t>รถเทรลเลอร์</t>
        </is>
      </c>
      <c r="H312" s="625" t="inlineStr">
        <is>
          <t>UK PORT</t>
        </is>
      </c>
      <c r="I312" s="629" t="n">
        <v>9687</v>
      </c>
      <c r="J312" s="628" t="inlineStr">
        <is>
          <t>Km</t>
        </is>
      </c>
      <c r="K312" s="630" t="n">
        <v>3640</v>
      </c>
      <c r="L312" s="640">
        <f>M312-K312</f>
        <v/>
      </c>
      <c r="M312" s="1797" t="n">
        <v>23427.4</v>
      </c>
      <c r="N312" s="1801" t="n">
        <v>18829.4</v>
      </c>
      <c r="O312" s="615" t="n">
        <v>0</v>
      </c>
      <c r="P312" s="641" t="n">
        <v>100</v>
      </c>
    </row>
    <row r="313" ht="15.75" customHeight="1">
      <c r="A313" s="631" t="inlineStr">
        <is>
          <t>FO23050039</t>
        </is>
      </c>
      <c r="B313" s="632" t="n">
        <v>45069</v>
      </c>
      <c r="C313" s="633" t="inlineStr">
        <is>
          <t>มัลติแบกซ์</t>
        </is>
      </c>
      <c r="D313" s="633" t="inlineStr">
        <is>
          <t>ท่าเรือแหลมฉบัง</t>
        </is>
      </c>
      <c r="E313" s="634" t="n">
        <v>11.9</v>
      </c>
      <c r="F313" s="631" t="inlineStr">
        <is>
          <t>Km</t>
        </is>
      </c>
      <c r="G313" s="631" t="inlineStr">
        <is>
          <t>รถเทรลเลอร์</t>
        </is>
      </c>
      <c r="H313" s="631" t="inlineStr">
        <is>
          <t>CHATTOGRAM, BANGLADESH</t>
        </is>
      </c>
      <c r="I313" s="636" t="n">
        <v>2686</v>
      </c>
      <c r="J313" s="635" t="inlineStr">
        <is>
          <t>Km</t>
        </is>
      </c>
      <c r="K313" s="637" t="n">
        <v>2180</v>
      </c>
      <c r="L313" s="642">
        <f>M313-K313</f>
        <v/>
      </c>
      <c r="M313" s="1799" t="n">
        <v>7822.5</v>
      </c>
      <c r="N313" s="1800" t="n">
        <v>4746.5</v>
      </c>
      <c r="O313" s="633" t="n">
        <v>0</v>
      </c>
      <c r="P313" s="643" t="n">
        <v>100</v>
      </c>
    </row>
    <row r="314" ht="15.75" customHeight="1">
      <c r="A314" s="625" t="inlineStr">
        <is>
          <t>FO23050040</t>
        </is>
      </c>
      <c r="B314" s="626" t="n">
        <v>45071</v>
      </c>
      <c r="C314" s="615" t="inlineStr">
        <is>
          <t>มัลติแบกซ์</t>
        </is>
      </c>
      <c r="D314" s="615" t="inlineStr">
        <is>
          <t>ท่าเรือแหลมฉบัง</t>
        </is>
      </c>
      <c r="E314" s="627" t="n">
        <v>5.3</v>
      </c>
      <c r="F314" s="625" t="inlineStr">
        <is>
          <t>Km</t>
        </is>
      </c>
      <c r="G314" s="625" t="inlineStr">
        <is>
          <t>รถเทรลเลอร์</t>
        </is>
      </c>
      <c r="H314" s="625" t="inlineStr">
        <is>
          <t>HONG KONG</t>
        </is>
      </c>
      <c r="I314" s="629" t="n">
        <v>1734</v>
      </c>
      <c r="J314" s="628" t="inlineStr">
        <is>
          <t>Km</t>
        </is>
      </c>
      <c r="K314" s="630" t="n">
        <v>3650</v>
      </c>
      <c r="L314" s="640">
        <f>M314-K314</f>
        <v/>
      </c>
      <c r="M314" s="1797" t="n">
        <v>16128.42</v>
      </c>
      <c r="N314" s="1801" t="n">
        <v>9520.34</v>
      </c>
      <c r="O314" s="615" t="n">
        <v>0</v>
      </c>
      <c r="P314" s="641" t="n">
        <v>100</v>
      </c>
    </row>
    <row r="315" ht="15.75" customHeight="1">
      <c r="A315" s="631" t="inlineStr">
        <is>
          <t>FO23050041</t>
        </is>
      </c>
      <c r="B315" s="632" t="n">
        <v>45072</v>
      </c>
      <c r="C315" s="633" t="inlineStr">
        <is>
          <t>มัลติแบกซ์</t>
        </is>
      </c>
      <c r="D315" s="633" t="inlineStr">
        <is>
          <t>ท่าเรือแหลมฉบัง</t>
        </is>
      </c>
      <c r="E315" s="634" t="n">
        <v>6.2</v>
      </c>
      <c r="F315" s="631" t="inlineStr">
        <is>
          <t>Km</t>
        </is>
      </c>
      <c r="G315" s="631" t="inlineStr">
        <is>
          <t>รถเทรลเลอร์</t>
        </is>
      </c>
      <c r="H315" s="631" t="inlineStr">
        <is>
          <t>UNIVERSITY PARK IL, USA</t>
        </is>
      </c>
      <c r="I315" s="636" t="n">
        <v>13877</v>
      </c>
      <c r="J315" s="635" t="inlineStr">
        <is>
          <t>Km</t>
        </is>
      </c>
      <c r="K315" s="637" t="n">
        <v>3840</v>
      </c>
      <c r="L315" s="642">
        <f>M315-K315</f>
        <v/>
      </c>
      <c r="M315" s="1799" t="n">
        <v>23439.5</v>
      </c>
      <c r="N315" s="1800" t="n">
        <v>15795</v>
      </c>
      <c r="O315" s="633" t="n">
        <v>0</v>
      </c>
      <c r="P315" s="643" t="n">
        <v>100</v>
      </c>
    </row>
    <row r="316" ht="15.75" customHeight="1">
      <c r="A316" s="625" t="inlineStr">
        <is>
          <t>FO23050042</t>
        </is>
      </c>
      <c r="B316" s="626" t="n">
        <v>45072</v>
      </c>
      <c r="C316" s="615" t="inlineStr">
        <is>
          <t>มัลติแบกซ์</t>
        </is>
      </c>
      <c r="D316" s="615" t="inlineStr">
        <is>
          <t>ท่าเรือแหลมฉบัง</t>
        </is>
      </c>
      <c r="E316" s="627" t="n">
        <v>7.1</v>
      </c>
      <c r="F316" s="625" t="inlineStr">
        <is>
          <t>Km</t>
        </is>
      </c>
      <c r="G316" s="625" t="inlineStr">
        <is>
          <t>รถเทรลเลอร์</t>
        </is>
      </c>
      <c r="H316" s="625" t="inlineStr">
        <is>
          <t>UNIVERSITY PARK IL, USA</t>
        </is>
      </c>
      <c r="I316" s="629" t="n">
        <v>13877</v>
      </c>
      <c r="J316" s="628" t="inlineStr">
        <is>
          <t>Km</t>
        </is>
      </c>
      <c r="K316" s="630" t="n">
        <v>3840</v>
      </c>
      <c r="L316" s="640">
        <f>M316-K316</f>
        <v/>
      </c>
      <c r="M316" s="1797" t="n">
        <v>14029.8</v>
      </c>
      <c r="N316" s="1801" t="n">
        <v>7660</v>
      </c>
      <c r="O316" s="615" t="n">
        <v>0</v>
      </c>
      <c r="P316" s="641" t="n">
        <v>100</v>
      </c>
    </row>
    <row r="317" ht="15.75" customHeight="1">
      <c r="A317" s="631" t="inlineStr">
        <is>
          <t>FO23050043</t>
        </is>
      </c>
      <c r="B317" s="632" t="n">
        <v>45069</v>
      </c>
      <c r="C317" s="633" t="inlineStr">
        <is>
          <t>มัลติแบกซ์</t>
        </is>
      </c>
      <c r="D317" s="633" t="inlineStr">
        <is>
          <t>ท่าเรือแหลมฉบัง</t>
        </is>
      </c>
      <c r="E317" s="634" t="n">
        <v>6.2</v>
      </c>
      <c r="F317" s="631" t="inlineStr">
        <is>
          <t>Km</t>
        </is>
      </c>
      <c r="G317" s="631" t="inlineStr">
        <is>
          <t>รถเทรลเลอร์</t>
        </is>
      </c>
      <c r="H317" s="631" t="inlineStr">
        <is>
          <t>APPLETON WI , USA</t>
        </is>
      </c>
      <c r="I317" s="636" t="n">
        <v>13558</v>
      </c>
      <c r="J317" s="635" t="inlineStr">
        <is>
          <t>Km</t>
        </is>
      </c>
      <c r="K317" s="637" t="n">
        <v>3300</v>
      </c>
      <c r="L317" s="642">
        <f>M317-K317</f>
        <v/>
      </c>
      <c r="M317" s="1799" t="n">
        <v>22371.6</v>
      </c>
      <c r="N317" s="1800" t="n">
        <v>15602.4</v>
      </c>
      <c r="O317" s="633" t="n">
        <v>0</v>
      </c>
      <c r="P317" s="643" t="n">
        <v>100</v>
      </c>
    </row>
    <row r="318" ht="15.75" customHeight="1">
      <c r="A318" s="625" t="inlineStr">
        <is>
          <t>FO23050044</t>
        </is>
      </c>
      <c r="B318" s="626" t="n">
        <v>45070</v>
      </c>
      <c r="C318" s="615" t="inlineStr">
        <is>
          <t>มัลติแบกซ์</t>
        </is>
      </c>
      <c r="D318" s="615" t="inlineStr">
        <is>
          <t>ท่าเรือแหลมฉบัง</t>
        </is>
      </c>
      <c r="E318" s="627" t="n">
        <v>6.2</v>
      </c>
      <c r="F318" s="625" t="inlineStr">
        <is>
          <t>Km</t>
        </is>
      </c>
      <c r="G318" s="625" t="inlineStr">
        <is>
          <t>รถเทรลเลอร์</t>
        </is>
      </c>
      <c r="H318" s="625" t="inlineStr">
        <is>
          <t>COLUMBUS OHIO, USA</t>
        </is>
      </c>
      <c r="I318" s="629" t="n">
        <v>14000</v>
      </c>
      <c r="J318" s="628" t="inlineStr">
        <is>
          <t>Km</t>
        </is>
      </c>
      <c r="K318" s="630" t="n">
        <v>3860</v>
      </c>
      <c r="L318" s="640">
        <f>M318-K318</f>
        <v/>
      </c>
      <c r="M318" s="1797" t="n">
        <v>21749.43</v>
      </c>
      <c r="N318" s="1801" t="n">
        <v>15414.09</v>
      </c>
      <c r="O318" s="615" t="n">
        <v>0</v>
      </c>
      <c r="P318" s="641" t="n">
        <v>100</v>
      </c>
    </row>
    <row r="319" ht="15.75" customHeight="1">
      <c r="A319" s="631" t="inlineStr">
        <is>
          <t>FO23050045</t>
        </is>
      </c>
      <c r="B319" s="632" t="n">
        <v>45071</v>
      </c>
      <c r="C319" s="633" t="inlineStr">
        <is>
          <t>มัลติแบกซ์</t>
        </is>
      </c>
      <c r="D319" s="633" t="inlineStr">
        <is>
          <t>ท่าเรือแหลมฉบัง</t>
        </is>
      </c>
      <c r="E319" s="634" t="n">
        <v>6.2</v>
      </c>
      <c r="F319" s="631" t="inlineStr">
        <is>
          <t>Km</t>
        </is>
      </c>
      <c r="G319" s="631" t="inlineStr">
        <is>
          <t>รถเทรลเลอร์</t>
        </is>
      </c>
      <c r="H319" s="631" t="inlineStr">
        <is>
          <t>APPLETON WI , USA</t>
        </is>
      </c>
      <c r="I319" s="636" t="n">
        <v>13558</v>
      </c>
      <c r="J319" s="635" t="inlineStr">
        <is>
          <t>Km</t>
        </is>
      </c>
      <c r="K319" s="637" t="n">
        <v>3850</v>
      </c>
      <c r="L319" s="642">
        <f>M319-K319</f>
        <v/>
      </c>
      <c r="M319" s="1799" t="n">
        <v>22921.6</v>
      </c>
      <c r="N319" s="1800" t="n">
        <v>15602.4</v>
      </c>
      <c r="O319" s="633" t="n">
        <v>0</v>
      </c>
      <c r="P319" s="643" t="n">
        <v>100</v>
      </c>
    </row>
    <row r="320" ht="15.75" customHeight="1">
      <c r="A320" s="625" t="inlineStr">
        <is>
          <t>FO23050046</t>
        </is>
      </c>
      <c r="B320" s="626" t="n">
        <v>45071</v>
      </c>
      <c r="C320" s="615" t="inlineStr">
        <is>
          <t>มัลติแบกซ์</t>
        </is>
      </c>
      <c r="D320" s="615" t="inlineStr">
        <is>
          <t>ท่าเรือแหลมฉบัง</t>
        </is>
      </c>
      <c r="E320" s="627" t="n">
        <v>6.2</v>
      </c>
      <c r="F320" s="625" t="inlineStr">
        <is>
          <t>Km</t>
        </is>
      </c>
      <c r="G320" s="625" t="inlineStr">
        <is>
          <t>รถเทรลเลอร์</t>
        </is>
      </c>
      <c r="H320" s="625" t="inlineStr">
        <is>
          <t>APPLETON WI , USA</t>
        </is>
      </c>
      <c r="I320" s="629" t="n">
        <v>13558</v>
      </c>
      <c r="J320" s="628" t="inlineStr">
        <is>
          <t>Km</t>
        </is>
      </c>
      <c r="K320" s="630" t="n">
        <v>3900</v>
      </c>
      <c r="L320" s="640">
        <f>M320-K320</f>
        <v/>
      </c>
      <c r="M320" s="1797" t="n">
        <v>18821.75</v>
      </c>
      <c r="N320" s="1801" t="n">
        <v>12519.75</v>
      </c>
      <c r="O320" s="615" t="n">
        <v>0</v>
      </c>
      <c r="P320" s="641" t="n">
        <v>100</v>
      </c>
    </row>
    <row r="321" ht="15.75" customHeight="1">
      <c r="A321" s="631" t="inlineStr">
        <is>
          <t>FO23050047</t>
        </is>
      </c>
      <c r="B321" s="632" t="n">
        <v>45069</v>
      </c>
      <c r="C321" s="633" t="inlineStr">
        <is>
          <t>มัลติแบกซ์</t>
        </is>
      </c>
      <c r="D321" s="633" t="inlineStr">
        <is>
          <t>ท่าเรือแหลมฉบัง</t>
        </is>
      </c>
      <c r="E321" s="634" t="n">
        <v>6.2</v>
      </c>
      <c r="F321" s="631" t="inlineStr">
        <is>
          <t>Km</t>
        </is>
      </c>
      <c r="G321" s="631" t="inlineStr">
        <is>
          <t>รถเทรลเลอร์</t>
        </is>
      </c>
      <c r="H321" s="631" t="inlineStr">
        <is>
          <t>PERRIS CA, USA</t>
        </is>
      </c>
      <c r="I321" s="636" t="n">
        <v>13413</v>
      </c>
      <c r="J321" s="635" t="inlineStr">
        <is>
          <t>Km</t>
        </is>
      </c>
      <c r="K321" s="637" t="n">
        <v>3890</v>
      </c>
      <c r="L321" s="642">
        <f>M321-K321</f>
        <v/>
      </c>
      <c r="M321" s="1799" t="n">
        <v>18729</v>
      </c>
      <c r="N321" s="1800" t="n">
        <v>12511.2</v>
      </c>
      <c r="O321" s="633" t="n">
        <v>0</v>
      </c>
      <c r="P321" s="643" t="n">
        <v>100</v>
      </c>
    </row>
    <row r="322" ht="15.75" customHeight="1">
      <c r="A322" s="625" t="inlineStr">
        <is>
          <t>FO23050048</t>
        </is>
      </c>
      <c r="B322" s="626" t="n">
        <v>45073</v>
      </c>
      <c r="C322" s="615" t="inlineStr">
        <is>
          <t>มัลติแบกซ์</t>
        </is>
      </c>
      <c r="D322" s="615" t="inlineStr">
        <is>
          <t>ท่าเรือแหลมฉบัง</t>
        </is>
      </c>
      <c r="E322" s="627" t="n">
        <v>7.1</v>
      </c>
      <c r="F322" s="625" t="inlineStr">
        <is>
          <t>Km</t>
        </is>
      </c>
      <c r="G322" s="625" t="inlineStr">
        <is>
          <t>รถเทรลเลอร์</t>
        </is>
      </c>
      <c r="H322" s="625" t="inlineStr">
        <is>
          <t>LOUISVILLE KY, USA</t>
        </is>
      </c>
      <c r="I322" s="629" t="n">
        <v>14253</v>
      </c>
      <c r="J322" s="628" t="inlineStr">
        <is>
          <t>Km</t>
        </is>
      </c>
      <c r="K322" s="630" t="n">
        <v>3900</v>
      </c>
      <c r="L322" s="640">
        <f>M322-K322</f>
        <v/>
      </c>
      <c r="M322" s="1797" t="n">
        <v>15043.27</v>
      </c>
      <c r="N322" s="1801" t="n">
        <v>8297.799999999999</v>
      </c>
      <c r="O322" s="615" t="n">
        <v>0</v>
      </c>
      <c r="P322" s="641" t="n">
        <v>100</v>
      </c>
    </row>
    <row r="323" ht="15.75" customHeight="1">
      <c r="A323" s="631" t="inlineStr">
        <is>
          <t>FO23050049</t>
        </is>
      </c>
      <c r="B323" s="632" t="n">
        <v>45071</v>
      </c>
      <c r="C323" s="633" t="inlineStr">
        <is>
          <t>มัลติแบกซ์</t>
        </is>
      </c>
      <c r="D323" s="633" t="inlineStr">
        <is>
          <t>ท่าเรือแหลมฉบัง</t>
        </is>
      </c>
      <c r="E323" s="634" t="n">
        <v>7.1</v>
      </c>
      <c r="F323" s="631" t="inlineStr">
        <is>
          <t>Km</t>
        </is>
      </c>
      <c r="G323" s="631" t="inlineStr">
        <is>
          <t>รถเทรลเลอร์</t>
        </is>
      </c>
      <c r="H323" s="631" t="inlineStr">
        <is>
          <t>MANILA, PHILIPPINES</t>
        </is>
      </c>
      <c r="I323" s="636" t="n">
        <v>2167</v>
      </c>
      <c r="J323" s="635" t="inlineStr">
        <is>
          <t>Km</t>
        </is>
      </c>
      <c r="K323" s="637" t="n">
        <v>2270</v>
      </c>
      <c r="L323" s="642">
        <f>M323-K323</f>
        <v/>
      </c>
      <c r="M323" s="1799" t="n">
        <v>6689.2</v>
      </c>
      <c r="N323" s="1800" t="n">
        <v>3305.6</v>
      </c>
      <c r="O323" s="633" t="n">
        <v>0</v>
      </c>
      <c r="P323" s="643" t="n">
        <v>100</v>
      </c>
    </row>
    <row r="324" ht="15.75" customHeight="1">
      <c r="A324" s="625" t="inlineStr">
        <is>
          <t>FO23050050</t>
        </is>
      </c>
      <c r="B324" s="626" t="n">
        <v>45076</v>
      </c>
      <c r="C324" s="615" t="inlineStr">
        <is>
          <t>มัลติแบกซ์</t>
        </is>
      </c>
      <c r="D324" s="615" t="inlineStr">
        <is>
          <t>ท่าเรือแหลมฉบัง</t>
        </is>
      </c>
      <c r="E324" s="627" t="n">
        <v>6.2</v>
      </c>
      <c r="F324" s="625" t="inlineStr">
        <is>
          <t>Km</t>
        </is>
      </c>
      <c r="G324" s="625" t="inlineStr">
        <is>
          <t>รถเทรลเลอร์</t>
        </is>
      </c>
      <c r="H324" s="625" t="inlineStr">
        <is>
          <t>AUCKLAND, NEW ZEALAND</t>
        </is>
      </c>
      <c r="I324" s="629" t="n">
        <v>9486</v>
      </c>
      <c r="J324" s="628" t="inlineStr">
        <is>
          <t>Km</t>
        </is>
      </c>
      <c r="K324" s="630" t="n">
        <v>3860</v>
      </c>
      <c r="L324" s="640">
        <f>M324-K324</f>
        <v/>
      </c>
      <c r="M324" s="1797" t="n">
        <v>27293.7</v>
      </c>
      <c r="N324" s="1801" t="n">
        <v>18985.5</v>
      </c>
      <c r="O324" s="615" t="n">
        <v>0</v>
      </c>
      <c r="P324" s="641" t="n">
        <v>100</v>
      </c>
    </row>
    <row r="325" ht="15.75" customHeight="1">
      <c r="A325" s="631" t="inlineStr">
        <is>
          <t>FO23050051</t>
        </is>
      </c>
      <c r="B325" s="632" t="n">
        <v>45073</v>
      </c>
      <c r="C325" s="633" t="inlineStr">
        <is>
          <t>มัลติแบกซ์</t>
        </is>
      </c>
      <c r="D325" s="633" t="inlineStr">
        <is>
          <t>ท่าเรือแหลมฉบัง</t>
        </is>
      </c>
      <c r="E325" s="634" t="n">
        <v>7.1</v>
      </c>
      <c r="F325" s="631" t="inlineStr">
        <is>
          <t>Km</t>
        </is>
      </c>
      <c r="G325" s="631" t="inlineStr">
        <is>
          <t>รถเทรลเลอร์</t>
        </is>
      </c>
      <c r="H325" s="631" t="inlineStr">
        <is>
          <t>JEBEL ALI, UAE</t>
        </is>
      </c>
      <c r="I325" s="636" t="n">
        <v>4972</v>
      </c>
      <c r="J325" s="635" t="inlineStr">
        <is>
          <t>Km</t>
        </is>
      </c>
      <c r="K325" s="637" t="n">
        <v>3850</v>
      </c>
      <c r="L325" s="642">
        <f>M325-K325</f>
        <v/>
      </c>
      <c r="M325" s="1799" t="n">
        <v>15275.39</v>
      </c>
      <c r="N325" s="1800" t="n">
        <v>8611.83</v>
      </c>
      <c r="O325" s="633" t="n">
        <v>0</v>
      </c>
      <c r="P325" s="643" t="n">
        <v>100</v>
      </c>
    </row>
    <row r="326" ht="15.75" customHeight="1">
      <c r="A326" s="625" t="inlineStr">
        <is>
          <t>FO23050052</t>
        </is>
      </c>
      <c r="B326" s="626" t="n">
        <v>45070</v>
      </c>
      <c r="C326" s="615" t="inlineStr">
        <is>
          <t>มัลติแบกซ์</t>
        </is>
      </c>
      <c r="D326" s="615" t="inlineStr">
        <is>
          <t>ท่าเรือแหลมฉบัง</t>
        </is>
      </c>
      <c r="E326" s="627" t="n">
        <v>7.1</v>
      </c>
      <c r="F326" s="625" t="inlineStr">
        <is>
          <t>Km</t>
        </is>
      </c>
      <c r="G326" s="625" t="inlineStr">
        <is>
          <t>รถเทรลเลอร์</t>
        </is>
      </c>
      <c r="H326" s="625" t="inlineStr">
        <is>
          <t>KLANG, MALAYSIA</t>
        </is>
      </c>
      <c r="I326" s="629" t="n">
        <v>1588</v>
      </c>
      <c r="J326" s="628" t="inlineStr">
        <is>
          <t>Km</t>
        </is>
      </c>
      <c r="K326" s="630" t="n">
        <v>2180</v>
      </c>
      <c r="L326" s="640">
        <f>M326-K326</f>
        <v/>
      </c>
      <c r="M326" s="1797" t="n">
        <v>6422.14</v>
      </c>
      <c r="N326" s="1801" t="n">
        <v>3092.48</v>
      </c>
      <c r="O326" s="615" t="n">
        <v>0</v>
      </c>
      <c r="P326" s="641" t="n">
        <v>100</v>
      </c>
    </row>
    <row r="327" ht="15.75" customHeight="1">
      <c r="A327" s="631" t="inlineStr">
        <is>
          <t>FO23050054</t>
        </is>
      </c>
      <c r="B327" s="632" t="n">
        <v>45075</v>
      </c>
      <c r="C327" s="633" t="inlineStr">
        <is>
          <t>มัลติแบกซ์</t>
        </is>
      </c>
      <c r="D327" s="633" t="inlineStr">
        <is>
          <t>ท่าเรือแหลมฉบัง</t>
        </is>
      </c>
      <c r="E327" s="634" t="n">
        <v>11.9</v>
      </c>
      <c r="F327" s="631" t="inlineStr">
        <is>
          <t>Km</t>
        </is>
      </c>
      <c r="G327" s="631" t="inlineStr">
        <is>
          <t>รถเทรลเลอร์</t>
        </is>
      </c>
      <c r="H327" s="631" t="inlineStr">
        <is>
          <t>CARROLLTON TX, USA</t>
        </is>
      </c>
      <c r="I327" s="636" t="n">
        <v>14544</v>
      </c>
      <c r="J327" s="635" t="inlineStr">
        <is>
          <t>Km</t>
        </is>
      </c>
      <c r="K327" s="637" t="n">
        <v>3700</v>
      </c>
      <c r="L327" s="642">
        <f>M327-K327</f>
        <v/>
      </c>
      <c r="M327" s="1799" t="n">
        <v>17990.25</v>
      </c>
      <c r="N327" s="1800" t="n">
        <v>11468.5</v>
      </c>
      <c r="O327" s="633" t="n">
        <v>0</v>
      </c>
      <c r="P327" s="643" t="n">
        <v>100</v>
      </c>
    </row>
    <row r="328" ht="15.75" customHeight="1">
      <c r="A328" s="625" t="inlineStr">
        <is>
          <t>FO23050055</t>
        </is>
      </c>
      <c r="B328" s="626" t="n">
        <v>45071</v>
      </c>
      <c r="C328" s="615" t="inlineStr">
        <is>
          <t>มัลติแบกซ์</t>
        </is>
      </c>
      <c r="D328" s="615" t="inlineStr">
        <is>
          <t>ท่าเรือแหลมฉบัง</t>
        </is>
      </c>
      <c r="E328" s="627" t="n">
        <v>7.1</v>
      </c>
      <c r="F328" s="625" t="inlineStr">
        <is>
          <t>Km</t>
        </is>
      </c>
      <c r="G328" s="625" t="inlineStr">
        <is>
          <t>รถเทรลเลอร์</t>
        </is>
      </c>
      <c r="H328" s="625" t="inlineStr">
        <is>
          <t>DURBAN, SOUTH AFRICA</t>
        </is>
      </c>
      <c r="I328" s="629" t="n">
        <v>8865</v>
      </c>
      <c r="J328" s="628" t="inlineStr">
        <is>
          <t>Km</t>
        </is>
      </c>
      <c r="K328" s="630" t="n">
        <v>2100</v>
      </c>
      <c r="L328" s="640">
        <f>M328-K328</f>
        <v/>
      </c>
      <c r="M328" s="1797" t="n">
        <v>6417</v>
      </c>
      <c r="N328" s="1801" t="n">
        <v>3115.5</v>
      </c>
      <c r="O328" s="615" t="n">
        <v>0</v>
      </c>
      <c r="P328" s="641" t="n">
        <v>100</v>
      </c>
    </row>
    <row r="329" ht="15.75" customHeight="1">
      <c r="A329" s="631" t="inlineStr">
        <is>
          <t>FO23050056</t>
        </is>
      </c>
      <c r="B329" s="632" t="n">
        <v>45070</v>
      </c>
      <c r="C329" s="633" t="inlineStr">
        <is>
          <t>มัลติแบกซ์</t>
        </is>
      </c>
      <c r="D329" s="633" t="inlineStr">
        <is>
          <t>ท่าเรือแหลมฉบัง</t>
        </is>
      </c>
      <c r="E329" s="634" t="n">
        <v>6</v>
      </c>
      <c r="F329" s="631" t="inlineStr">
        <is>
          <t>Km</t>
        </is>
      </c>
      <c r="G329" s="631" t="inlineStr">
        <is>
          <t>รถเทรลเลอร์</t>
        </is>
      </c>
      <c r="H329" s="631" t="inlineStr">
        <is>
          <t>DURBAN, SOUTH AFRICA</t>
        </is>
      </c>
      <c r="I329" s="629" t="n">
        <v>8865</v>
      </c>
      <c r="J329" s="635" t="inlineStr">
        <is>
          <t>Km</t>
        </is>
      </c>
      <c r="K329" s="637" t="n">
        <v>3620</v>
      </c>
      <c r="L329" s="642">
        <f>M329-K329</f>
        <v/>
      </c>
      <c r="M329" s="1799" t="n">
        <v>30120</v>
      </c>
      <c r="N329" s="1800" t="n">
        <v>23240.6</v>
      </c>
      <c r="O329" s="633" t="n">
        <v>0</v>
      </c>
      <c r="P329" s="643" t="n">
        <v>100</v>
      </c>
    </row>
    <row r="330" ht="15.75" customHeight="1">
      <c r="A330" s="625" t="inlineStr">
        <is>
          <t>FO23050057</t>
        </is>
      </c>
      <c r="B330" s="626" t="n">
        <v>45071</v>
      </c>
      <c r="C330" s="615" t="inlineStr">
        <is>
          <t>มัลติแบกซ์</t>
        </is>
      </c>
      <c r="D330" s="615" t="inlineStr">
        <is>
          <t>ท่าเรือแหลมฉบัง</t>
        </is>
      </c>
      <c r="E330" s="627" t="n">
        <v>4.9</v>
      </c>
      <c r="F330" s="625" t="inlineStr">
        <is>
          <t>Km</t>
        </is>
      </c>
      <c r="G330" s="625" t="inlineStr">
        <is>
          <t>รถเทรลเลอร์</t>
        </is>
      </c>
      <c r="H330" s="625" t="inlineStr">
        <is>
          <t>DURBAN, SOUTH AFRICA</t>
        </is>
      </c>
      <c r="I330" s="629" t="n">
        <v>8865</v>
      </c>
      <c r="J330" s="628" t="inlineStr">
        <is>
          <t>Km</t>
        </is>
      </c>
      <c r="K330" s="630" t="n">
        <v>2330</v>
      </c>
      <c r="L330" s="640">
        <f>M330-K330</f>
        <v/>
      </c>
      <c r="M330" s="1797" t="n">
        <v>14506</v>
      </c>
      <c r="N330" s="1801" t="n">
        <v>11410.5</v>
      </c>
      <c r="O330" s="615" t="n">
        <v>0</v>
      </c>
      <c r="P330" s="641" t="n">
        <v>100</v>
      </c>
    </row>
    <row r="331" ht="15.75" customHeight="1">
      <c r="A331" s="631" t="inlineStr">
        <is>
          <t>FO23050058</t>
        </is>
      </c>
      <c r="B331" s="632" t="n">
        <v>45075</v>
      </c>
      <c r="C331" s="633" t="inlineStr">
        <is>
          <t>มัลติแบกซ์</t>
        </is>
      </c>
      <c r="D331" s="633" t="inlineStr">
        <is>
          <t>ท่าเรือแหลมฉบัง</t>
        </is>
      </c>
      <c r="E331" s="634" t="n">
        <v>7.1</v>
      </c>
      <c r="F331" s="631" t="inlineStr">
        <is>
          <t>Km</t>
        </is>
      </c>
      <c r="G331" s="631" t="inlineStr">
        <is>
          <t>รถเทรลเลอร์</t>
        </is>
      </c>
      <c r="H331" s="631" t="inlineStr">
        <is>
          <t>SYDNEY, AUSTRALIA</t>
        </is>
      </c>
      <c r="I331" s="636" t="n">
        <v>7448</v>
      </c>
      <c r="J331" s="635" t="inlineStr">
        <is>
          <t>Km</t>
        </is>
      </c>
      <c r="K331" s="637" t="n">
        <v>3640</v>
      </c>
      <c r="L331" s="642">
        <f>M331-K331</f>
        <v/>
      </c>
      <c r="M331" s="1799" t="n">
        <v>27742</v>
      </c>
      <c r="N331" s="1800" t="n">
        <v>21253</v>
      </c>
      <c r="O331" s="633" t="n">
        <v>0</v>
      </c>
      <c r="P331" s="643" t="n">
        <v>100</v>
      </c>
    </row>
    <row r="332" ht="15.75" customHeight="1">
      <c r="A332" s="625" t="inlineStr">
        <is>
          <t>FO23050059</t>
        </is>
      </c>
      <c r="B332" s="626" t="n">
        <v>45167</v>
      </c>
      <c r="C332" s="615" t="inlineStr">
        <is>
          <t>มัลติแบกซ์</t>
        </is>
      </c>
      <c r="D332" s="615" t="inlineStr">
        <is>
          <t>ท่าเรือแหลมฉบัง</t>
        </is>
      </c>
      <c r="E332" s="627" t="n">
        <v>7.1</v>
      </c>
      <c r="F332" s="625" t="inlineStr">
        <is>
          <t>Km</t>
        </is>
      </c>
      <c r="G332" s="625" t="inlineStr">
        <is>
          <t>รถเทรลเลอร์</t>
        </is>
      </c>
      <c r="H332" s="625" t="inlineStr">
        <is>
          <t>SYDNEY, AUSTRALIA</t>
        </is>
      </c>
      <c r="I332" s="629" t="n">
        <v>7448</v>
      </c>
      <c r="J332" s="628" t="inlineStr">
        <is>
          <t>Km</t>
        </is>
      </c>
      <c r="K332" s="630" t="n">
        <v>3910</v>
      </c>
      <c r="L332" s="640">
        <f>M332-K332</f>
        <v/>
      </c>
      <c r="M332" s="1797" t="n">
        <v>15162</v>
      </c>
      <c r="N332" s="1801" t="n">
        <v>6411</v>
      </c>
      <c r="O332" s="615" t="n">
        <v>0</v>
      </c>
      <c r="P332" s="641" t="n">
        <v>100</v>
      </c>
    </row>
    <row r="333" ht="15.75" customHeight="1">
      <c r="A333" s="631" t="inlineStr">
        <is>
          <t>FO23050060</t>
        </is>
      </c>
      <c r="B333" s="632" t="n">
        <v>45075</v>
      </c>
      <c r="C333" s="633" t="inlineStr">
        <is>
          <t>มัลติแบกซ์</t>
        </is>
      </c>
      <c r="D333" s="633" t="inlineStr">
        <is>
          <t>ท่าเรือแหลมฉบัง</t>
        </is>
      </c>
      <c r="E333" s="634" t="n">
        <v>7.1</v>
      </c>
      <c r="F333" s="631" t="inlineStr">
        <is>
          <t>Km</t>
        </is>
      </c>
      <c r="G333" s="631" t="inlineStr">
        <is>
          <t>รถเทรลเลอร์</t>
        </is>
      </c>
      <c r="H333" s="631" t="inlineStr">
        <is>
          <t>SYDNEY, AUSTRALIA</t>
        </is>
      </c>
      <c r="I333" s="636" t="n">
        <v>7448</v>
      </c>
      <c r="J333" s="635" t="inlineStr">
        <is>
          <t>Km</t>
        </is>
      </c>
      <c r="K333" s="637" t="n">
        <v>3700</v>
      </c>
      <c r="L333" s="642">
        <f>M333-K333</f>
        <v/>
      </c>
      <c r="M333" s="1799" t="n">
        <v>21621</v>
      </c>
      <c r="N333" s="1800" t="n">
        <v>11998.9</v>
      </c>
      <c r="O333" s="633" t="n">
        <v>0</v>
      </c>
      <c r="P333" s="643" t="n">
        <v>100</v>
      </c>
    </row>
    <row r="334" ht="15.75" customHeight="1">
      <c r="A334" s="625" t="inlineStr">
        <is>
          <t>FO23050061</t>
        </is>
      </c>
      <c r="B334" s="626" t="n">
        <v>45071</v>
      </c>
      <c r="C334" s="615" t="inlineStr">
        <is>
          <t>มัลติแบกซ์</t>
        </is>
      </c>
      <c r="D334" s="615" t="inlineStr">
        <is>
          <t>ท่าเรือแหลมฉบัง</t>
        </is>
      </c>
      <c r="E334" s="627" t="n">
        <v>7.1</v>
      </c>
      <c r="F334" s="625" t="inlineStr">
        <is>
          <t>Km</t>
        </is>
      </c>
      <c r="G334" s="625" t="inlineStr">
        <is>
          <t>รถเทรลเลอร์</t>
        </is>
      </c>
      <c r="H334" s="625" t="inlineStr">
        <is>
          <t>SHUWAIKH, KUWAIT</t>
        </is>
      </c>
      <c r="I334" s="629" t="n">
        <v>5727</v>
      </c>
      <c r="J334" s="628" t="inlineStr">
        <is>
          <t>Km</t>
        </is>
      </c>
      <c r="K334" s="630" t="n">
        <v>2250</v>
      </c>
      <c r="L334" s="640">
        <f>M334-K334</f>
        <v/>
      </c>
      <c r="M334" s="1797" t="n">
        <v>9025.969999999999</v>
      </c>
      <c r="N334" s="1801" t="n">
        <v>5700.45</v>
      </c>
      <c r="O334" s="615" t="n">
        <v>0</v>
      </c>
      <c r="P334" s="641" t="n">
        <v>100</v>
      </c>
    </row>
    <row r="335" ht="15.75" customHeight="1">
      <c r="A335" s="631" t="inlineStr">
        <is>
          <t>FO23050062</t>
        </is>
      </c>
      <c r="B335" s="632" t="n">
        <v>45072</v>
      </c>
      <c r="C335" s="633" t="inlineStr">
        <is>
          <t>มัลติแบกซ์</t>
        </is>
      </c>
      <c r="D335" s="633" t="inlineStr">
        <is>
          <t>ท่าเรือแหลมฉบัง</t>
        </is>
      </c>
      <c r="E335" s="634" t="n">
        <v>7.1</v>
      </c>
      <c r="F335" s="631" t="inlineStr">
        <is>
          <t>Km</t>
        </is>
      </c>
      <c r="G335" s="631" t="inlineStr">
        <is>
          <t>รถเทรลเลอร์</t>
        </is>
      </c>
      <c r="H335" s="631" t="inlineStr">
        <is>
          <t>HAMAD, QATAR</t>
        </is>
      </c>
      <c r="I335" s="636" t="n">
        <v>5317</v>
      </c>
      <c r="J335" s="635" t="inlineStr">
        <is>
          <t>Km</t>
        </is>
      </c>
      <c r="K335" s="637" t="n">
        <v>2180</v>
      </c>
      <c r="L335" s="642">
        <f>M335-K335</f>
        <v/>
      </c>
      <c r="M335" s="1799" t="n">
        <v>8206.860000000001</v>
      </c>
      <c r="N335" s="1800" t="n">
        <v>4928.86</v>
      </c>
      <c r="O335" s="633" t="n">
        <v>0</v>
      </c>
      <c r="P335" s="643" t="n">
        <v>100</v>
      </c>
    </row>
    <row r="336" ht="15.75" customHeight="1">
      <c r="A336" s="625" t="inlineStr">
        <is>
          <t>FO23050063</t>
        </is>
      </c>
      <c r="B336" s="626" t="n">
        <v>45072</v>
      </c>
      <c r="C336" s="615" t="inlineStr">
        <is>
          <t>มัลติแบกซ์</t>
        </is>
      </c>
      <c r="D336" s="615" t="inlineStr">
        <is>
          <t>ท่าเรือแหลมฉบัง</t>
        </is>
      </c>
      <c r="E336" s="627" t="n">
        <v>7.1</v>
      </c>
      <c r="F336" s="625" t="inlineStr">
        <is>
          <t>Km</t>
        </is>
      </c>
      <c r="G336" s="625" t="inlineStr">
        <is>
          <t>รถเทรลเลอร์</t>
        </is>
      </c>
      <c r="H336" s="625" t="inlineStr">
        <is>
          <t>HAMAD, QATAR</t>
        </is>
      </c>
      <c r="I336" s="629" t="n">
        <v>5317</v>
      </c>
      <c r="J336" s="628" t="inlineStr">
        <is>
          <t>Km</t>
        </is>
      </c>
      <c r="K336" s="630" t="n">
        <v>3540</v>
      </c>
      <c r="L336" s="640">
        <f>M336-K336</f>
        <v/>
      </c>
      <c r="M336" s="1797" t="n">
        <v>18141.07</v>
      </c>
      <c r="N336" s="1801" t="n">
        <v>12256.15</v>
      </c>
      <c r="O336" s="615" t="n">
        <v>0</v>
      </c>
      <c r="P336" s="641" t="n">
        <v>100</v>
      </c>
    </row>
    <row r="337" ht="15.75" customHeight="1">
      <c r="A337" s="631" t="inlineStr">
        <is>
          <t>FO23050064</t>
        </is>
      </c>
      <c r="B337" s="632" t="n">
        <v>45073</v>
      </c>
      <c r="C337" s="633" t="inlineStr">
        <is>
          <t>มัลติแบกซ์</t>
        </is>
      </c>
      <c r="D337" s="633" t="inlineStr">
        <is>
          <t>ท่าเรือแหลมฉบัง</t>
        </is>
      </c>
      <c r="E337" s="634" t="n">
        <v>7.1</v>
      </c>
      <c r="F337" s="631" t="inlineStr">
        <is>
          <t>Km</t>
        </is>
      </c>
      <c r="G337" s="631" t="inlineStr">
        <is>
          <t>รถเทรลเลอร์</t>
        </is>
      </c>
      <c r="H337" s="631" t="inlineStr">
        <is>
          <t>AJMAN PORT, UAE</t>
        </is>
      </c>
      <c r="I337" s="636" t="n">
        <v>4929</v>
      </c>
      <c r="J337" s="635" t="inlineStr">
        <is>
          <t>Km</t>
        </is>
      </c>
      <c r="K337" s="637" t="n">
        <v>3540</v>
      </c>
      <c r="L337" s="642">
        <f>M337-K337</f>
        <v/>
      </c>
      <c r="M337" s="1799" t="n">
        <v>18978.84</v>
      </c>
      <c r="N337" s="1800" t="n">
        <v>13769.12</v>
      </c>
      <c r="O337" s="633" t="n">
        <v>0</v>
      </c>
      <c r="P337" s="643" t="n">
        <v>100</v>
      </c>
    </row>
    <row r="338" ht="15.75" customHeight="1">
      <c r="A338" s="625" t="inlineStr">
        <is>
          <t>FO23050065</t>
        </is>
      </c>
      <c r="B338" s="626" t="n">
        <v>45072</v>
      </c>
      <c r="C338" s="615" t="inlineStr">
        <is>
          <t>มัลติแบกซ์</t>
        </is>
      </c>
      <c r="D338" s="615" t="inlineStr">
        <is>
          <t>ท่าเรือแหลมฉบัง</t>
        </is>
      </c>
      <c r="E338" s="627" t="n">
        <v>7.1</v>
      </c>
      <c r="F338" s="625" t="inlineStr">
        <is>
          <t>Km</t>
        </is>
      </c>
      <c r="G338" s="625" t="inlineStr">
        <is>
          <t>รถเทรลเลอร์</t>
        </is>
      </c>
      <c r="H338" s="625" t="inlineStr">
        <is>
          <t>AJMAN PORT, UAE</t>
        </is>
      </c>
      <c r="I338" s="629" t="n">
        <v>4929</v>
      </c>
      <c r="J338" s="628" t="inlineStr">
        <is>
          <t>Km</t>
        </is>
      </c>
      <c r="K338" s="630" t="n">
        <v>3640</v>
      </c>
      <c r="L338" s="640">
        <f>M338-K338</f>
        <v/>
      </c>
      <c r="M338" s="1797" t="n">
        <v>16266.85</v>
      </c>
      <c r="N338" s="1801" t="n">
        <v>10335.25</v>
      </c>
      <c r="O338" s="615" t="n">
        <v>0</v>
      </c>
      <c r="P338" s="641" t="n">
        <v>100</v>
      </c>
    </row>
    <row r="339" ht="15.75" customHeight="1">
      <c r="A339" s="631" t="inlineStr">
        <is>
          <t>FO23050066</t>
        </is>
      </c>
      <c r="B339" s="632" t="n">
        <v>45071</v>
      </c>
      <c r="C339" s="633" t="inlineStr">
        <is>
          <t>มัลติแบกซ์</t>
        </is>
      </c>
      <c r="D339" s="633" t="inlineStr">
        <is>
          <t>ท่าเรือแหลมฉบัง</t>
        </is>
      </c>
      <c r="E339" s="634" t="n">
        <v>6</v>
      </c>
      <c r="F339" s="631" t="inlineStr">
        <is>
          <t>Km</t>
        </is>
      </c>
      <c r="G339" s="631" t="inlineStr">
        <is>
          <t>รถเทรลเลอร์</t>
        </is>
      </c>
      <c r="H339" s="631" t="inlineStr">
        <is>
          <t>SAN JUAN, PUERTO RICO</t>
        </is>
      </c>
      <c r="I339" s="636" t="n">
        <v>9292</v>
      </c>
      <c r="J339" s="635" t="inlineStr">
        <is>
          <t>Km</t>
        </is>
      </c>
      <c r="K339" s="637" t="n">
        <v>3700</v>
      </c>
      <c r="L339" s="642">
        <f>M339-K339</f>
        <v/>
      </c>
      <c r="M339" s="1799" t="n">
        <v>15118</v>
      </c>
      <c r="N339" s="1800" t="n">
        <v>7386</v>
      </c>
      <c r="O339" s="633" t="n">
        <v>0</v>
      </c>
      <c r="P339" s="643" t="n">
        <v>100</v>
      </c>
    </row>
    <row r="340" ht="15.75" customHeight="1">
      <c r="A340" s="625" t="inlineStr">
        <is>
          <t>FO23050067</t>
        </is>
      </c>
      <c r="B340" s="626" t="n">
        <v>45071</v>
      </c>
      <c r="C340" s="615" t="inlineStr">
        <is>
          <t>มัลติแบกซ์</t>
        </is>
      </c>
      <c r="D340" s="615" t="inlineStr">
        <is>
          <t>ท่าเรือแหลมฉบัง</t>
        </is>
      </c>
      <c r="E340" s="627" t="n">
        <v>6</v>
      </c>
      <c r="F340" s="625" t="inlineStr">
        <is>
          <t>Km</t>
        </is>
      </c>
      <c r="G340" s="625" t="inlineStr">
        <is>
          <t>รถเทรลเลอร์</t>
        </is>
      </c>
      <c r="H340" s="625" t="inlineStr">
        <is>
          <t>SAN JUAN, PUERTO RICO</t>
        </is>
      </c>
      <c r="I340" s="629" t="n">
        <v>9292</v>
      </c>
      <c r="J340" s="628" t="inlineStr">
        <is>
          <t>Km</t>
        </is>
      </c>
      <c r="K340" s="630" t="n">
        <v>3700</v>
      </c>
      <c r="L340" s="640">
        <f>M340-K340</f>
        <v/>
      </c>
      <c r="M340" s="1797" t="n">
        <v>15118</v>
      </c>
      <c r="N340" s="1801" t="n">
        <v>7386</v>
      </c>
      <c r="O340" s="615" t="n">
        <v>0</v>
      </c>
      <c r="P340" s="641" t="n">
        <v>100</v>
      </c>
    </row>
    <row r="341" ht="15.75" customHeight="1">
      <c r="A341" s="631" t="inlineStr">
        <is>
          <t>FO23050068</t>
        </is>
      </c>
      <c r="B341" s="632" t="n">
        <v>45076</v>
      </c>
      <c r="C341" s="633" t="inlineStr">
        <is>
          <t>มัลติแบกซ์</t>
        </is>
      </c>
      <c r="D341" s="633" t="inlineStr">
        <is>
          <t>ท่าเรือแหลมฉบัง</t>
        </is>
      </c>
      <c r="E341" s="634" t="n">
        <v>6.2</v>
      </c>
      <c r="F341" s="631" t="inlineStr">
        <is>
          <t>Km</t>
        </is>
      </c>
      <c r="G341" s="631" t="inlineStr">
        <is>
          <t>รถเทรลเลอร์</t>
        </is>
      </c>
      <c r="H341" s="631" t="inlineStr">
        <is>
          <t>SANTA TERESA, NM USA</t>
        </is>
      </c>
      <c r="I341" s="636" t="n">
        <v>17387</v>
      </c>
      <c r="J341" s="635" t="inlineStr">
        <is>
          <t>Km</t>
        </is>
      </c>
      <c r="K341" s="637" t="n">
        <v>3900</v>
      </c>
      <c r="L341" s="642">
        <f>M341-K341</f>
        <v/>
      </c>
      <c r="M341" s="1799" t="n">
        <v>21692.65</v>
      </c>
      <c r="N341" s="1800" t="n">
        <v>15577.53</v>
      </c>
      <c r="O341" s="633" t="n">
        <v>0</v>
      </c>
      <c r="P341" s="643" t="n">
        <v>100</v>
      </c>
    </row>
    <row r="342" ht="15.75" customHeight="1">
      <c r="A342" s="625" t="inlineStr">
        <is>
          <t>FO23050069</t>
        </is>
      </c>
      <c r="B342" s="626" t="n">
        <v>45076</v>
      </c>
      <c r="C342" s="615" t="inlineStr">
        <is>
          <t>มัลติแบกซ์</t>
        </is>
      </c>
      <c r="D342" s="615" t="inlineStr">
        <is>
          <t>ท่าเรือแหลมฉบัง</t>
        </is>
      </c>
      <c r="E342" s="627" t="n">
        <v>6.2</v>
      </c>
      <c r="F342" s="625" t="inlineStr">
        <is>
          <t>Km</t>
        </is>
      </c>
      <c r="G342" s="625" t="inlineStr">
        <is>
          <t>รถเทรลเลอร์</t>
        </is>
      </c>
      <c r="H342" s="625" t="inlineStr">
        <is>
          <t>SANTA TERESA, NM USA</t>
        </is>
      </c>
      <c r="I342" s="629" t="n">
        <v>17387</v>
      </c>
      <c r="J342" s="628" t="inlineStr">
        <is>
          <t>Km</t>
        </is>
      </c>
      <c r="K342" s="630" t="n">
        <v>3870</v>
      </c>
      <c r="L342" s="640">
        <f>M342-K342</f>
        <v/>
      </c>
      <c r="M342" s="1797" t="n">
        <v>21924.47</v>
      </c>
      <c r="N342" s="1802" t="n">
        <v>15372.93</v>
      </c>
      <c r="O342" s="615" t="n">
        <v>0</v>
      </c>
      <c r="P342" s="641" t="n">
        <v>100</v>
      </c>
    </row>
    <row r="343" ht="15.75" customHeight="1">
      <c r="A343" s="631" t="inlineStr">
        <is>
          <t>FO23050070</t>
        </is>
      </c>
      <c r="B343" s="632" t="n">
        <v>45077</v>
      </c>
      <c r="C343" s="633" t="inlineStr">
        <is>
          <t>มัลติแบกซ์</t>
        </is>
      </c>
      <c r="D343" s="633" t="inlineStr">
        <is>
          <t>ท่าเรือแหลมฉบัง</t>
        </is>
      </c>
      <c r="E343" s="634" t="n">
        <v>6.2</v>
      </c>
      <c r="F343" s="631" t="inlineStr">
        <is>
          <t>Km</t>
        </is>
      </c>
      <c r="G343" s="631" t="inlineStr">
        <is>
          <t>รถเทรลเลอร์</t>
        </is>
      </c>
      <c r="H343" s="631" t="inlineStr">
        <is>
          <t>GUANGZHOU, CHINA</t>
        </is>
      </c>
      <c r="I343" s="636" t="n">
        <v>2597</v>
      </c>
      <c r="J343" s="635" t="inlineStr">
        <is>
          <t>Km</t>
        </is>
      </c>
      <c r="K343" s="637" t="n">
        <v>2100</v>
      </c>
      <c r="L343" s="642">
        <f>M343-K343</f>
        <v/>
      </c>
      <c r="M343" s="1799" t="n">
        <v>5654.1</v>
      </c>
      <c r="N343" s="1803" t="n">
        <v>2424</v>
      </c>
      <c r="O343" s="633" t="n">
        <v>0</v>
      </c>
      <c r="P343" s="643" t="n">
        <v>100</v>
      </c>
    </row>
    <row r="344" ht="15.75" customHeight="1">
      <c r="A344" s="625" t="inlineStr">
        <is>
          <t>FO23050071</t>
        </is>
      </c>
      <c r="B344" s="626" t="n">
        <v>45077</v>
      </c>
      <c r="C344" s="615" t="inlineStr">
        <is>
          <t>มัลติแบกซ์</t>
        </is>
      </c>
      <c r="D344" s="615" t="inlineStr">
        <is>
          <t>ท่าเรือแหลมฉบัง</t>
        </is>
      </c>
      <c r="E344" s="627" t="n">
        <v>6.2</v>
      </c>
      <c r="F344" s="625" t="inlineStr">
        <is>
          <t>Km</t>
        </is>
      </c>
      <c r="G344" s="625" t="inlineStr">
        <is>
          <t>รถเทรลเลอร์</t>
        </is>
      </c>
      <c r="H344" s="625" t="inlineStr">
        <is>
          <t>COLUMBUS OHIO, USA</t>
        </is>
      </c>
      <c r="I344" s="629" t="n">
        <v>14000</v>
      </c>
      <c r="J344" s="628" t="inlineStr">
        <is>
          <t>Km</t>
        </is>
      </c>
      <c r="K344" s="630" t="n">
        <v>3700</v>
      </c>
      <c r="L344" s="640">
        <f>M344-K344</f>
        <v/>
      </c>
      <c r="M344" s="1797" t="n">
        <v>23235.23</v>
      </c>
      <c r="N344" s="1802" t="n">
        <v>16760.77</v>
      </c>
      <c r="O344" s="615" t="n">
        <v>0</v>
      </c>
      <c r="P344" s="641" t="n">
        <v>100</v>
      </c>
    </row>
    <row r="345" ht="15.75" customHeight="1">
      <c r="A345" s="631" t="inlineStr">
        <is>
          <t>FO23050072</t>
        </is>
      </c>
      <c r="B345" s="632" t="n">
        <v>45075</v>
      </c>
      <c r="C345" s="633" t="inlineStr">
        <is>
          <t>มัลติแบกซ์</t>
        </is>
      </c>
      <c r="D345" s="633" t="inlineStr">
        <is>
          <t>ท่าเรือแหลมฉบัง</t>
        </is>
      </c>
      <c r="E345" s="634" t="n">
        <v>11.9</v>
      </c>
      <c r="F345" s="631" t="inlineStr">
        <is>
          <t>Km</t>
        </is>
      </c>
      <c r="G345" s="631" t="inlineStr">
        <is>
          <t>รถเทรลเลอร์</t>
        </is>
      </c>
      <c r="H345" s="631" t="inlineStr">
        <is>
          <t>CARROLLTON TX, USA</t>
        </is>
      </c>
      <c r="I345" s="636" t="n">
        <v>14544</v>
      </c>
      <c r="J345" s="635" t="inlineStr">
        <is>
          <t>Km</t>
        </is>
      </c>
      <c r="K345" s="637" t="n">
        <v>3900</v>
      </c>
      <c r="L345" s="642">
        <f>M345-K345</f>
        <v/>
      </c>
      <c r="M345" s="1799" t="n">
        <v>17364.5</v>
      </c>
      <c r="N345" s="1800" t="n">
        <v>11047.5</v>
      </c>
      <c r="O345" s="633" t="n">
        <v>0</v>
      </c>
      <c r="P345" s="643" t="n">
        <v>100</v>
      </c>
    </row>
    <row r="346" ht="15.75" customHeight="1">
      <c r="A346" s="625" t="inlineStr">
        <is>
          <t>FO23050073</t>
        </is>
      </c>
      <c r="B346" s="626" t="n">
        <v>45077</v>
      </c>
      <c r="C346" s="615" t="inlineStr">
        <is>
          <t>มัลติแบกซ์</t>
        </is>
      </c>
      <c r="D346" s="615" t="inlineStr">
        <is>
          <t>ท่าเรือแหลมฉบัง</t>
        </is>
      </c>
      <c r="E346" s="627" t="n">
        <v>6.2</v>
      </c>
      <c r="F346" s="625" t="inlineStr">
        <is>
          <t>Km</t>
        </is>
      </c>
      <c r="G346" s="625" t="inlineStr">
        <is>
          <t>รถเทรลเลอร์</t>
        </is>
      </c>
      <c r="H346" s="625" t="inlineStr">
        <is>
          <t>APPLETON WI , USA</t>
        </is>
      </c>
      <c r="I346" s="629" t="n">
        <v>13558</v>
      </c>
      <c r="J346" s="628" t="inlineStr">
        <is>
          <t>Km</t>
        </is>
      </c>
      <c r="K346" s="630" t="n">
        <v>3890</v>
      </c>
      <c r="L346" s="640">
        <f>M346-K346</f>
        <v/>
      </c>
      <c r="M346" s="1797" t="n">
        <v>17925.5</v>
      </c>
      <c r="N346" s="1802" t="n">
        <v>10580.5</v>
      </c>
      <c r="O346" s="615" t="n">
        <v>0</v>
      </c>
      <c r="P346" s="641" t="n">
        <v>100</v>
      </c>
    </row>
    <row r="347" ht="15.75" customHeight="1">
      <c r="A347" s="631" t="inlineStr">
        <is>
          <t>FO23050074</t>
        </is>
      </c>
      <c r="B347" s="632" t="n">
        <v>45077</v>
      </c>
      <c r="C347" s="633" t="inlineStr">
        <is>
          <t>มัลติแบกซ์</t>
        </is>
      </c>
      <c r="D347" s="633" t="inlineStr">
        <is>
          <t>ท่าเรือแหลมฉบัง</t>
        </is>
      </c>
      <c r="E347" s="634" t="n">
        <v>6.2</v>
      </c>
      <c r="F347" s="631" t="inlineStr">
        <is>
          <t>Km</t>
        </is>
      </c>
      <c r="G347" s="631" t="inlineStr">
        <is>
          <t>รถเทรลเลอร์</t>
        </is>
      </c>
      <c r="H347" s="631" t="inlineStr">
        <is>
          <t>SOUTH BOSTON VA, USA</t>
        </is>
      </c>
      <c r="I347" s="636" t="n">
        <v>13787</v>
      </c>
      <c r="J347" s="635" t="inlineStr">
        <is>
          <t>Km</t>
        </is>
      </c>
      <c r="K347" s="637" t="n">
        <v>3840</v>
      </c>
      <c r="L347" s="642">
        <f>M347-K347</f>
        <v/>
      </c>
      <c r="M347" s="1799" t="n">
        <v>22911.6</v>
      </c>
      <c r="N347" s="1803" t="n">
        <v>15602.4</v>
      </c>
      <c r="O347" s="633" t="n">
        <v>0</v>
      </c>
      <c r="P347" s="643" t="n">
        <v>100</v>
      </c>
    </row>
    <row r="348" ht="15.75" customHeight="1">
      <c r="A348" s="625" t="inlineStr">
        <is>
          <t>FO23060001</t>
        </is>
      </c>
      <c r="B348" s="626" t="n">
        <v>45083</v>
      </c>
      <c r="C348" s="615" t="inlineStr">
        <is>
          <t>มัลติแบกซ์</t>
        </is>
      </c>
      <c r="D348" s="615" t="inlineStr">
        <is>
          <t>ท่าเรือแหลมฉบัง</t>
        </is>
      </c>
      <c r="E348" s="627" t="n">
        <v>7.1</v>
      </c>
      <c r="F348" s="625" t="inlineStr">
        <is>
          <t>Km</t>
        </is>
      </c>
      <c r="G348" s="625" t="inlineStr">
        <is>
          <t>รถเทรลเลอร์</t>
        </is>
      </c>
      <c r="H348" s="625" t="inlineStr">
        <is>
          <t>SYDNEY, AUSTRALIA</t>
        </is>
      </c>
      <c r="I348" s="629" t="n">
        <v>7448</v>
      </c>
      <c r="J348" s="628" t="inlineStr">
        <is>
          <t>Km</t>
        </is>
      </c>
      <c r="K348" s="630" t="n">
        <v>3800</v>
      </c>
      <c r="L348" s="640">
        <f>M348-K348</f>
        <v/>
      </c>
      <c r="M348" s="1797" t="n">
        <v>23177</v>
      </c>
      <c r="N348" s="1801" t="n">
        <v>10732</v>
      </c>
      <c r="O348" s="615" t="n">
        <v>0</v>
      </c>
      <c r="P348" s="641" t="n">
        <v>100</v>
      </c>
    </row>
    <row r="349" ht="15.75" customHeight="1">
      <c r="A349" s="631" t="inlineStr">
        <is>
          <t>FO23060002</t>
        </is>
      </c>
      <c r="B349" s="632" t="n">
        <v>45083</v>
      </c>
      <c r="C349" s="633" t="inlineStr">
        <is>
          <t>มัลติแบกซ์</t>
        </is>
      </c>
      <c r="D349" s="633" t="inlineStr">
        <is>
          <t>ท่าเรือแหลมฉบัง</t>
        </is>
      </c>
      <c r="E349" s="634" t="n">
        <v>7.1</v>
      </c>
      <c r="F349" s="631" t="inlineStr">
        <is>
          <t>Km</t>
        </is>
      </c>
      <c r="G349" s="631" t="inlineStr">
        <is>
          <t>รถเทรลเลอร์</t>
        </is>
      </c>
      <c r="H349" s="631" t="inlineStr">
        <is>
          <t>MELBOURNE, AUSTRALIA</t>
        </is>
      </c>
      <c r="I349" s="636" t="n">
        <v>7283</v>
      </c>
      <c r="J349" s="635" t="inlineStr">
        <is>
          <t>Km</t>
        </is>
      </c>
      <c r="K349" s="637" t="n">
        <v>3780</v>
      </c>
      <c r="L349" s="642">
        <f>M349-K349</f>
        <v/>
      </c>
      <c r="M349" s="1799" t="n">
        <v>27842</v>
      </c>
      <c r="N349" s="1800" t="n">
        <v>20143</v>
      </c>
      <c r="O349" s="633" t="n">
        <v>0</v>
      </c>
      <c r="P349" s="643" t="n">
        <v>100</v>
      </c>
    </row>
    <row r="350" ht="15.75" customHeight="1">
      <c r="A350" s="625" t="inlineStr">
        <is>
          <t>FO23060003</t>
        </is>
      </c>
      <c r="B350" s="626" t="n">
        <v>45084</v>
      </c>
      <c r="C350" s="615" t="inlineStr">
        <is>
          <t>มัลติแบกซ์</t>
        </is>
      </c>
      <c r="D350" s="615" t="inlineStr">
        <is>
          <t>ท่าเรือแหลมฉบัง</t>
        </is>
      </c>
      <c r="E350" s="627" t="n">
        <v>7.1</v>
      </c>
      <c r="F350" s="625" t="inlineStr">
        <is>
          <t>Km</t>
        </is>
      </c>
      <c r="G350" s="625" t="inlineStr">
        <is>
          <t>รถเทรลเลอร์</t>
        </is>
      </c>
      <c r="H350" s="625" t="inlineStr">
        <is>
          <t>MELBOURNE, AUSTRALIA</t>
        </is>
      </c>
      <c r="I350" s="629" t="n">
        <v>7283</v>
      </c>
      <c r="J350" s="628" t="inlineStr">
        <is>
          <t>Km</t>
        </is>
      </c>
      <c r="K350" s="630" t="n">
        <v>3590</v>
      </c>
      <c r="L350" s="640">
        <f>M350-K350</f>
        <v/>
      </c>
      <c r="M350" s="1797" t="n">
        <v>27717</v>
      </c>
      <c r="N350" s="1801" t="n">
        <v>17495</v>
      </c>
      <c r="O350" s="615" t="n">
        <v>0</v>
      </c>
      <c r="P350" s="641" t="n">
        <v>100</v>
      </c>
    </row>
    <row r="351" ht="15.75" customHeight="1">
      <c r="A351" s="631" t="inlineStr">
        <is>
          <t>FO23060004</t>
        </is>
      </c>
      <c r="B351" s="632" t="n">
        <v>45083</v>
      </c>
      <c r="C351" s="633" t="inlineStr">
        <is>
          <t>มัลติแบกซ์</t>
        </is>
      </c>
      <c r="D351" s="633" t="inlineStr">
        <is>
          <t>ท่าเรือแหลมฉบัง</t>
        </is>
      </c>
      <c r="E351" s="634" t="n">
        <v>7.1</v>
      </c>
      <c r="F351" s="631" t="inlineStr">
        <is>
          <t>Km</t>
        </is>
      </c>
      <c r="G351" s="631" t="inlineStr">
        <is>
          <t>รถเทรลเลอร์</t>
        </is>
      </c>
      <c r="H351" s="631" t="inlineStr">
        <is>
          <t>MELBOURNE, AUSTRALIA</t>
        </is>
      </c>
      <c r="I351" s="636" t="n">
        <v>7283</v>
      </c>
      <c r="J351" s="635" t="inlineStr">
        <is>
          <t>Km</t>
        </is>
      </c>
      <c r="K351" s="637" t="n">
        <v>3640</v>
      </c>
      <c r="L351" s="642">
        <f>M351-K351</f>
        <v/>
      </c>
      <c r="M351" s="1799" t="n">
        <v>27692</v>
      </c>
      <c r="N351" s="1800" t="n">
        <v>21079</v>
      </c>
      <c r="O351" s="633" t="n">
        <v>0</v>
      </c>
      <c r="P351" s="643" t="n">
        <v>100</v>
      </c>
    </row>
    <row r="352" ht="15.75" customHeight="1">
      <c r="A352" s="625" t="inlineStr">
        <is>
          <t>FO23060005</t>
        </is>
      </c>
      <c r="B352" s="626" t="n">
        <v>45079</v>
      </c>
      <c r="C352" s="615" t="inlineStr">
        <is>
          <t>มัลติแบกซ์</t>
        </is>
      </c>
      <c r="D352" s="615" t="inlineStr">
        <is>
          <t>ท่าเรือแหลมฉบัง</t>
        </is>
      </c>
      <c r="E352" s="627" t="n">
        <v>6.5</v>
      </c>
      <c r="F352" s="615" t="inlineStr">
        <is>
          <t>Km</t>
        </is>
      </c>
      <c r="G352" s="615" t="inlineStr">
        <is>
          <t>รถเทรลเลอร์</t>
        </is>
      </c>
      <c r="H352" s="625" t="inlineStr">
        <is>
          <t>SOUTH BOSTON VA, USA</t>
        </is>
      </c>
      <c r="I352" s="629" t="n">
        <v>13787</v>
      </c>
      <c r="J352" s="651" t="inlineStr">
        <is>
          <t>Km</t>
        </is>
      </c>
      <c r="K352" s="630" t="n">
        <v>4100</v>
      </c>
      <c r="L352" s="640">
        <f>M352-K352</f>
        <v/>
      </c>
      <c r="M352" s="1797" t="n">
        <v>20898.5</v>
      </c>
      <c r="N352" s="1801" t="n">
        <v>13230</v>
      </c>
      <c r="O352" s="615" t="n">
        <v>0</v>
      </c>
      <c r="P352" s="641" t="n">
        <v>100</v>
      </c>
    </row>
    <row r="353" ht="15.75" customHeight="1">
      <c r="A353" s="617" t="inlineStr">
        <is>
          <t>FO23060006</t>
        </is>
      </c>
      <c r="B353" s="632" t="n">
        <v>45089</v>
      </c>
      <c r="C353" s="617" t="inlineStr">
        <is>
          <t>มัลติแบกซ์</t>
        </is>
      </c>
      <c r="D353" s="617" t="inlineStr">
        <is>
          <t>ท่าเรือแหลมฉบัง</t>
        </is>
      </c>
      <c r="E353" s="619" t="n">
        <v>7.1</v>
      </c>
      <c r="F353" s="617" t="inlineStr">
        <is>
          <t>Km</t>
        </is>
      </c>
      <c r="G353" s="617" t="inlineStr">
        <is>
          <t>รถเทรลเลอร์</t>
        </is>
      </c>
      <c r="H353" s="631" t="inlineStr">
        <is>
          <t>SINGAPORE</t>
        </is>
      </c>
      <c r="I353" s="636" t="n">
        <v>1931</v>
      </c>
      <c r="J353" s="622" t="inlineStr">
        <is>
          <t>Km</t>
        </is>
      </c>
      <c r="K353" s="623" t="n">
        <v>3132.45</v>
      </c>
      <c r="L353" s="644" t="n">
        <v>2333.8</v>
      </c>
      <c r="M353" s="1795" t="n">
        <v>4466.25</v>
      </c>
      <c r="N353" s="1800" t="n">
        <v>3132.45</v>
      </c>
      <c r="O353" s="633" t="n">
        <v>0</v>
      </c>
      <c r="P353" s="643" t="n">
        <v>100</v>
      </c>
    </row>
    <row r="354" ht="15.75" customHeight="1">
      <c r="A354" s="625" t="inlineStr">
        <is>
          <t>FO23060007</t>
        </is>
      </c>
      <c r="B354" s="626" t="n">
        <v>45086</v>
      </c>
      <c r="C354" s="615" t="inlineStr">
        <is>
          <t>มัลติแบกซ์</t>
        </is>
      </c>
      <c r="D354" s="615" t="inlineStr">
        <is>
          <t>ท่าเรือแหลมฉบัง</t>
        </is>
      </c>
      <c r="E354" s="627" t="n">
        <v>7.1</v>
      </c>
      <c r="F354" s="625" t="inlineStr">
        <is>
          <t>Km</t>
        </is>
      </c>
      <c r="G354" s="625" t="inlineStr">
        <is>
          <t>รถเทรลเลอร์</t>
        </is>
      </c>
      <c r="H354" s="625" t="inlineStr">
        <is>
          <t>AJMAN PORT, UAE</t>
        </is>
      </c>
      <c r="I354" s="629" t="n">
        <v>4929</v>
      </c>
      <c r="J354" s="628" t="inlineStr">
        <is>
          <t>Km</t>
        </is>
      </c>
      <c r="K354" s="630" t="n">
        <v>2220</v>
      </c>
      <c r="L354" s="640">
        <f>M354-K354</f>
        <v/>
      </c>
      <c r="M354" s="1797" t="n">
        <v>8673.5</v>
      </c>
      <c r="N354" s="1801" t="n">
        <v>5315.02</v>
      </c>
      <c r="O354" s="615" t="n">
        <v>0</v>
      </c>
      <c r="P354" s="641" t="n">
        <v>100</v>
      </c>
    </row>
    <row r="355" ht="15.75" customHeight="1">
      <c r="A355" s="631" t="inlineStr">
        <is>
          <t>FO23060008</t>
        </is>
      </c>
      <c r="B355" s="632" t="n">
        <v>45083</v>
      </c>
      <c r="C355" s="633" t="inlineStr">
        <is>
          <t>มัลติแบกซ์</t>
        </is>
      </c>
      <c r="D355" s="633" t="inlineStr">
        <is>
          <t>ท่าเรือแหลมฉบัง</t>
        </is>
      </c>
      <c r="E355" s="634" t="n">
        <v>7.1</v>
      </c>
      <c r="F355" s="631" t="inlineStr">
        <is>
          <t>Km</t>
        </is>
      </c>
      <c r="G355" s="631" t="inlineStr">
        <is>
          <t>รถเทรลเลอร์</t>
        </is>
      </c>
      <c r="H355" s="631" t="inlineStr">
        <is>
          <t>NINGBO, CHINA</t>
        </is>
      </c>
      <c r="I355" s="636" t="n">
        <v>3824</v>
      </c>
      <c r="J355" s="635" t="inlineStr">
        <is>
          <t>Km</t>
        </is>
      </c>
      <c r="K355" s="637" t="n">
        <v>3700</v>
      </c>
      <c r="L355" s="642">
        <f>M355-K355</f>
        <v/>
      </c>
      <c r="M355" s="1799" t="n">
        <v>14753.91</v>
      </c>
      <c r="N355" s="1800" t="n">
        <v>8259.84</v>
      </c>
      <c r="O355" s="633" t="n">
        <v>0</v>
      </c>
      <c r="P355" s="643" t="n">
        <v>100</v>
      </c>
    </row>
    <row r="356" ht="15.75" customHeight="1">
      <c r="A356" s="625" t="inlineStr">
        <is>
          <t>FO23060009</t>
        </is>
      </c>
      <c r="B356" s="626" t="n">
        <v>45079</v>
      </c>
      <c r="C356" s="615" t="inlineStr">
        <is>
          <t>มัลติแบกซ์</t>
        </is>
      </c>
      <c r="D356" s="615" t="inlineStr">
        <is>
          <t>ท่าเรือแหลมฉบัง</t>
        </is>
      </c>
      <c r="E356" s="627" t="n">
        <v>7.1</v>
      </c>
      <c r="F356" s="625" t="inlineStr">
        <is>
          <t>Km</t>
        </is>
      </c>
      <c r="G356" s="625" t="inlineStr">
        <is>
          <t>รถเทรลเลอร์</t>
        </is>
      </c>
      <c r="H356" s="625" t="inlineStr">
        <is>
          <t>UK PORT</t>
        </is>
      </c>
      <c r="I356" s="629" t="n">
        <v>9687</v>
      </c>
      <c r="J356" s="628" t="inlineStr">
        <is>
          <t>Km</t>
        </is>
      </c>
      <c r="K356" s="630" t="n">
        <v>3570</v>
      </c>
      <c r="L356" s="640">
        <f>M356-K356</f>
        <v/>
      </c>
      <c r="M356" s="1797" t="n">
        <v>23158.1</v>
      </c>
      <c r="N356" s="1801" t="n">
        <v>18254.7</v>
      </c>
      <c r="O356" s="615" t="n">
        <v>0</v>
      </c>
      <c r="P356" s="641" t="n">
        <v>100</v>
      </c>
    </row>
    <row r="357" ht="15.75" customHeight="1">
      <c r="A357" s="631" t="inlineStr">
        <is>
          <t>FO23060010</t>
        </is>
      </c>
      <c r="B357" s="632" t="n">
        <v>45083</v>
      </c>
      <c r="C357" s="633" t="inlineStr">
        <is>
          <t>มัลติแบกซ์</t>
        </is>
      </c>
      <c r="D357" s="633" t="inlineStr">
        <is>
          <t>ท่าเรือแหลมฉบัง</t>
        </is>
      </c>
      <c r="E357" s="634" t="n">
        <v>11.9</v>
      </c>
      <c r="F357" s="631" t="inlineStr">
        <is>
          <t>Km</t>
        </is>
      </c>
      <c r="G357" s="631" t="inlineStr">
        <is>
          <t>รถเทรลเลอร์</t>
        </is>
      </c>
      <c r="H357" s="631" t="inlineStr">
        <is>
          <t>APPLETON WI , USA</t>
        </is>
      </c>
      <c r="I357" s="636" t="n">
        <v>13558</v>
      </c>
      <c r="J357" s="635" t="inlineStr">
        <is>
          <t>Km</t>
        </is>
      </c>
      <c r="K357" s="637" t="n">
        <v>3800</v>
      </c>
      <c r="L357" s="642">
        <f>M357-K357</f>
        <v/>
      </c>
      <c r="M357" s="1799" t="n">
        <v>13402</v>
      </c>
      <c r="N357" s="1800" t="n">
        <v>5376</v>
      </c>
      <c r="O357" s="633" t="n">
        <v>0</v>
      </c>
      <c r="P357" s="643" t="n">
        <v>100</v>
      </c>
    </row>
    <row r="358" ht="15.75" customHeight="1">
      <c r="A358" s="625" t="inlineStr">
        <is>
          <t>FO23060011</t>
        </is>
      </c>
      <c r="B358" s="626" t="n">
        <v>45083</v>
      </c>
      <c r="C358" s="615" t="inlineStr">
        <is>
          <t>มัลติแบกซ์</t>
        </is>
      </c>
      <c r="D358" s="615" t="inlineStr">
        <is>
          <t>ท่าเรือแหลมฉบัง</t>
        </is>
      </c>
      <c r="E358" s="627" t="n">
        <v>6.2</v>
      </c>
      <c r="F358" s="625" t="inlineStr">
        <is>
          <t>Km</t>
        </is>
      </c>
      <c r="G358" s="625" t="inlineStr">
        <is>
          <t>รถเทรลเลอร์</t>
        </is>
      </c>
      <c r="H358" s="625" t="inlineStr">
        <is>
          <t>CARROLLTON TX, USA</t>
        </is>
      </c>
      <c r="I358" s="629" t="n">
        <v>14544</v>
      </c>
      <c r="J358" s="628" t="inlineStr">
        <is>
          <t>Km</t>
        </is>
      </c>
      <c r="K358" s="630" t="n">
        <v>3900</v>
      </c>
      <c r="L358" s="640">
        <f>M358-K358</f>
        <v/>
      </c>
      <c r="M358" s="1797" t="n">
        <v>16460</v>
      </c>
      <c r="N358" s="1801" t="n">
        <v>9747.4</v>
      </c>
      <c r="O358" s="615" t="n">
        <v>0</v>
      </c>
      <c r="P358" s="641" t="n">
        <v>100</v>
      </c>
    </row>
    <row r="359" ht="15.75" customHeight="1">
      <c r="A359" s="631" t="inlineStr">
        <is>
          <t>FO23060012</t>
        </is>
      </c>
      <c r="B359" s="632" t="n">
        <v>45083</v>
      </c>
      <c r="C359" s="633" t="inlineStr">
        <is>
          <t>มัลติแบกซ์</t>
        </is>
      </c>
      <c r="D359" s="633" t="inlineStr">
        <is>
          <t>ท่าเรือแหลมฉบัง</t>
        </is>
      </c>
      <c r="E359" s="634" t="n">
        <v>6.2</v>
      </c>
      <c r="F359" s="631" t="inlineStr">
        <is>
          <t>Km</t>
        </is>
      </c>
      <c r="G359" s="631" t="inlineStr">
        <is>
          <t>รถเทรลเลอร์</t>
        </is>
      </c>
      <c r="H359" s="631" t="inlineStr">
        <is>
          <t>PERRIS CA, USA</t>
        </is>
      </c>
      <c r="I359" s="636" t="n">
        <v>13413</v>
      </c>
      <c r="J359" s="635" t="inlineStr">
        <is>
          <t>Km</t>
        </is>
      </c>
      <c r="K359" s="637" t="n">
        <v>3700</v>
      </c>
      <c r="L359" s="642">
        <f>M359-K359</f>
        <v/>
      </c>
      <c r="M359" s="1799" t="n">
        <v>20309</v>
      </c>
      <c r="N359" s="1800" t="n">
        <v>13542</v>
      </c>
      <c r="O359" s="633" t="n">
        <v>0</v>
      </c>
      <c r="P359" s="643" t="n">
        <v>100</v>
      </c>
    </row>
    <row r="360" ht="15.75" customHeight="1">
      <c r="A360" s="625" t="inlineStr">
        <is>
          <t>FO23060013</t>
        </is>
      </c>
      <c r="B360" s="626" t="n">
        <v>45083</v>
      </c>
      <c r="C360" s="615" t="inlineStr">
        <is>
          <t>มัลติแบกซ์</t>
        </is>
      </c>
      <c r="D360" s="615" t="inlineStr">
        <is>
          <t>ท่าเรือแหลมฉบัง</t>
        </is>
      </c>
      <c r="E360" s="627" t="n">
        <v>6.5</v>
      </c>
      <c r="F360" s="625" t="inlineStr">
        <is>
          <t>Km</t>
        </is>
      </c>
      <c r="G360" s="625" t="inlineStr">
        <is>
          <t>รถเทรลเลอร์</t>
        </is>
      </c>
      <c r="H360" s="625" t="inlineStr">
        <is>
          <t>JACKSONVILLE IL, USA</t>
        </is>
      </c>
      <c r="I360" s="629" t="n">
        <v>15168</v>
      </c>
      <c r="J360" s="628" t="inlineStr">
        <is>
          <t>Km</t>
        </is>
      </c>
      <c r="K360" s="630" t="n">
        <v>3770</v>
      </c>
      <c r="L360" s="640">
        <f>M360-K360</f>
        <v/>
      </c>
      <c r="M360" s="1797" t="n">
        <v>24300.08</v>
      </c>
      <c r="N360" s="1801" t="n">
        <v>17404.8</v>
      </c>
      <c r="O360" s="615" t="n">
        <v>0</v>
      </c>
      <c r="P360" s="641" t="n">
        <v>100</v>
      </c>
    </row>
    <row r="361" ht="15.75" customHeight="1">
      <c r="A361" s="631" t="inlineStr">
        <is>
          <t>FO23060014</t>
        </is>
      </c>
      <c r="B361" s="632" t="n">
        <v>45084</v>
      </c>
      <c r="C361" s="633" t="inlineStr">
        <is>
          <t>มัลติแบกซ์</t>
        </is>
      </c>
      <c r="D361" s="633" t="inlineStr">
        <is>
          <t>ท่าเรือแหลมฉบัง</t>
        </is>
      </c>
      <c r="E361" s="634" t="n">
        <v>6</v>
      </c>
      <c r="F361" s="631" t="inlineStr">
        <is>
          <t>Km</t>
        </is>
      </c>
      <c r="G361" s="631" t="inlineStr">
        <is>
          <t>รถเทรลเลอร์</t>
        </is>
      </c>
      <c r="H361" s="631" t="inlineStr">
        <is>
          <t>SOUTH BOSTON VA, USA</t>
        </is>
      </c>
      <c r="I361" s="636" t="n">
        <v>13787</v>
      </c>
      <c r="J361" s="635" t="inlineStr">
        <is>
          <t>Km</t>
        </is>
      </c>
      <c r="K361" s="637" t="n">
        <v>3750</v>
      </c>
      <c r="L361" s="642">
        <f>M361-K361</f>
        <v/>
      </c>
      <c r="M361" s="1799" t="n">
        <v>21639</v>
      </c>
      <c r="N361" s="1800" t="n">
        <v>14665.2</v>
      </c>
      <c r="O361" s="633" t="n">
        <v>0</v>
      </c>
      <c r="P361" s="643" t="n">
        <v>100</v>
      </c>
    </row>
    <row r="362" ht="15.75" customHeight="1">
      <c r="A362" s="625" t="inlineStr">
        <is>
          <t>FO23060015</t>
        </is>
      </c>
      <c r="B362" s="626" t="n">
        <v>45082</v>
      </c>
      <c r="C362" s="615" t="inlineStr">
        <is>
          <t>มัลติแบกซ์</t>
        </is>
      </c>
      <c r="D362" s="615" t="inlineStr">
        <is>
          <t>ท่าเรือแหลมฉบัง</t>
        </is>
      </c>
      <c r="E362" s="627" t="n">
        <v>6</v>
      </c>
      <c r="F362" s="625" t="inlineStr">
        <is>
          <t>Km</t>
        </is>
      </c>
      <c r="G362" s="625" t="inlineStr">
        <is>
          <t>รถเทรลเลอร์</t>
        </is>
      </c>
      <c r="H362" s="625" t="inlineStr">
        <is>
          <t>SINGAPORE</t>
        </is>
      </c>
      <c r="I362" s="629" t="n">
        <v>1931</v>
      </c>
      <c r="J362" s="628" t="inlineStr">
        <is>
          <t>Km</t>
        </is>
      </c>
      <c r="K362" s="630" t="n">
        <v>5422.5</v>
      </c>
      <c r="L362" s="640">
        <f>M362-K362</f>
        <v/>
      </c>
      <c r="M362" s="1797" t="n">
        <v>6397.5</v>
      </c>
      <c r="N362" s="1801" t="n">
        <v>5422.5</v>
      </c>
      <c r="O362" s="615" t="n">
        <v>0</v>
      </c>
      <c r="P362" s="641" t="n">
        <v>100</v>
      </c>
    </row>
    <row r="363" ht="15.75" customHeight="1">
      <c r="A363" s="631" t="inlineStr">
        <is>
          <t>FO23060016</t>
        </is>
      </c>
      <c r="B363" s="632" t="n">
        <v>45085</v>
      </c>
      <c r="C363" s="633" t="inlineStr">
        <is>
          <t>มัลติแบกซ์</t>
        </is>
      </c>
      <c r="D363" s="633" t="inlineStr">
        <is>
          <t>ท่าเรือแหลมฉบัง</t>
        </is>
      </c>
      <c r="E363" s="634" t="n">
        <v>5.3</v>
      </c>
      <c r="F363" s="631" t="inlineStr">
        <is>
          <t>Km</t>
        </is>
      </c>
      <c r="G363" s="631" t="inlineStr">
        <is>
          <t>รถเทรลเลอร์</t>
        </is>
      </c>
      <c r="H363" s="631" t="inlineStr">
        <is>
          <t>HONG KONG</t>
        </is>
      </c>
      <c r="I363" s="636" t="n">
        <v>1734</v>
      </c>
      <c r="J363" s="635" t="inlineStr">
        <is>
          <t>Km</t>
        </is>
      </c>
      <c r="K363" s="637" t="n">
        <v>3590</v>
      </c>
      <c r="L363" s="642">
        <f>M363-K363</f>
        <v/>
      </c>
      <c r="M363" s="1799" t="n">
        <v>15251.58</v>
      </c>
      <c r="N363" s="1800" t="n">
        <v>8848.719999999999</v>
      </c>
      <c r="O363" s="633" t="n">
        <v>0</v>
      </c>
      <c r="P363" s="643" t="n">
        <v>100</v>
      </c>
    </row>
    <row r="364" ht="15.75" customHeight="1">
      <c r="A364" s="625" t="inlineStr">
        <is>
          <t>FO23060017</t>
        </is>
      </c>
      <c r="B364" s="626" t="n">
        <v>45085</v>
      </c>
      <c r="C364" s="615" t="inlineStr">
        <is>
          <t>มัลติแบกซ์</t>
        </is>
      </c>
      <c r="D364" s="615" t="inlineStr">
        <is>
          <t>ท่าเรือแหลมฉบัง</t>
        </is>
      </c>
      <c r="E364" s="627" t="n">
        <v>5.3</v>
      </c>
      <c r="F364" s="625" t="inlineStr">
        <is>
          <t>Km</t>
        </is>
      </c>
      <c r="G364" s="625" t="inlineStr">
        <is>
          <t>รถเทรลเลอร์</t>
        </is>
      </c>
      <c r="H364" s="625" t="inlineStr">
        <is>
          <t>HONG KONG</t>
        </is>
      </c>
      <c r="I364" s="629" t="n">
        <v>1734</v>
      </c>
      <c r="J364" s="628" t="inlineStr">
        <is>
          <t>Km</t>
        </is>
      </c>
      <c r="K364" s="630" t="n">
        <v>3650</v>
      </c>
      <c r="L364" s="640">
        <f>M364-K364</f>
        <v/>
      </c>
      <c r="M364" s="1797" t="n">
        <v>14958.2</v>
      </c>
      <c r="N364" s="1801" t="n">
        <v>11306.2</v>
      </c>
      <c r="O364" s="615" t="n">
        <v>0</v>
      </c>
      <c r="P364" s="641" t="n">
        <v>100</v>
      </c>
    </row>
    <row r="365" ht="15.75" customHeight="1">
      <c r="A365" s="631" t="inlineStr">
        <is>
          <t>FO23060018</t>
        </is>
      </c>
      <c r="B365" s="632" t="n">
        <v>45091</v>
      </c>
      <c r="C365" s="633" t="inlineStr">
        <is>
          <t>มัลติแบกซ์</t>
        </is>
      </c>
      <c r="D365" s="633" t="inlineStr">
        <is>
          <t>ท่าเรือแหลมฉบัง</t>
        </is>
      </c>
      <c r="E365" s="634" t="n">
        <v>7.1</v>
      </c>
      <c r="F365" s="631" t="inlineStr">
        <is>
          <t>Km</t>
        </is>
      </c>
      <c r="G365" s="631" t="inlineStr">
        <is>
          <t>รถเทรลเลอร์</t>
        </is>
      </c>
      <c r="H365" s="631" t="inlineStr">
        <is>
          <t>SYDNEY, AUSTRALIA</t>
        </is>
      </c>
      <c r="I365" s="636" t="n">
        <v>7448</v>
      </c>
      <c r="J365" s="635" t="inlineStr">
        <is>
          <t>Km</t>
        </is>
      </c>
      <c r="K365" s="637" t="n">
        <v>3570</v>
      </c>
      <c r="L365" s="642">
        <f>M365-K365</f>
        <v/>
      </c>
      <c r="M365" s="1799" t="n">
        <v>27728</v>
      </c>
      <c r="N365" s="1800" t="n">
        <v>23716.8</v>
      </c>
      <c r="O365" s="633" t="n">
        <v>0</v>
      </c>
      <c r="P365" s="643" t="n">
        <v>100</v>
      </c>
    </row>
    <row r="366" ht="15.75" customHeight="1">
      <c r="A366" s="625" t="inlineStr">
        <is>
          <t>FO23060019</t>
        </is>
      </c>
      <c r="B366" s="626" t="n">
        <v>45089</v>
      </c>
      <c r="C366" s="615" t="inlineStr">
        <is>
          <t>มัลติแบกซ์</t>
        </is>
      </c>
      <c r="D366" s="615" t="inlineStr">
        <is>
          <t>ท่าเรือแหลมฉบัง</t>
        </is>
      </c>
      <c r="E366" s="627" t="n">
        <v>7.1</v>
      </c>
      <c r="F366" s="625" t="inlineStr">
        <is>
          <t>Km</t>
        </is>
      </c>
      <c r="G366" s="625" t="inlineStr">
        <is>
          <t>รถเทรลเลอร์</t>
        </is>
      </c>
      <c r="H366" s="625" t="inlineStr">
        <is>
          <t>SYDNEY, AUSTRALIA</t>
        </is>
      </c>
      <c r="I366" s="629" t="n">
        <v>7448</v>
      </c>
      <c r="J366" s="628" t="inlineStr">
        <is>
          <t>Km</t>
        </is>
      </c>
      <c r="K366" s="630" t="n">
        <v>3800</v>
      </c>
      <c r="L366" s="640">
        <f>M366-K366</f>
        <v/>
      </c>
      <c r="M366" s="1797" t="n">
        <v>27667.5</v>
      </c>
      <c r="N366" s="1801" t="n">
        <v>19660.88</v>
      </c>
      <c r="O366" s="615" t="n">
        <v>0</v>
      </c>
      <c r="P366" s="641" t="n">
        <v>100</v>
      </c>
    </row>
    <row r="367" ht="15.75" customHeight="1">
      <c r="A367" s="631" t="inlineStr">
        <is>
          <t>FO23060020</t>
        </is>
      </c>
      <c r="B367" s="632" t="n">
        <v>45097</v>
      </c>
      <c r="C367" s="633" t="inlineStr">
        <is>
          <t>มัลติแบกซ์</t>
        </is>
      </c>
      <c r="D367" s="633" t="inlineStr">
        <is>
          <t>ท่าเรือแหลมฉบัง</t>
        </is>
      </c>
      <c r="E367" s="634" t="n">
        <v>7.1</v>
      </c>
      <c r="F367" s="631" t="inlineStr">
        <is>
          <t>Km</t>
        </is>
      </c>
      <c r="G367" s="631" t="inlineStr">
        <is>
          <t>รถเทรลเลอร์</t>
        </is>
      </c>
      <c r="H367" s="631" t="inlineStr">
        <is>
          <t>AUCKLAND, NEW ZEALAND</t>
        </is>
      </c>
      <c r="I367" s="636" t="n">
        <v>9486</v>
      </c>
      <c r="J367" s="635" t="inlineStr">
        <is>
          <t>Km</t>
        </is>
      </c>
      <c r="K367" s="637" t="n">
        <v>2185</v>
      </c>
      <c r="L367" s="642">
        <f>M367-K367</f>
        <v/>
      </c>
      <c r="M367" s="1799" t="n">
        <v>17612</v>
      </c>
      <c r="N367" s="1800" t="n">
        <v>13958</v>
      </c>
      <c r="O367" s="633" t="n">
        <v>0</v>
      </c>
      <c r="P367" s="643" t="n">
        <v>100</v>
      </c>
    </row>
    <row r="368" ht="15.75" customHeight="1">
      <c r="A368" s="625" t="inlineStr">
        <is>
          <t>FO23060021</t>
        </is>
      </c>
      <c r="B368" s="626" t="n">
        <v>45097</v>
      </c>
      <c r="C368" s="615" t="inlineStr">
        <is>
          <t>มัลติแบกซ์</t>
        </is>
      </c>
      <c r="D368" s="615" t="inlineStr">
        <is>
          <t>ท่าเรือแหลมฉบัง</t>
        </is>
      </c>
      <c r="E368" s="627" t="n">
        <v>7.1</v>
      </c>
      <c r="F368" s="625" t="inlineStr">
        <is>
          <t>Km</t>
        </is>
      </c>
      <c r="G368" s="625" t="inlineStr">
        <is>
          <t>รถเทรลเลอร์</t>
        </is>
      </c>
      <c r="H368" s="625" t="inlineStr">
        <is>
          <t>AUCKLAND, NEW ZEALAND</t>
        </is>
      </c>
      <c r="I368" s="629" t="n">
        <v>9486</v>
      </c>
      <c r="J368" s="628" t="inlineStr">
        <is>
          <t>Km</t>
        </is>
      </c>
      <c r="K368" s="630" t="n">
        <v>2280</v>
      </c>
      <c r="L368" s="640">
        <f>M368-K368</f>
        <v/>
      </c>
      <c r="M368" s="1797" t="n">
        <v>11624.5</v>
      </c>
      <c r="N368" s="1801" t="n">
        <v>7272.12</v>
      </c>
      <c r="O368" s="615" t="n">
        <v>0</v>
      </c>
      <c r="P368" s="641" t="n">
        <v>100</v>
      </c>
    </row>
    <row r="369" ht="15.75" customHeight="1">
      <c r="A369" s="631" t="inlineStr">
        <is>
          <t>FO23060022</t>
        </is>
      </c>
      <c r="B369" s="632" t="n">
        <v>45097</v>
      </c>
      <c r="C369" s="633" t="inlineStr">
        <is>
          <t>มัลติแบกซ์</t>
        </is>
      </c>
      <c r="D369" s="633" t="inlineStr">
        <is>
          <t>ท่าเรือแหลมฉบัง</t>
        </is>
      </c>
      <c r="E369" s="634" t="n">
        <v>7.1</v>
      </c>
      <c r="F369" s="631" t="inlineStr">
        <is>
          <t>Km</t>
        </is>
      </c>
      <c r="G369" s="631" t="inlineStr">
        <is>
          <t>รถเทรลเลอร์</t>
        </is>
      </c>
      <c r="H369" s="631" t="inlineStr">
        <is>
          <t>AUCKLAND, NEW ZEALAND</t>
        </is>
      </c>
      <c r="I369" s="636" t="n">
        <v>9486</v>
      </c>
      <c r="J369" s="635" t="inlineStr">
        <is>
          <t>Km</t>
        </is>
      </c>
      <c r="K369" s="637" t="n">
        <v>3700</v>
      </c>
      <c r="L369" s="642">
        <f>M369-K369</f>
        <v/>
      </c>
      <c r="M369" s="1799" t="n">
        <v>22722.7</v>
      </c>
      <c r="N369" s="1800" t="n">
        <v>15828.2</v>
      </c>
      <c r="O369" s="633" t="n">
        <v>0</v>
      </c>
      <c r="P369" s="643" t="n">
        <v>100</v>
      </c>
    </row>
    <row r="370" ht="15.75" customHeight="1">
      <c r="A370" s="625" t="inlineStr">
        <is>
          <t>FO23060023</t>
        </is>
      </c>
      <c r="B370" s="626" t="n">
        <v>45097</v>
      </c>
      <c r="C370" s="615" t="inlineStr">
        <is>
          <t>มัลติแบกซ์</t>
        </is>
      </c>
      <c r="D370" s="615" t="inlineStr">
        <is>
          <t>ท่าเรือแหลมฉบัง</t>
        </is>
      </c>
      <c r="E370" s="627" t="n">
        <v>7.1</v>
      </c>
      <c r="F370" s="625" t="inlineStr">
        <is>
          <t>Km</t>
        </is>
      </c>
      <c r="G370" s="625" t="inlineStr">
        <is>
          <t>รถเทรลเลอร์</t>
        </is>
      </c>
      <c r="H370" s="625" t="inlineStr">
        <is>
          <t>AUCKLAND, NEW ZEALAND</t>
        </is>
      </c>
      <c r="I370" s="629" t="n">
        <v>9486</v>
      </c>
      <c r="J370" s="628" t="inlineStr">
        <is>
          <t>Km</t>
        </is>
      </c>
      <c r="K370" s="630" t="n">
        <v>3670</v>
      </c>
      <c r="L370" s="640">
        <f>M370-K370</f>
        <v/>
      </c>
      <c r="M370" s="1797" t="n">
        <v>20370.1</v>
      </c>
      <c r="N370" s="1801" t="n">
        <v>11115.6</v>
      </c>
      <c r="O370" s="615" t="n">
        <v>0</v>
      </c>
      <c r="P370" s="641" t="n">
        <v>100</v>
      </c>
    </row>
    <row r="371" ht="15.75" customHeight="1">
      <c r="A371" s="631" t="inlineStr">
        <is>
          <t>FO23060024</t>
        </is>
      </c>
      <c r="B371" s="632" t="n">
        <v>45099</v>
      </c>
      <c r="C371" s="633" t="inlineStr">
        <is>
          <t>มัลติแบกซ์</t>
        </is>
      </c>
      <c r="D371" s="633" t="inlineStr">
        <is>
          <t>ท่าเรือแหลมฉบัง</t>
        </is>
      </c>
      <c r="E371" s="634" t="n">
        <v>11.9</v>
      </c>
      <c r="F371" s="631" t="inlineStr">
        <is>
          <t>Km</t>
        </is>
      </c>
      <c r="G371" s="631" t="inlineStr">
        <is>
          <t>รถเทรลเลอร์</t>
        </is>
      </c>
      <c r="H371" s="631" t="inlineStr">
        <is>
          <t>HONG KONG</t>
        </is>
      </c>
      <c r="I371" s="636" t="n">
        <v>1734</v>
      </c>
      <c r="J371" s="635" t="inlineStr">
        <is>
          <t>Km</t>
        </is>
      </c>
      <c r="K371" s="637" t="n">
        <v>3650</v>
      </c>
      <c r="L371" s="642">
        <f>M371-K371</f>
        <v/>
      </c>
      <c r="M371" s="1799" t="n">
        <v>14247.9</v>
      </c>
      <c r="N371" s="1800" t="n">
        <v>7853.1</v>
      </c>
      <c r="O371" s="633" t="n">
        <v>0</v>
      </c>
      <c r="P371" s="643" t="n">
        <v>100</v>
      </c>
    </row>
    <row r="372" ht="15.75" customHeight="1">
      <c r="A372" s="625" t="inlineStr">
        <is>
          <t>FO23060025</t>
        </is>
      </c>
      <c r="B372" s="626" t="n">
        <v>45085</v>
      </c>
      <c r="C372" s="615" t="inlineStr">
        <is>
          <t>มัลติแบกซ์</t>
        </is>
      </c>
      <c r="D372" s="615" t="inlineStr">
        <is>
          <t>ท่าเรือแหลมฉบัง</t>
        </is>
      </c>
      <c r="E372" s="627" t="n">
        <v>7.1</v>
      </c>
      <c r="F372" s="625" t="inlineStr">
        <is>
          <t>Km</t>
        </is>
      </c>
      <c r="G372" s="625" t="inlineStr">
        <is>
          <t>รถเทรลเลอร์</t>
        </is>
      </c>
      <c r="H372" s="625" t="inlineStr">
        <is>
          <t>MANILA, PHILIPPINES</t>
        </is>
      </c>
      <c r="I372" s="629" t="n">
        <v>2167</v>
      </c>
      <c r="J372" s="628" t="inlineStr">
        <is>
          <t>Km</t>
        </is>
      </c>
      <c r="K372" s="630" t="n">
        <v>2180</v>
      </c>
      <c r="L372" s="640">
        <f>M372-K372</f>
        <v/>
      </c>
      <c r="M372" s="1797" t="n">
        <v>6927.6</v>
      </c>
      <c r="N372" s="1801" t="n">
        <v>3567.6</v>
      </c>
      <c r="O372" s="615" t="n">
        <v>0</v>
      </c>
      <c r="P372" s="641" t="n">
        <v>100</v>
      </c>
    </row>
    <row r="373" ht="15.75" customHeight="1">
      <c r="A373" s="631" t="inlineStr">
        <is>
          <t>FO23060026</t>
        </is>
      </c>
      <c r="B373" s="632" t="n">
        <v>45089</v>
      </c>
      <c r="C373" s="633" t="inlineStr">
        <is>
          <t>มัลติแบกซ์</t>
        </is>
      </c>
      <c r="D373" s="633" t="inlineStr">
        <is>
          <t>ท่าเรือแหลมฉบัง</t>
        </is>
      </c>
      <c r="E373" s="634" t="n">
        <v>6</v>
      </c>
      <c r="F373" s="631" t="inlineStr">
        <is>
          <t>Km</t>
        </is>
      </c>
      <c r="G373" s="631" t="inlineStr">
        <is>
          <t>รถเทรลเลอร์</t>
        </is>
      </c>
      <c r="H373" s="631" t="inlineStr">
        <is>
          <t>AQABA PORT, JORDAN</t>
        </is>
      </c>
      <c r="I373" s="636" t="n">
        <v>6975</v>
      </c>
      <c r="J373" s="635" t="inlineStr">
        <is>
          <t>Km</t>
        </is>
      </c>
      <c r="K373" s="637" t="n">
        <v>2200</v>
      </c>
      <c r="L373" s="642">
        <f>M373-K373</f>
        <v/>
      </c>
      <c r="M373" s="1799" t="n">
        <v>5663.31</v>
      </c>
      <c r="N373" s="1800" t="n">
        <v>2347.59</v>
      </c>
      <c r="O373" s="633" t="n">
        <v>0</v>
      </c>
      <c r="P373" s="643" t="n">
        <v>100</v>
      </c>
    </row>
    <row r="374" ht="15.75" customHeight="1">
      <c r="A374" s="625" t="inlineStr">
        <is>
          <t>FO23060027</t>
        </is>
      </c>
      <c r="B374" s="626" t="n">
        <v>45085</v>
      </c>
      <c r="C374" s="615" t="inlineStr">
        <is>
          <t>มัลติแบกซ์</t>
        </is>
      </c>
      <c r="D374" s="615" t="inlineStr">
        <is>
          <t>ท่าเรือแหลมฉบัง</t>
        </is>
      </c>
      <c r="E374" s="627" t="n">
        <v>5.3</v>
      </c>
      <c r="F374" s="625" t="inlineStr">
        <is>
          <t>Km</t>
        </is>
      </c>
      <c r="G374" s="625" t="inlineStr">
        <is>
          <t>รถเทรลเลอร์</t>
        </is>
      </c>
      <c r="H374" s="625" t="inlineStr">
        <is>
          <t>GUANGZHOU, CHINA</t>
        </is>
      </c>
      <c r="I374" s="629" t="n">
        <v>2597</v>
      </c>
      <c r="J374" s="628" t="inlineStr">
        <is>
          <t>Km</t>
        </is>
      </c>
      <c r="K374" s="630" t="n">
        <v>2140</v>
      </c>
      <c r="L374" s="640">
        <f>M374-K374</f>
        <v/>
      </c>
      <c r="M374" s="1797" t="n">
        <v>7232</v>
      </c>
      <c r="N374" s="1801" t="n">
        <v>3895.5</v>
      </c>
      <c r="O374" s="615" t="n">
        <v>0</v>
      </c>
      <c r="P374" s="641" t="n">
        <v>100</v>
      </c>
    </row>
    <row r="375" ht="15.75" customHeight="1">
      <c r="A375" s="631" t="inlineStr">
        <is>
          <t>FO23060028</t>
        </is>
      </c>
      <c r="B375" s="632" t="n">
        <v>45089</v>
      </c>
      <c r="C375" s="633" t="inlineStr">
        <is>
          <t>มัลติแบกซ์</t>
        </is>
      </c>
      <c r="D375" s="633" t="inlineStr">
        <is>
          <t>ท่าเรือแหลมฉบัง</t>
        </is>
      </c>
      <c r="E375" s="634" t="n">
        <v>7.1</v>
      </c>
      <c r="F375" s="631" t="inlineStr">
        <is>
          <t>Km</t>
        </is>
      </c>
      <c r="G375" s="631" t="inlineStr">
        <is>
          <t>รถเทรลเลอร์</t>
        </is>
      </c>
      <c r="H375" s="631" t="inlineStr">
        <is>
          <t>JACKSONVILLE IL, USA</t>
        </is>
      </c>
      <c r="I375" s="636" t="n">
        <v>15168</v>
      </c>
      <c r="J375" s="635" t="inlineStr">
        <is>
          <t>Km</t>
        </is>
      </c>
      <c r="K375" s="637" t="n">
        <v>4010</v>
      </c>
      <c r="L375" s="642">
        <f>M375-K375</f>
        <v/>
      </c>
      <c r="M375" s="1799" t="n">
        <v>24540.08</v>
      </c>
      <c r="N375" s="1800" t="n">
        <v>17404.8</v>
      </c>
      <c r="O375" s="633" t="n">
        <v>0</v>
      </c>
      <c r="P375" s="643" t="n">
        <v>100</v>
      </c>
    </row>
    <row r="376" ht="15.75" customHeight="1">
      <c r="A376" s="625" t="inlineStr">
        <is>
          <t>FO23060029</t>
        </is>
      </c>
      <c r="B376" s="626" t="n">
        <v>45092</v>
      </c>
      <c r="C376" s="615" t="inlineStr">
        <is>
          <t>มัลติแบกซ์</t>
        </is>
      </c>
      <c r="D376" s="615" t="inlineStr">
        <is>
          <t>ท่าเรือแหลมฉบัง</t>
        </is>
      </c>
      <c r="E376" s="627" t="n">
        <v>6</v>
      </c>
      <c r="F376" s="625" t="inlineStr">
        <is>
          <t>Km</t>
        </is>
      </c>
      <c r="G376" s="625" t="inlineStr">
        <is>
          <t>รถเทรลเลอร์</t>
        </is>
      </c>
      <c r="H376" s="625" t="inlineStr">
        <is>
          <t>JEDDAH , SAUDI ARABIA</t>
        </is>
      </c>
      <c r="I376" s="629" t="n">
        <v>6579</v>
      </c>
      <c r="J376" s="628" t="inlineStr">
        <is>
          <t>Km</t>
        </is>
      </c>
      <c r="K376" s="630" t="n">
        <v>3820</v>
      </c>
      <c r="L376" s="640">
        <f>M376-K376</f>
        <v/>
      </c>
      <c r="M376" s="1797" t="n">
        <v>14175</v>
      </c>
      <c r="N376" s="1801" t="n">
        <v>8189.28</v>
      </c>
      <c r="O376" s="615" t="n">
        <v>0</v>
      </c>
      <c r="P376" s="641" t="n">
        <v>100</v>
      </c>
    </row>
    <row r="377" ht="15.75" customHeight="1">
      <c r="A377" s="631" t="inlineStr">
        <is>
          <t>FO23060030</t>
        </is>
      </c>
      <c r="B377" s="632" t="n">
        <v>45092</v>
      </c>
      <c r="C377" s="633" t="inlineStr">
        <is>
          <t>มัลติแบกซ์</t>
        </is>
      </c>
      <c r="D377" s="633" t="inlineStr">
        <is>
          <t>ท่าเรือแหลมฉบัง</t>
        </is>
      </c>
      <c r="E377" s="634" t="n">
        <v>6.5</v>
      </c>
      <c r="F377" s="631" t="inlineStr">
        <is>
          <t>Km</t>
        </is>
      </c>
      <c r="G377" s="631" t="inlineStr">
        <is>
          <t>รถเทรลเลอร์</t>
        </is>
      </c>
      <c r="H377" s="631" t="inlineStr">
        <is>
          <t>HORSENS, DENMARK</t>
        </is>
      </c>
      <c r="I377" s="636" t="n">
        <v>8839</v>
      </c>
      <c r="J377" s="635" t="inlineStr">
        <is>
          <t>Km</t>
        </is>
      </c>
      <c r="K377" s="637" t="n">
        <v>3660</v>
      </c>
      <c r="L377" s="642">
        <f>M377-K377</f>
        <v/>
      </c>
      <c r="M377" s="1799" t="n">
        <v>14222</v>
      </c>
      <c r="N377" s="1800" t="n">
        <v>7200</v>
      </c>
      <c r="O377" s="633" t="n">
        <v>0</v>
      </c>
      <c r="P377" s="643" t="n">
        <v>100</v>
      </c>
    </row>
    <row r="378" ht="15.75" customHeight="1">
      <c r="A378" s="625" t="inlineStr">
        <is>
          <t>FO23060031</t>
        </is>
      </c>
      <c r="B378" s="626" t="n">
        <v>45089</v>
      </c>
      <c r="C378" s="615" t="inlineStr">
        <is>
          <t>มัลติแบกซ์</t>
        </is>
      </c>
      <c r="D378" s="615" t="inlineStr">
        <is>
          <t>ท่าเรือแหลมฉบัง</t>
        </is>
      </c>
      <c r="E378" s="627" t="n">
        <v>7.1</v>
      </c>
      <c r="F378" s="625" t="inlineStr">
        <is>
          <t>Km</t>
        </is>
      </c>
      <c r="G378" s="625" t="inlineStr">
        <is>
          <t>รถเทรลเลอร์</t>
        </is>
      </c>
      <c r="H378" s="625" t="inlineStr">
        <is>
          <t>JACKSONVILLE IL, USA</t>
        </is>
      </c>
      <c r="I378" s="629" t="n">
        <v>15168</v>
      </c>
      <c r="J378" s="628" t="inlineStr">
        <is>
          <t>Km</t>
        </is>
      </c>
      <c r="K378" s="630" t="n">
        <v>3970</v>
      </c>
      <c r="L378" s="640">
        <f>M378-K378</f>
        <v/>
      </c>
      <c r="M378" s="1797" t="n">
        <v>24500.08</v>
      </c>
      <c r="N378" s="1801" t="n">
        <v>17404.8</v>
      </c>
      <c r="O378" s="615" t="n">
        <v>0</v>
      </c>
      <c r="P378" s="641" t="n">
        <v>100</v>
      </c>
    </row>
    <row r="379" ht="15.75" customHeight="1">
      <c r="A379" s="631" t="inlineStr">
        <is>
          <t>FO23060032</t>
        </is>
      </c>
      <c r="B379" s="632" t="n">
        <v>45089</v>
      </c>
      <c r="C379" s="633" t="inlineStr">
        <is>
          <t>มัลติแบกซ์</t>
        </is>
      </c>
      <c r="D379" s="633" t="inlineStr">
        <is>
          <t>ท่าเรือแหลมฉบัง</t>
        </is>
      </c>
      <c r="E379" s="634" t="n">
        <v>7.1</v>
      </c>
      <c r="F379" s="631" t="inlineStr">
        <is>
          <t>Km</t>
        </is>
      </c>
      <c r="G379" s="631" t="inlineStr">
        <is>
          <t>รถเทรลเลอร์</t>
        </is>
      </c>
      <c r="H379" s="631" t="inlineStr">
        <is>
          <t>JACKSONVILLE IL, USA</t>
        </is>
      </c>
      <c r="I379" s="636" t="n">
        <v>15168</v>
      </c>
      <c r="J379" s="635" t="inlineStr">
        <is>
          <t>Km</t>
        </is>
      </c>
      <c r="K379" s="637" t="n">
        <v>3770</v>
      </c>
      <c r="L379" s="642">
        <f>M379-K379</f>
        <v/>
      </c>
      <c r="M379" s="1799" t="n">
        <v>24300.08</v>
      </c>
      <c r="N379" s="1800" t="n">
        <v>17404.8</v>
      </c>
      <c r="O379" s="633" t="n">
        <v>0</v>
      </c>
      <c r="P379" s="643" t="n">
        <v>100</v>
      </c>
    </row>
    <row r="380" ht="15.75" customHeight="1">
      <c r="A380" s="625" t="inlineStr">
        <is>
          <t>FO23060033</t>
        </is>
      </c>
      <c r="B380" s="626" t="n">
        <v>45089</v>
      </c>
      <c r="C380" s="615" t="inlineStr">
        <is>
          <t>มัลติแบกซ์</t>
        </is>
      </c>
      <c r="D380" s="615" t="inlineStr">
        <is>
          <t>ท่าเรือแหลมฉบัง</t>
        </is>
      </c>
      <c r="E380" s="627" t="n">
        <v>7.1</v>
      </c>
      <c r="F380" s="625" t="inlineStr">
        <is>
          <t>Km</t>
        </is>
      </c>
      <c r="G380" s="625" t="inlineStr">
        <is>
          <t>รถเทรลเลอร์</t>
        </is>
      </c>
      <c r="H380" s="625" t="inlineStr">
        <is>
          <t>JACKSONVILLE IL, USA</t>
        </is>
      </c>
      <c r="I380" s="629" t="n">
        <v>15168</v>
      </c>
      <c r="J380" s="628" t="inlineStr">
        <is>
          <t>Km</t>
        </is>
      </c>
      <c r="K380" s="630" t="n">
        <v>3880</v>
      </c>
      <c r="L380" s="640">
        <f>M380-K380</f>
        <v/>
      </c>
      <c r="M380" s="1797" t="n">
        <v>24410.08</v>
      </c>
      <c r="N380" s="1801" t="n">
        <v>17404.8</v>
      </c>
      <c r="O380" s="615" t="n">
        <v>0</v>
      </c>
      <c r="P380" s="641" t="n">
        <v>100</v>
      </c>
    </row>
    <row r="381" ht="15.75" customHeight="1">
      <c r="A381" s="631" t="inlineStr">
        <is>
          <t>FO23060034</t>
        </is>
      </c>
      <c r="B381" s="632" t="n">
        <v>45096</v>
      </c>
      <c r="C381" s="633" t="inlineStr">
        <is>
          <t>มัลติแบกซ์</t>
        </is>
      </c>
      <c r="D381" s="633" t="inlineStr">
        <is>
          <t>ท่าเรือแหลมฉบัง</t>
        </is>
      </c>
      <c r="E381" s="634" t="n">
        <v>4.1</v>
      </c>
      <c r="F381" s="631" t="inlineStr">
        <is>
          <t>Km</t>
        </is>
      </c>
      <c r="G381" s="631" t="inlineStr">
        <is>
          <t>รถเทรลเลอร์</t>
        </is>
      </c>
      <c r="H381" s="631" t="inlineStr">
        <is>
          <t>UK PORT</t>
        </is>
      </c>
      <c r="I381" s="636" t="n">
        <v>9687</v>
      </c>
      <c r="J381" s="635" t="inlineStr">
        <is>
          <t>Km</t>
        </is>
      </c>
      <c r="K381" s="637" t="n">
        <v>2180</v>
      </c>
      <c r="L381" s="642">
        <f>M381-K381</f>
        <v/>
      </c>
      <c r="M381" s="1799" t="n">
        <v>7957</v>
      </c>
      <c r="N381" s="1800" t="n">
        <v>4550</v>
      </c>
      <c r="O381" s="633" t="n">
        <v>0</v>
      </c>
      <c r="P381" s="643" t="n">
        <v>100</v>
      </c>
    </row>
    <row r="382" ht="15.75" customHeight="1">
      <c r="A382" s="625" t="inlineStr">
        <is>
          <t>FO23060035</t>
        </is>
      </c>
      <c r="B382" s="626" t="n">
        <v>45089</v>
      </c>
      <c r="C382" s="615" t="inlineStr">
        <is>
          <t>มัลติแบกซ์</t>
        </is>
      </c>
      <c r="D382" s="615" t="inlineStr">
        <is>
          <t>ท่าเรือแหลมฉบัง</t>
        </is>
      </c>
      <c r="E382" s="627" t="n">
        <v>7.1</v>
      </c>
      <c r="F382" s="625" t="inlineStr">
        <is>
          <t>Km</t>
        </is>
      </c>
      <c r="G382" s="625" t="inlineStr">
        <is>
          <t>รถเทรลเลอร์</t>
        </is>
      </c>
      <c r="H382" s="625" t="inlineStr">
        <is>
          <t>JACKSONVILLE IL, USA</t>
        </is>
      </c>
      <c r="I382" s="629" t="n">
        <v>15168</v>
      </c>
      <c r="J382" s="628" t="inlineStr">
        <is>
          <t>Km</t>
        </is>
      </c>
      <c r="K382" s="630" t="n">
        <v>3700</v>
      </c>
      <c r="L382" s="640">
        <f>M382-K382</f>
        <v/>
      </c>
      <c r="M382" s="1797" t="n">
        <v>24230.08</v>
      </c>
      <c r="N382" s="1801" t="n">
        <v>17404.8</v>
      </c>
      <c r="O382" s="615" t="n">
        <v>0</v>
      </c>
      <c r="P382" s="641" t="n">
        <v>100</v>
      </c>
    </row>
    <row r="383" ht="15.75" customHeight="1">
      <c r="A383" s="631" t="inlineStr">
        <is>
          <t>FO23060036</t>
        </is>
      </c>
      <c r="B383" s="632" t="n">
        <v>45090</v>
      </c>
      <c r="C383" s="633" t="inlineStr">
        <is>
          <t>มัลติแบกซ์</t>
        </is>
      </c>
      <c r="D383" s="633" t="inlineStr">
        <is>
          <t>ท่าเรือแหลมฉบัง</t>
        </is>
      </c>
      <c r="E383" s="634" t="n">
        <v>3.6</v>
      </c>
      <c r="F383" s="631" t="inlineStr">
        <is>
          <t>Km</t>
        </is>
      </c>
      <c r="G383" s="631" t="inlineStr">
        <is>
          <t>รถเทรลเลอร์</t>
        </is>
      </c>
      <c r="H383" s="631" t="inlineStr">
        <is>
          <t>BUSAN, KOREA</t>
        </is>
      </c>
      <c r="I383" s="636" t="n">
        <v>3740</v>
      </c>
      <c r="J383" s="635" t="inlineStr">
        <is>
          <t>Km</t>
        </is>
      </c>
      <c r="K383" s="637" t="n">
        <v>3730</v>
      </c>
      <c r="L383" s="642">
        <f>M383-K383</f>
        <v/>
      </c>
      <c r="M383" s="1799" t="n">
        <v>8946.08</v>
      </c>
      <c r="N383" s="1800" t="n">
        <v>3404.12</v>
      </c>
      <c r="O383" s="633" t="n">
        <v>0</v>
      </c>
      <c r="P383" s="643" t="n">
        <v>100</v>
      </c>
    </row>
    <row r="384" ht="15.75" customHeight="1">
      <c r="A384" s="625" t="inlineStr">
        <is>
          <t>FO23060037</t>
        </is>
      </c>
      <c r="B384" s="626" t="n">
        <v>45090</v>
      </c>
      <c r="C384" s="615" t="inlineStr">
        <is>
          <t>มัลติแบกซ์</t>
        </is>
      </c>
      <c r="D384" s="615" t="inlineStr">
        <is>
          <t>ท่าเรือแหลมฉบัง</t>
        </is>
      </c>
      <c r="E384" s="627" t="n">
        <v>6.2</v>
      </c>
      <c r="F384" s="625" t="inlineStr">
        <is>
          <t>Km</t>
        </is>
      </c>
      <c r="G384" s="625" t="inlineStr">
        <is>
          <t>รถเทรลเลอร์</t>
        </is>
      </c>
      <c r="H384" s="625" t="inlineStr">
        <is>
          <t>SOUTH BOSTON VA, USA</t>
        </is>
      </c>
      <c r="I384" s="629" t="n">
        <v>13787</v>
      </c>
      <c r="J384" s="628" t="inlineStr">
        <is>
          <t>Km</t>
        </is>
      </c>
      <c r="K384" s="630" t="n">
        <v>3890</v>
      </c>
      <c r="L384" s="640">
        <f>M384-K384</f>
        <v/>
      </c>
      <c r="M384" s="1797" t="n">
        <v>18729</v>
      </c>
      <c r="N384" s="1801" t="n">
        <v>12511.2</v>
      </c>
      <c r="O384" s="615" t="n">
        <v>0</v>
      </c>
      <c r="P384" s="641" t="n">
        <v>100</v>
      </c>
    </row>
    <row r="385" ht="15.75" customHeight="1">
      <c r="A385" s="631" t="inlineStr">
        <is>
          <t>FO23060038</t>
        </is>
      </c>
      <c r="B385" s="632" t="n">
        <v>45092</v>
      </c>
      <c r="C385" s="633" t="inlineStr">
        <is>
          <t>มัลติแบกซ์</t>
        </is>
      </c>
      <c r="D385" s="633" t="inlineStr">
        <is>
          <t>ท่าเรือแหลมฉบัง</t>
        </is>
      </c>
      <c r="E385" s="634" t="n">
        <v>6.2</v>
      </c>
      <c r="F385" s="631" t="inlineStr">
        <is>
          <t>Km</t>
        </is>
      </c>
      <c r="G385" s="631" t="inlineStr">
        <is>
          <t>รถเทรลเลอร์</t>
        </is>
      </c>
      <c r="H385" s="631" t="inlineStr">
        <is>
          <t>COLUMBUS OHIO, USA</t>
        </is>
      </c>
      <c r="I385" s="636" t="n">
        <v>14000</v>
      </c>
      <c r="J385" s="635" t="inlineStr">
        <is>
          <t>Km</t>
        </is>
      </c>
      <c r="K385" s="637" t="n">
        <v>3800</v>
      </c>
      <c r="L385" s="642">
        <f>M385-K385</f>
        <v/>
      </c>
      <c r="M385" s="1799" t="n">
        <v>22394.59</v>
      </c>
      <c r="N385" s="1800" t="n">
        <v>15925.65</v>
      </c>
      <c r="O385" s="633" t="n">
        <v>0</v>
      </c>
      <c r="P385" s="643" t="n">
        <v>100</v>
      </c>
    </row>
    <row r="386" ht="15.75" customHeight="1">
      <c r="A386" s="625" t="inlineStr">
        <is>
          <t>FO23060039</t>
        </is>
      </c>
      <c r="B386" s="626" t="n">
        <v>45093</v>
      </c>
      <c r="C386" s="615" t="inlineStr">
        <is>
          <t>มัลติแบกซ์</t>
        </is>
      </c>
      <c r="D386" s="615" t="inlineStr">
        <is>
          <t>ท่าเรือแหลมฉบัง</t>
        </is>
      </c>
      <c r="E386" s="627" t="n">
        <v>6.2</v>
      </c>
      <c r="F386" s="625" t="inlineStr">
        <is>
          <t>Km</t>
        </is>
      </c>
      <c r="G386" s="625" t="inlineStr">
        <is>
          <t>รถเทรลเลอร์</t>
        </is>
      </c>
      <c r="H386" s="625" t="inlineStr">
        <is>
          <t>SOUTH BOSTON VA, USA</t>
        </is>
      </c>
      <c r="I386" s="629" t="n">
        <v>13787</v>
      </c>
      <c r="J386" s="628" t="inlineStr">
        <is>
          <t>Km</t>
        </is>
      </c>
      <c r="K386" s="630" t="n">
        <v>3830</v>
      </c>
      <c r="L386" s="640">
        <f>M386-K386</f>
        <v/>
      </c>
      <c r="M386" s="1797" t="n">
        <v>22901.6</v>
      </c>
      <c r="N386" s="1801" t="n">
        <v>15302.4</v>
      </c>
      <c r="O386" s="615" t="n">
        <v>0</v>
      </c>
      <c r="P386" s="641" t="n">
        <v>100</v>
      </c>
    </row>
    <row r="387" ht="15.75" customHeight="1">
      <c r="A387" s="631" t="inlineStr">
        <is>
          <t>FO23060040</t>
        </is>
      </c>
      <c r="B387" s="632" t="n">
        <v>45091</v>
      </c>
      <c r="C387" s="633" t="inlineStr">
        <is>
          <t>มัลติแบกซ์</t>
        </is>
      </c>
      <c r="D387" s="633" t="inlineStr">
        <is>
          <t>ท่าเรือแหลมฉบัง</t>
        </is>
      </c>
      <c r="E387" s="634" t="n">
        <v>6</v>
      </c>
      <c r="F387" s="631" t="inlineStr">
        <is>
          <t>Km</t>
        </is>
      </c>
      <c r="G387" s="631" t="inlineStr">
        <is>
          <t>รถเทรลเลอร์</t>
        </is>
      </c>
      <c r="H387" s="631" t="inlineStr">
        <is>
          <t>SOUTH BOSTON VA, USA</t>
        </is>
      </c>
      <c r="I387" s="636" t="n">
        <v>13787</v>
      </c>
      <c r="J387" s="635" t="inlineStr">
        <is>
          <t>Km</t>
        </is>
      </c>
      <c r="K387" s="637" t="n">
        <v>3890</v>
      </c>
      <c r="L387" s="642">
        <f>M387-K387</f>
        <v/>
      </c>
      <c r="M387" s="1799" t="n">
        <v>18729</v>
      </c>
      <c r="N387" s="1800" t="n">
        <v>12511.2</v>
      </c>
      <c r="O387" s="633" t="n">
        <v>0</v>
      </c>
      <c r="P387" s="643" t="n">
        <v>100</v>
      </c>
    </row>
    <row r="388" ht="15.75" customHeight="1">
      <c r="A388" s="625" t="inlineStr">
        <is>
          <t>FO23060041</t>
        </is>
      </c>
      <c r="B388" s="626" t="n">
        <v>45092</v>
      </c>
      <c r="C388" s="615" t="inlineStr">
        <is>
          <t>มัลติแบกซ์</t>
        </is>
      </c>
      <c r="D388" s="615" t="inlineStr">
        <is>
          <t>ท่าเรือแหลมฉบัง</t>
        </is>
      </c>
      <c r="E388" s="627" t="n">
        <v>4.1</v>
      </c>
      <c r="F388" s="625" t="inlineStr">
        <is>
          <t>Km</t>
        </is>
      </c>
      <c r="G388" s="625" t="inlineStr">
        <is>
          <t>รถเทรลเลอร์</t>
        </is>
      </c>
      <c r="H388" s="625" t="inlineStr">
        <is>
          <t>TOMAKOMAI, JAPAN</t>
        </is>
      </c>
      <c r="I388" s="629" t="n">
        <v>5092</v>
      </c>
      <c r="J388" s="628" t="inlineStr">
        <is>
          <t>Km</t>
        </is>
      </c>
      <c r="K388" s="630" t="n">
        <v>2240</v>
      </c>
      <c r="L388" s="640">
        <f>M388-K388</f>
        <v/>
      </c>
      <c r="M388" s="1797" t="n">
        <v>7112.75</v>
      </c>
      <c r="N388" s="1801" t="n">
        <v>3558.5</v>
      </c>
      <c r="O388" s="615" t="n">
        <v>0</v>
      </c>
      <c r="P388" s="641" t="n">
        <v>100</v>
      </c>
    </row>
    <row r="389" ht="15.75" customHeight="1">
      <c r="A389" s="631" t="inlineStr">
        <is>
          <t>FO23060042</t>
        </is>
      </c>
      <c r="B389" s="632" t="n">
        <v>45099</v>
      </c>
      <c r="C389" s="633" t="inlineStr">
        <is>
          <t>มัลติแบกซ์</t>
        </is>
      </c>
      <c r="D389" s="633" t="inlineStr">
        <is>
          <t>ท่าเรือแหลมฉบัง</t>
        </is>
      </c>
      <c r="E389" s="634" t="n">
        <v>6</v>
      </c>
      <c r="F389" s="631" t="inlineStr">
        <is>
          <t>Km</t>
        </is>
      </c>
      <c r="G389" s="631" t="inlineStr">
        <is>
          <t>รถเทรลเลอร์</t>
        </is>
      </c>
      <c r="H389" s="631" t="inlineStr">
        <is>
          <t>SOUTH BOSTON VA, USA</t>
        </is>
      </c>
      <c r="I389" s="636" t="n">
        <v>13787</v>
      </c>
      <c r="J389" s="635" t="inlineStr">
        <is>
          <t>Km</t>
        </is>
      </c>
      <c r="K389" s="637" t="n">
        <v>3670</v>
      </c>
      <c r="L389" s="642">
        <f>M389-K389</f>
        <v/>
      </c>
      <c r="M389" s="1799" t="n">
        <v>13272</v>
      </c>
      <c r="N389" s="1803" t="n">
        <v>5376</v>
      </c>
      <c r="O389" s="633" t="n">
        <v>0</v>
      </c>
      <c r="P389" s="643" t="n">
        <v>100</v>
      </c>
    </row>
    <row r="390" ht="15.75" customHeight="1">
      <c r="A390" s="625" t="inlineStr">
        <is>
          <t>FO23060043</t>
        </is>
      </c>
      <c r="B390" s="626" t="n">
        <v>45099</v>
      </c>
      <c r="C390" s="615" t="inlineStr">
        <is>
          <t>มัลติแบกซ์</t>
        </is>
      </c>
      <c r="D390" s="615" t="inlineStr">
        <is>
          <t>ท่าเรือแหลมฉบัง</t>
        </is>
      </c>
      <c r="E390" s="627" t="n">
        <v>6.5</v>
      </c>
      <c r="F390" s="625" t="inlineStr">
        <is>
          <t>Km</t>
        </is>
      </c>
      <c r="G390" s="625" t="inlineStr">
        <is>
          <t>รถเทรลเลอร์</t>
        </is>
      </c>
      <c r="H390" s="625" t="inlineStr">
        <is>
          <t>SOUTH BOSTON VA, USA</t>
        </is>
      </c>
      <c r="I390" s="629" t="n">
        <v>13787</v>
      </c>
      <c r="J390" s="628" t="inlineStr">
        <is>
          <t>Km</t>
        </is>
      </c>
      <c r="K390" s="630" t="n">
        <v>3700</v>
      </c>
      <c r="L390" s="640">
        <f>M390-K390</f>
        <v/>
      </c>
      <c r="M390" s="1797" t="n">
        <v>18539</v>
      </c>
      <c r="N390" s="1802" t="n">
        <v>14837</v>
      </c>
      <c r="O390" s="615" t="n">
        <v>0</v>
      </c>
      <c r="P390" s="641" t="n">
        <v>100</v>
      </c>
    </row>
    <row r="391" ht="15.75" customHeight="1">
      <c r="A391" s="631" t="inlineStr">
        <is>
          <t>FO23060044</t>
        </is>
      </c>
      <c r="B391" s="632" t="n">
        <v>45100</v>
      </c>
      <c r="C391" s="633" t="inlineStr">
        <is>
          <t>มัลติแบกซ์</t>
        </is>
      </c>
      <c r="D391" s="633" t="inlineStr">
        <is>
          <t>ท่าเรือแหลมฉบัง</t>
        </is>
      </c>
      <c r="E391" s="634" t="n">
        <v>5.3</v>
      </c>
      <c r="F391" s="631" t="inlineStr">
        <is>
          <t>Km</t>
        </is>
      </c>
      <c r="G391" s="631" t="inlineStr">
        <is>
          <t>รถเทรลเลอร์</t>
        </is>
      </c>
      <c r="H391" s="631" t="inlineStr">
        <is>
          <t>BUSAN, KOREA</t>
        </is>
      </c>
      <c r="I391" s="636" t="n">
        <v>3740</v>
      </c>
      <c r="J391" s="635" t="inlineStr">
        <is>
          <t>Km</t>
        </is>
      </c>
      <c r="K391" s="637" t="n">
        <v>3700</v>
      </c>
      <c r="L391" s="642">
        <f>M391-K391</f>
        <v/>
      </c>
      <c r="M391" s="1799" t="n">
        <v>8935.280000000001</v>
      </c>
      <c r="N391" s="1803" t="n">
        <v>3455.32</v>
      </c>
      <c r="O391" s="633" t="n">
        <v>0</v>
      </c>
      <c r="P391" s="643" t="n">
        <v>100</v>
      </c>
    </row>
    <row r="392" ht="15.75" customHeight="1">
      <c r="A392" s="625" t="inlineStr">
        <is>
          <t>FO23060045</t>
        </is>
      </c>
      <c r="B392" s="626" t="n">
        <v>45092</v>
      </c>
      <c r="C392" s="615" t="inlineStr">
        <is>
          <t>มัลติแบกซ์</t>
        </is>
      </c>
      <c r="D392" s="615" t="inlineStr">
        <is>
          <t>ท่าเรือแหลมฉบัง</t>
        </is>
      </c>
      <c r="E392" s="627" t="n">
        <v>7.1</v>
      </c>
      <c r="F392" s="625" t="inlineStr">
        <is>
          <t>Km</t>
        </is>
      </c>
      <c r="G392" s="625" t="inlineStr">
        <is>
          <t>รถเทรลเลอร์</t>
        </is>
      </c>
      <c r="H392" s="625" t="inlineStr">
        <is>
          <t>UNIVERSITY PARK IL, USA</t>
        </is>
      </c>
      <c r="I392" s="629" t="n">
        <v>13877</v>
      </c>
      <c r="J392" s="628" t="inlineStr">
        <is>
          <t>Km</t>
        </is>
      </c>
      <c r="K392" s="630" t="n">
        <v>3700</v>
      </c>
      <c r="L392" s="640">
        <f>M392-K392</f>
        <v/>
      </c>
      <c r="M392" s="1797" t="n">
        <v>23299.5</v>
      </c>
      <c r="N392" s="1801" t="n">
        <v>15795</v>
      </c>
      <c r="O392" s="615" t="n">
        <v>0</v>
      </c>
      <c r="P392" s="641" t="n">
        <v>100</v>
      </c>
    </row>
    <row r="393" ht="15.75" customHeight="1">
      <c r="A393" s="631" t="inlineStr">
        <is>
          <t>FO23060046</t>
        </is>
      </c>
      <c r="B393" s="632" t="n">
        <v>45099</v>
      </c>
      <c r="C393" s="633" t="inlineStr">
        <is>
          <t>มัลติแบกซ์</t>
        </is>
      </c>
      <c r="D393" s="633" t="inlineStr">
        <is>
          <t>ท่าเรือแหลมฉบัง</t>
        </is>
      </c>
      <c r="E393" s="634" t="n">
        <v>6.2</v>
      </c>
      <c r="F393" s="631" t="inlineStr">
        <is>
          <t>Km</t>
        </is>
      </c>
      <c r="G393" s="631" t="inlineStr">
        <is>
          <t>รถเทรลเลอร์</t>
        </is>
      </c>
      <c r="H393" s="631" t="inlineStr">
        <is>
          <t>SANTA TERESA, NM USA</t>
        </is>
      </c>
      <c r="I393" s="636" t="n">
        <v>17387</v>
      </c>
      <c r="J393" s="635" t="inlineStr">
        <is>
          <t>Km</t>
        </is>
      </c>
      <c r="K393" s="637" t="n">
        <v>3870</v>
      </c>
      <c r="L393" s="642">
        <f>M393-K393</f>
        <v/>
      </c>
      <c r="M393" s="1799" t="n">
        <v>22541.29</v>
      </c>
      <c r="N393" s="1803" t="n">
        <v>16170.76</v>
      </c>
      <c r="O393" s="633" t="n">
        <v>0</v>
      </c>
      <c r="P393" s="643" t="n">
        <v>100</v>
      </c>
    </row>
    <row r="394" ht="15.75" customHeight="1">
      <c r="A394" s="625" t="inlineStr">
        <is>
          <t>FO23060047</t>
        </is>
      </c>
      <c r="B394" s="626" t="n">
        <v>45099</v>
      </c>
      <c r="C394" s="615" t="inlineStr">
        <is>
          <t>มัลติแบกซ์</t>
        </is>
      </c>
      <c r="D394" s="615" t="inlineStr">
        <is>
          <t>ท่าเรือแหลมฉบัง</t>
        </is>
      </c>
      <c r="E394" s="627" t="n">
        <v>6.2</v>
      </c>
      <c r="F394" s="625" t="inlineStr">
        <is>
          <t>Km</t>
        </is>
      </c>
      <c r="G394" s="625" t="inlineStr">
        <is>
          <t>รถเทรลเลอร์</t>
        </is>
      </c>
      <c r="H394" s="625" t="inlineStr">
        <is>
          <t>SANTA TERESA, NM USA</t>
        </is>
      </c>
      <c r="I394" s="629" t="n">
        <v>17387</v>
      </c>
      <c r="J394" s="628" t="inlineStr">
        <is>
          <t>Km</t>
        </is>
      </c>
      <c r="K394" s="630" t="n">
        <v>3840</v>
      </c>
      <c r="L394" s="640">
        <f>M394-K394</f>
        <v/>
      </c>
      <c r="M394" s="1797" t="n">
        <v>21909.21</v>
      </c>
      <c r="N394" s="1802" t="n">
        <v>15594.73</v>
      </c>
      <c r="O394" s="615" t="n">
        <v>0</v>
      </c>
      <c r="P394" s="641" t="n">
        <v>100</v>
      </c>
    </row>
    <row r="395" ht="15.75" customHeight="1">
      <c r="A395" s="631" t="inlineStr">
        <is>
          <t>FO23060048</t>
        </is>
      </c>
      <c r="B395" s="632" t="n">
        <v>45103</v>
      </c>
      <c r="C395" s="633" t="inlineStr">
        <is>
          <t>มัลติแบกซ์</t>
        </is>
      </c>
      <c r="D395" s="633" t="inlineStr">
        <is>
          <t>ท่าเรือแหลมฉบัง</t>
        </is>
      </c>
      <c r="E395" s="634" t="n">
        <v>6</v>
      </c>
      <c r="F395" s="631" t="inlineStr">
        <is>
          <t>Km</t>
        </is>
      </c>
      <c r="G395" s="631" t="inlineStr">
        <is>
          <t>รถเทรลเลอร์</t>
        </is>
      </c>
      <c r="H395" s="631" t="inlineStr">
        <is>
          <t>JEBEL ALI, UAE</t>
        </is>
      </c>
      <c r="I395" s="636" t="n">
        <v>4972</v>
      </c>
      <c r="J395" s="635" t="inlineStr">
        <is>
          <t>Km</t>
        </is>
      </c>
      <c r="K395" s="634" t="n">
        <v>2210</v>
      </c>
      <c r="L395" s="642">
        <f>M395-K395</f>
        <v/>
      </c>
      <c r="M395" s="1799" t="n">
        <v>7223.32</v>
      </c>
      <c r="N395" s="1803" t="n">
        <v>3854.39</v>
      </c>
      <c r="O395" s="633" t="n">
        <v>0</v>
      </c>
      <c r="P395" s="643" t="n">
        <v>100</v>
      </c>
    </row>
    <row r="396" ht="15.75" customHeight="1">
      <c r="A396" s="607" t="inlineStr">
        <is>
          <t>FO23060049</t>
        </is>
      </c>
      <c r="B396" s="626" t="n">
        <v>45103</v>
      </c>
      <c r="C396" s="607" t="inlineStr">
        <is>
          <t>มัลติแบกซ์</t>
        </is>
      </c>
      <c r="D396" s="607" t="inlineStr">
        <is>
          <t>ท่าเรือแหลมฉบัง</t>
        </is>
      </c>
      <c r="E396" s="609" t="n">
        <v>5.3</v>
      </c>
      <c r="F396" s="607" t="inlineStr">
        <is>
          <t>Km</t>
        </is>
      </c>
      <c r="G396" s="607" t="inlineStr">
        <is>
          <t>รถเทรลเลอร์</t>
        </is>
      </c>
      <c r="H396" s="625" t="inlineStr">
        <is>
          <t>SHUWAIKH, KUWAIT</t>
        </is>
      </c>
      <c r="I396" s="629" t="n">
        <v>5727</v>
      </c>
      <c r="J396" s="612" t="inlineStr">
        <is>
          <t>Km</t>
        </is>
      </c>
      <c r="K396" s="613" t="n">
        <v>3850</v>
      </c>
      <c r="L396" s="645" t="n">
        <v>2535.25</v>
      </c>
      <c r="M396" s="1791" t="n">
        <v>6385.25</v>
      </c>
      <c r="N396" s="1801" t="n">
        <v>5187.33</v>
      </c>
      <c r="O396" s="615" t="n">
        <v>0</v>
      </c>
      <c r="P396" s="641" t="n">
        <v>100</v>
      </c>
    </row>
    <row r="397" ht="15.75" customHeight="1">
      <c r="A397" s="631" t="inlineStr">
        <is>
          <t>FO23060050</t>
        </is>
      </c>
      <c r="B397" s="632" t="n">
        <v>45098</v>
      </c>
      <c r="C397" s="633" t="inlineStr">
        <is>
          <t>มัลติแบกซ์</t>
        </is>
      </c>
      <c r="D397" s="633" t="inlineStr">
        <is>
          <t>ท่าเรือแหลมฉบัง</t>
        </is>
      </c>
      <c r="E397" s="634" t="n">
        <v>5.2</v>
      </c>
      <c r="F397" s="631" t="inlineStr">
        <is>
          <t>Km</t>
        </is>
      </c>
      <c r="G397" s="631" t="inlineStr">
        <is>
          <t>รถเทรลเลอร์</t>
        </is>
      </c>
      <c r="H397" s="631" t="inlineStr">
        <is>
          <t>SINGAPORE</t>
        </is>
      </c>
      <c r="I397" s="636" t="n">
        <v>1931</v>
      </c>
      <c r="J397" s="635" t="inlineStr">
        <is>
          <t>Km</t>
        </is>
      </c>
      <c r="K397" s="637" t="n">
        <v>5321.7</v>
      </c>
      <c r="L397" s="642">
        <f>M397-K397</f>
        <v/>
      </c>
      <c r="M397" s="1799" t="n">
        <v>6309.7</v>
      </c>
      <c r="N397" s="1800" t="n">
        <v>5321.7</v>
      </c>
      <c r="O397" s="633" t="n">
        <v>0</v>
      </c>
      <c r="P397" s="643" t="n">
        <v>100</v>
      </c>
    </row>
    <row r="398" ht="15.75" customHeight="1">
      <c r="A398" s="625" t="inlineStr">
        <is>
          <t>FO23060051</t>
        </is>
      </c>
      <c r="B398" s="626" t="n">
        <v>45096</v>
      </c>
      <c r="C398" s="615" t="inlineStr">
        <is>
          <t>มัลติแบกซ์</t>
        </is>
      </c>
      <c r="D398" s="615" t="inlineStr">
        <is>
          <t>ท่าเรือแหลมฉบัง</t>
        </is>
      </c>
      <c r="E398" s="627" t="n">
        <v>6.5</v>
      </c>
      <c r="F398" s="625" t="inlineStr">
        <is>
          <t>Km</t>
        </is>
      </c>
      <c r="G398" s="625" t="inlineStr">
        <is>
          <t>รถเทรลเลอร์</t>
        </is>
      </c>
      <c r="H398" s="625" t="inlineStr">
        <is>
          <t>DURBAN, SOUTH AFRICA</t>
        </is>
      </c>
      <c r="I398" s="629" t="n">
        <v>8865</v>
      </c>
      <c r="J398" s="628" t="inlineStr">
        <is>
          <t>Km</t>
        </is>
      </c>
      <c r="K398" s="630" t="n">
        <v>3700</v>
      </c>
      <c r="L398" s="640">
        <f>M398-K398</f>
        <v/>
      </c>
      <c r="M398" s="1797" t="n">
        <v>24560.5</v>
      </c>
      <c r="N398" s="1801" t="n">
        <v>18066</v>
      </c>
      <c r="O398" s="615" t="n">
        <v>0</v>
      </c>
      <c r="P398" s="641" t="n">
        <v>100</v>
      </c>
    </row>
    <row r="399" ht="15.75" customHeight="1">
      <c r="A399" s="631" t="inlineStr">
        <is>
          <t>FO23060052</t>
        </is>
      </c>
      <c r="B399" s="632" t="n">
        <v>45098</v>
      </c>
      <c r="C399" s="633" t="inlineStr">
        <is>
          <t>มัลติแบกซ์</t>
        </is>
      </c>
      <c r="D399" s="633" t="inlineStr">
        <is>
          <t>ท่าเรือแหลมฉบัง</t>
        </is>
      </c>
      <c r="E399" s="634" t="n">
        <v>6.5</v>
      </c>
      <c r="F399" s="631" t="inlineStr">
        <is>
          <t>Km</t>
        </is>
      </c>
      <c r="G399" s="631" t="inlineStr">
        <is>
          <t>รถเทรลเลอร์</t>
        </is>
      </c>
      <c r="H399" s="631" t="inlineStr">
        <is>
          <t>CARROLLTON TX, USA</t>
        </is>
      </c>
      <c r="I399" s="636" t="n">
        <v>14544</v>
      </c>
      <c r="J399" s="635" t="inlineStr">
        <is>
          <t>Km</t>
        </is>
      </c>
      <c r="K399" s="637" t="n">
        <v>3820</v>
      </c>
      <c r="L399" s="642">
        <f>M399-K399</f>
        <v/>
      </c>
      <c r="M399" s="1799" t="n">
        <v>18659</v>
      </c>
      <c r="N399" s="1800" t="n">
        <v>12511.2</v>
      </c>
      <c r="O399" s="633" t="n">
        <v>0</v>
      </c>
      <c r="P399" s="643" t="n">
        <v>100</v>
      </c>
    </row>
    <row r="400" ht="15.75" customHeight="1">
      <c r="A400" s="625" t="inlineStr">
        <is>
          <t>FO23060053</t>
        </is>
      </c>
      <c r="B400" s="626" t="n">
        <v>45099</v>
      </c>
      <c r="C400" s="615" t="inlineStr">
        <is>
          <t>มัลติแบกซ์</t>
        </is>
      </c>
      <c r="D400" s="615" t="inlineStr">
        <is>
          <t>ท่าเรือแหลมฉบัง</t>
        </is>
      </c>
      <c r="E400" s="627" t="n">
        <v>6.2</v>
      </c>
      <c r="F400" s="625" t="inlineStr">
        <is>
          <t>Km</t>
        </is>
      </c>
      <c r="G400" s="625" t="inlineStr">
        <is>
          <t>รถเทรลเลอร์</t>
        </is>
      </c>
      <c r="H400" s="625" t="inlineStr">
        <is>
          <t>PERRIS CA, USA</t>
        </is>
      </c>
      <c r="I400" s="629" t="n">
        <v>13413</v>
      </c>
      <c r="J400" s="628" t="inlineStr">
        <is>
          <t>Km</t>
        </is>
      </c>
      <c r="K400" s="630" t="n">
        <v>3900</v>
      </c>
      <c r="L400" s="640">
        <f>M400-K400</f>
        <v/>
      </c>
      <c r="M400" s="1797" t="n">
        <v>21789.1</v>
      </c>
      <c r="N400" s="1802" t="n">
        <v>14665.2</v>
      </c>
      <c r="O400" s="615" t="n">
        <v>0</v>
      </c>
      <c r="P400" s="641" t="n">
        <v>100</v>
      </c>
    </row>
    <row r="401" ht="15.75" customHeight="1">
      <c r="A401" s="631" t="inlineStr">
        <is>
          <t>FO23060055</t>
        </is>
      </c>
      <c r="B401" s="632" t="n">
        <v>45098</v>
      </c>
      <c r="C401" s="633" t="inlineStr">
        <is>
          <t>มัลติแบกซ์</t>
        </is>
      </c>
      <c r="D401" s="633" t="inlineStr">
        <is>
          <t>ท่าเรือแหลมฉบัง</t>
        </is>
      </c>
      <c r="E401" s="634" t="n">
        <v>6.5</v>
      </c>
      <c r="F401" s="631" t="inlineStr">
        <is>
          <t>Km</t>
        </is>
      </c>
      <c r="G401" s="631" t="inlineStr">
        <is>
          <t>รถเทรลเลอร์</t>
        </is>
      </c>
      <c r="H401" s="631" t="inlineStr">
        <is>
          <t>LOUISVILLE KY, USA</t>
        </is>
      </c>
      <c r="I401" s="636" t="n">
        <v>14253</v>
      </c>
      <c r="J401" s="635" t="inlineStr">
        <is>
          <t>Km</t>
        </is>
      </c>
      <c r="K401" s="637" t="n">
        <v>3900</v>
      </c>
      <c r="L401" s="642">
        <f>M401-K401</f>
        <v/>
      </c>
      <c r="M401" s="1799" t="n">
        <v>14641.02</v>
      </c>
      <c r="N401" s="1800" t="n">
        <v>7892.82</v>
      </c>
      <c r="O401" s="633" t="n">
        <v>0</v>
      </c>
      <c r="P401" s="643" t="n">
        <v>100</v>
      </c>
    </row>
    <row r="402" ht="15.75" customHeight="1">
      <c r="A402" s="625" t="inlineStr">
        <is>
          <t>FO23060056</t>
        </is>
      </c>
      <c r="B402" s="626" t="n">
        <v>45100</v>
      </c>
      <c r="C402" s="615" t="inlineStr">
        <is>
          <t>มัลติแบกซ์</t>
        </is>
      </c>
      <c r="D402" s="615" t="inlineStr">
        <is>
          <t>ท่าเรือแหลมฉบัง</t>
        </is>
      </c>
      <c r="E402" s="627" t="n">
        <v>6.5</v>
      </c>
      <c r="F402" s="625" t="inlineStr">
        <is>
          <t>Km</t>
        </is>
      </c>
      <c r="G402" s="625" t="inlineStr">
        <is>
          <t>รถเทรลเลอร์</t>
        </is>
      </c>
      <c r="H402" s="625" t="inlineStr">
        <is>
          <t>LOUISVILLE KY, USA</t>
        </is>
      </c>
      <c r="I402" s="629" t="n">
        <v>14253</v>
      </c>
      <c r="J402" s="628" t="inlineStr">
        <is>
          <t>Km</t>
        </is>
      </c>
      <c r="K402" s="627" t="n">
        <v>3900</v>
      </c>
      <c r="L402" s="640">
        <f>M402-K402</f>
        <v/>
      </c>
      <c r="M402" s="1797" t="n">
        <v>15171.06</v>
      </c>
      <c r="N402" s="1802" t="n">
        <v>8420.040000000001</v>
      </c>
      <c r="O402" s="615" t="n">
        <v>0</v>
      </c>
      <c r="P402" s="641" t="n">
        <v>100</v>
      </c>
    </row>
    <row r="403" ht="15.75" customHeight="1">
      <c r="A403" s="631" t="inlineStr">
        <is>
          <t>FO23060057</t>
        </is>
      </c>
      <c r="B403" s="632" t="n">
        <v>45103</v>
      </c>
      <c r="C403" s="633" t="inlineStr">
        <is>
          <t>มัลติแบกซ์</t>
        </is>
      </c>
      <c r="D403" s="633" t="inlineStr">
        <is>
          <t>ท่าเรือแหลมฉบัง</t>
        </is>
      </c>
      <c r="E403" s="634" t="n">
        <v>5.2</v>
      </c>
      <c r="F403" s="631" t="inlineStr">
        <is>
          <t>Km</t>
        </is>
      </c>
      <c r="G403" s="631" t="inlineStr">
        <is>
          <t>รถเทรลเลอร์</t>
        </is>
      </c>
      <c r="H403" s="631" t="inlineStr">
        <is>
          <t>MANILA, PHILIPPINES</t>
        </is>
      </c>
      <c r="I403" s="636" t="n">
        <v>2167</v>
      </c>
      <c r="J403" s="635" t="inlineStr">
        <is>
          <t>Km</t>
        </is>
      </c>
      <c r="K403" s="634" t="n">
        <v>2230</v>
      </c>
      <c r="L403" s="642">
        <f>M403-K403</f>
        <v/>
      </c>
      <c r="M403" s="1799" t="n">
        <v>6385.6</v>
      </c>
      <c r="N403" s="1803" t="n">
        <v>2808.9</v>
      </c>
      <c r="O403" s="633" t="n">
        <v>0</v>
      </c>
      <c r="P403" s="643" t="n">
        <v>100</v>
      </c>
    </row>
    <row r="404" ht="15.75" customHeight="1">
      <c r="A404" s="625" t="inlineStr">
        <is>
          <t>FO23060058</t>
        </is>
      </c>
      <c r="B404" s="626" t="n">
        <v>45100</v>
      </c>
      <c r="C404" s="615" t="inlineStr">
        <is>
          <t>มัลติแบกซ์</t>
        </is>
      </c>
      <c r="D404" s="615" t="inlineStr">
        <is>
          <t>ท่าเรือแหลมฉบัง</t>
        </is>
      </c>
      <c r="E404" s="627" t="n">
        <v>7.1</v>
      </c>
      <c r="F404" s="625" t="inlineStr">
        <is>
          <t>Km</t>
        </is>
      </c>
      <c r="G404" s="625" t="inlineStr">
        <is>
          <t>รถเทรลเลอร์</t>
        </is>
      </c>
      <c r="H404" s="625" t="inlineStr">
        <is>
          <t>SINGAPORE</t>
        </is>
      </c>
      <c r="I404" s="629" t="n">
        <v>1931</v>
      </c>
      <c r="J404" s="628" t="inlineStr">
        <is>
          <t>Km</t>
        </is>
      </c>
      <c r="K404" s="630" t="n">
        <v>5271.2</v>
      </c>
      <c r="L404" s="640">
        <f>M404-K404</f>
        <v/>
      </c>
      <c r="M404" s="1797" t="n">
        <v>6225.2</v>
      </c>
      <c r="N404" s="1802" t="n">
        <v>5271.2</v>
      </c>
      <c r="O404" s="615" t="n">
        <v>0</v>
      </c>
      <c r="P404" s="641" t="n">
        <v>100</v>
      </c>
    </row>
    <row r="405" ht="15.75" customHeight="1">
      <c r="A405" s="631" t="inlineStr">
        <is>
          <t>FO23060059</t>
        </is>
      </c>
      <c r="B405" s="632" t="n">
        <v>45103</v>
      </c>
      <c r="C405" s="633" t="inlineStr">
        <is>
          <t>มัลติแบกซ์</t>
        </is>
      </c>
      <c r="D405" s="633" t="inlineStr">
        <is>
          <t>ท่าเรือแหลมฉบัง</t>
        </is>
      </c>
      <c r="E405" s="634" t="n">
        <v>5.3</v>
      </c>
      <c r="F405" s="631" t="inlineStr">
        <is>
          <t>Km</t>
        </is>
      </c>
      <c r="G405" s="631" t="inlineStr">
        <is>
          <t>รถเทรลเลอร์</t>
        </is>
      </c>
      <c r="H405" s="631" t="inlineStr">
        <is>
          <t>HONG KONG</t>
        </is>
      </c>
      <c r="I405" s="636" t="n">
        <v>1734</v>
      </c>
      <c r="J405" s="635" t="inlineStr">
        <is>
          <t>Km</t>
        </is>
      </c>
      <c r="K405" s="634" t="n">
        <v>3650</v>
      </c>
      <c r="L405" s="642">
        <f>M405-K405</f>
        <v/>
      </c>
      <c r="M405" s="1799" t="n">
        <v>16877</v>
      </c>
      <c r="N405" s="1803" t="n">
        <v>10554.2</v>
      </c>
      <c r="O405" s="633" t="n">
        <v>0</v>
      </c>
      <c r="P405" s="643" t="n">
        <v>100</v>
      </c>
    </row>
    <row r="406" ht="15.75" customHeight="1">
      <c r="A406" s="625" t="inlineStr">
        <is>
          <t>FO23060060</t>
        </is>
      </c>
      <c r="B406" s="626" t="n">
        <v>45474</v>
      </c>
      <c r="C406" s="615" t="inlineStr">
        <is>
          <t>มัลติแบกซ์</t>
        </is>
      </c>
      <c r="D406" s="615" t="inlineStr">
        <is>
          <t>ท่าเรือแหลมฉบัง</t>
        </is>
      </c>
      <c r="E406" s="627" t="n">
        <v>7.1</v>
      </c>
      <c r="F406" s="625" t="inlineStr">
        <is>
          <t>Km</t>
        </is>
      </c>
      <c r="G406" s="625" t="inlineStr">
        <is>
          <t>รถเทรลเลอร์</t>
        </is>
      </c>
      <c r="H406" s="625" t="inlineStr">
        <is>
          <t>SHUWAIKH, KUWAIT</t>
        </is>
      </c>
      <c r="I406" s="629" t="n">
        <v>5727</v>
      </c>
      <c r="J406" s="628" t="inlineStr">
        <is>
          <t>Km</t>
        </is>
      </c>
      <c r="K406" s="630" t="n">
        <v>2215</v>
      </c>
      <c r="L406" s="640" t="n">
        <v>6764.73</v>
      </c>
      <c r="M406" s="1797" t="n">
        <v>8979.73</v>
      </c>
      <c r="N406" s="1802" t="n">
        <v>5729.89</v>
      </c>
      <c r="O406" s="615" t="n">
        <v>0</v>
      </c>
      <c r="P406" s="641" t="n">
        <v>100</v>
      </c>
    </row>
    <row r="407" ht="15.75" customHeight="1">
      <c r="A407" s="631" t="inlineStr">
        <is>
          <t>FO23060061</t>
        </is>
      </c>
      <c r="B407" s="632" t="n">
        <v>45474</v>
      </c>
      <c r="C407" s="633" t="inlineStr">
        <is>
          <t>มัลติแบกซ์</t>
        </is>
      </c>
      <c r="D407" s="633" t="inlineStr">
        <is>
          <t>ท่าเรือแหลมฉบัง</t>
        </is>
      </c>
      <c r="E407" s="634" t="n">
        <v>7.1</v>
      </c>
      <c r="F407" s="631" t="inlineStr">
        <is>
          <t>Km</t>
        </is>
      </c>
      <c r="G407" s="631" t="inlineStr">
        <is>
          <t>รถเทรลเลอร์</t>
        </is>
      </c>
      <c r="H407" s="631" t="inlineStr">
        <is>
          <t>HAMAD, QATAR</t>
        </is>
      </c>
      <c r="I407" s="636" t="n">
        <v>5317</v>
      </c>
      <c r="J407" s="635" t="inlineStr">
        <is>
          <t>Km</t>
        </is>
      </c>
      <c r="K407" s="637" t="n">
        <v>2220</v>
      </c>
      <c r="L407" s="642" t="n">
        <v>6689.299999999999</v>
      </c>
      <c r="M407" s="1799" t="n">
        <v>8909.299999999999</v>
      </c>
      <c r="N407" s="1803" t="n">
        <v>5473.02</v>
      </c>
      <c r="O407" s="633" t="n">
        <v>0</v>
      </c>
      <c r="P407" s="643" t="n">
        <v>100</v>
      </c>
    </row>
    <row r="408" ht="15.75" customHeight="1">
      <c r="A408" s="625" t="inlineStr">
        <is>
          <t>FO23060062</t>
        </is>
      </c>
      <c r="B408" s="626" t="n">
        <v>45474</v>
      </c>
      <c r="C408" s="615" t="inlineStr">
        <is>
          <t>มัลติแบกซ์</t>
        </is>
      </c>
      <c r="D408" s="615" t="inlineStr">
        <is>
          <t>ท่าเรือแหลมฉบัง</t>
        </is>
      </c>
      <c r="E408" s="627" t="n">
        <v>7.1</v>
      </c>
      <c r="F408" s="625" t="inlineStr">
        <is>
          <t>Km</t>
        </is>
      </c>
      <c r="G408" s="625" t="inlineStr">
        <is>
          <t>รถเทรลเลอร์</t>
        </is>
      </c>
      <c r="H408" s="625" t="inlineStr">
        <is>
          <t>JEBEL ALI, UAE</t>
        </is>
      </c>
      <c r="I408" s="629" t="n">
        <v>4972</v>
      </c>
      <c r="J408" s="628" t="inlineStr">
        <is>
          <t>Km</t>
        </is>
      </c>
      <c r="K408" s="630" t="n">
        <v>2100</v>
      </c>
      <c r="L408" s="640" t="n">
        <v>6061.3</v>
      </c>
      <c r="M408" s="1797" t="n">
        <v>8161.3</v>
      </c>
      <c r="N408" s="1802" t="n">
        <v>4901.7</v>
      </c>
      <c r="O408" s="615" t="n">
        <v>0</v>
      </c>
      <c r="P408" s="641" t="n">
        <v>100</v>
      </c>
    </row>
    <row r="409" ht="15.75" customHeight="1">
      <c r="A409" s="631" t="inlineStr">
        <is>
          <t>FO23060063</t>
        </is>
      </c>
      <c r="B409" s="632" t="n">
        <v>45104</v>
      </c>
      <c r="C409" s="633" t="inlineStr">
        <is>
          <t>มัลติแบกซ์</t>
        </is>
      </c>
      <c r="D409" s="633" t="inlineStr">
        <is>
          <t>ท่าเรือแหลมฉบัง</t>
        </is>
      </c>
      <c r="E409" s="634" t="n">
        <v>6.2</v>
      </c>
      <c r="F409" s="631" t="inlineStr">
        <is>
          <t>Km</t>
        </is>
      </c>
      <c r="G409" s="631" t="inlineStr">
        <is>
          <t>รถเทรลเลอร์</t>
        </is>
      </c>
      <c r="H409" s="631" t="inlineStr">
        <is>
          <t>SYDNEY, AUSTRALIA</t>
        </is>
      </c>
      <c r="I409" s="636" t="n">
        <v>7448</v>
      </c>
      <c r="J409" s="635" t="inlineStr">
        <is>
          <t>Km</t>
        </is>
      </c>
      <c r="K409" s="634" t="n">
        <v>3870</v>
      </c>
      <c r="L409" s="642">
        <f>M409-K409</f>
        <v/>
      </c>
      <c r="M409" s="1799" t="n">
        <v>24572</v>
      </c>
      <c r="N409" s="1803" t="n">
        <v>16560</v>
      </c>
      <c r="O409" s="633" t="n">
        <v>0</v>
      </c>
      <c r="P409" s="643" t="n">
        <v>100</v>
      </c>
    </row>
    <row r="410" ht="15.75" customHeight="1">
      <c r="A410" s="625" t="inlineStr">
        <is>
          <t>FO23060064</t>
        </is>
      </c>
      <c r="B410" s="626" t="n">
        <v>45104</v>
      </c>
      <c r="C410" s="615" t="inlineStr">
        <is>
          <t>มัลติแบกซ์</t>
        </is>
      </c>
      <c r="D410" s="615" t="inlineStr">
        <is>
          <t>ท่าเรือแหลมฉบัง</t>
        </is>
      </c>
      <c r="E410" s="627" t="n">
        <v>6.2</v>
      </c>
      <c r="F410" s="625" t="inlineStr">
        <is>
          <t>Km</t>
        </is>
      </c>
      <c r="G410" s="625" t="inlineStr">
        <is>
          <t>รถเทรลเลอร์</t>
        </is>
      </c>
      <c r="H410" s="625" t="inlineStr">
        <is>
          <t>SYDNEY, AUSTRALIA</t>
        </is>
      </c>
      <c r="I410" s="629" t="n">
        <v>7448</v>
      </c>
      <c r="J410" s="628" t="inlineStr">
        <is>
          <t>Km</t>
        </is>
      </c>
      <c r="K410" s="627" t="n">
        <v>3910</v>
      </c>
      <c r="L410" s="640">
        <f>M410-K410</f>
        <v/>
      </c>
      <c r="M410" s="1797" t="n">
        <v>21862</v>
      </c>
      <c r="N410" s="1802" t="n">
        <v>8572</v>
      </c>
      <c r="O410" s="615" t="n">
        <v>0</v>
      </c>
      <c r="P410" s="641" t="n">
        <v>100</v>
      </c>
    </row>
    <row r="411" ht="15.75" customHeight="1">
      <c r="A411" s="631" t="inlineStr">
        <is>
          <t>FO23060065</t>
        </is>
      </c>
      <c r="B411" s="632" t="n">
        <v>45104</v>
      </c>
      <c r="C411" s="633" t="inlineStr">
        <is>
          <t>มัลติแบกซ์</t>
        </is>
      </c>
      <c r="D411" s="633" t="inlineStr">
        <is>
          <t>ท่าเรือแหลมฉบัง</t>
        </is>
      </c>
      <c r="E411" s="634" t="n">
        <v>6.2</v>
      </c>
      <c r="F411" s="631" t="inlineStr">
        <is>
          <t>Km</t>
        </is>
      </c>
      <c r="G411" s="631" t="inlineStr">
        <is>
          <t>รถเทรลเลอร์</t>
        </is>
      </c>
      <c r="H411" s="631" t="inlineStr">
        <is>
          <t>SYDNEY, AUSTRALIA</t>
        </is>
      </c>
      <c r="I411" s="636" t="n">
        <v>7448</v>
      </c>
      <c r="J411" s="635" t="inlineStr">
        <is>
          <t>Km</t>
        </is>
      </c>
      <c r="K411" s="634" t="n">
        <v>3700</v>
      </c>
      <c r="L411" s="642">
        <f>M411-K411</f>
        <v/>
      </c>
      <c r="M411" s="1799" t="n">
        <v>13757</v>
      </c>
      <c r="N411" s="1803" t="n">
        <v>5400</v>
      </c>
      <c r="O411" s="633" t="n">
        <v>0</v>
      </c>
      <c r="P411" s="643" t="n">
        <v>100</v>
      </c>
    </row>
    <row r="412" ht="15.75" customHeight="1">
      <c r="A412" s="625" t="inlineStr">
        <is>
          <t>FO23060066</t>
        </is>
      </c>
      <c r="B412" s="626" t="n">
        <v>45104</v>
      </c>
      <c r="C412" s="615" t="inlineStr">
        <is>
          <t>มัลติแบกซ์</t>
        </is>
      </c>
      <c r="D412" s="615" t="inlineStr">
        <is>
          <t>ท่าเรือแหลมฉบัง</t>
        </is>
      </c>
      <c r="E412" s="627" t="n">
        <v>6.2</v>
      </c>
      <c r="F412" s="625" t="inlineStr">
        <is>
          <t>Km</t>
        </is>
      </c>
      <c r="G412" s="625" t="inlineStr">
        <is>
          <t>รถเทรลเลอร์</t>
        </is>
      </c>
      <c r="H412" s="625" t="inlineStr">
        <is>
          <t>MELBOURNE, AUSTRALIA</t>
        </is>
      </c>
      <c r="I412" s="629" t="n">
        <v>7283</v>
      </c>
      <c r="J412" s="628" t="inlineStr">
        <is>
          <t>Km</t>
        </is>
      </c>
      <c r="K412" s="627" t="n">
        <v>3720</v>
      </c>
      <c r="L412" s="640">
        <f>M412-K412</f>
        <v/>
      </c>
      <c r="M412" s="1797" t="n">
        <v>27637</v>
      </c>
      <c r="N412" s="1802" t="n">
        <v>21103</v>
      </c>
      <c r="O412" s="615" t="n">
        <v>0</v>
      </c>
      <c r="P412" s="641" t="n">
        <v>100</v>
      </c>
    </row>
    <row r="413" ht="15.75" customHeight="1">
      <c r="A413" s="631" t="inlineStr">
        <is>
          <t>FO23060067</t>
        </is>
      </c>
      <c r="B413" s="632" t="n">
        <v>45104</v>
      </c>
      <c r="C413" s="633" t="inlineStr">
        <is>
          <t>มัลติแบกซ์</t>
        </is>
      </c>
      <c r="D413" s="633" t="inlineStr">
        <is>
          <t>ท่าเรือแหลมฉบัง</t>
        </is>
      </c>
      <c r="E413" s="634" t="n">
        <v>6.2</v>
      </c>
      <c r="F413" s="631" t="inlineStr">
        <is>
          <t>Km</t>
        </is>
      </c>
      <c r="G413" s="631" t="inlineStr">
        <is>
          <t>รถเทรลเลอร์</t>
        </is>
      </c>
      <c r="H413" s="631" t="inlineStr">
        <is>
          <t>MELBOURNE, AUSTRALIA</t>
        </is>
      </c>
      <c r="I413" s="636" t="n">
        <v>7283</v>
      </c>
      <c r="J413" s="635" t="inlineStr">
        <is>
          <t>Km</t>
        </is>
      </c>
      <c r="K413" s="634" t="n">
        <v>3680</v>
      </c>
      <c r="L413" s="642">
        <f>M413-K413</f>
        <v/>
      </c>
      <c r="M413" s="1799" t="n">
        <v>27632</v>
      </c>
      <c r="N413" s="1803" t="n">
        <v>18541</v>
      </c>
      <c r="O413" s="633" t="n">
        <v>0</v>
      </c>
      <c r="P413" s="643" t="n">
        <v>100</v>
      </c>
    </row>
    <row r="414" ht="15.75" customHeight="1">
      <c r="A414" s="625" t="inlineStr">
        <is>
          <t>FO23060068</t>
        </is>
      </c>
      <c r="B414" s="626" t="n">
        <v>45104</v>
      </c>
      <c r="C414" s="615" t="inlineStr">
        <is>
          <t>มัลติแบกซ์</t>
        </is>
      </c>
      <c r="D414" s="615" t="inlineStr">
        <is>
          <t>ท่าเรือแหลมฉบัง</t>
        </is>
      </c>
      <c r="E414" s="627" t="n">
        <v>6.2</v>
      </c>
      <c r="F414" s="625" t="inlineStr">
        <is>
          <t>Km</t>
        </is>
      </c>
      <c r="G414" s="625" t="inlineStr">
        <is>
          <t>รถเทรลเลอร์</t>
        </is>
      </c>
      <c r="H414" s="625" t="inlineStr">
        <is>
          <t>MELBOURNE, AUSTRALIA</t>
        </is>
      </c>
      <c r="I414" s="629" t="n">
        <v>7283</v>
      </c>
      <c r="J414" s="628" t="inlineStr">
        <is>
          <t>Km</t>
        </is>
      </c>
      <c r="K414" s="627" t="n">
        <v>3680</v>
      </c>
      <c r="L414" s="640">
        <f>M414-K414</f>
        <v/>
      </c>
      <c r="M414" s="1797" t="n">
        <v>24457</v>
      </c>
      <c r="N414" s="1802" t="n">
        <v>16411</v>
      </c>
      <c r="O414" s="615" t="n">
        <v>0</v>
      </c>
      <c r="P414" s="641" t="n">
        <v>100</v>
      </c>
    </row>
    <row r="415" ht="15.75" customHeight="1">
      <c r="A415" s="631" t="inlineStr">
        <is>
          <t>FO23060069</t>
        </is>
      </c>
      <c r="B415" s="632" t="n">
        <v>45103</v>
      </c>
      <c r="C415" s="633" t="inlineStr">
        <is>
          <t>มัลติแบกซ์</t>
        </is>
      </c>
      <c r="D415" s="633" t="inlineStr">
        <is>
          <t>ท่าเรือแหลมฉบัง</t>
        </is>
      </c>
      <c r="E415" s="634" t="n">
        <v>7.1</v>
      </c>
      <c r="F415" s="631" t="inlineStr">
        <is>
          <t>Km</t>
        </is>
      </c>
      <c r="G415" s="631" t="inlineStr">
        <is>
          <t>รถเทรลเลอร์</t>
        </is>
      </c>
      <c r="H415" s="631" t="inlineStr">
        <is>
          <t>CARROLLTON TX, USA</t>
        </is>
      </c>
      <c r="I415" s="636" t="n">
        <v>14544</v>
      </c>
      <c r="J415" s="635" t="inlineStr">
        <is>
          <t>Km</t>
        </is>
      </c>
      <c r="K415" s="634" t="n">
        <v>3830</v>
      </c>
      <c r="L415" s="642">
        <f>M415-K415</f>
        <v/>
      </c>
      <c r="M415" s="1799" t="n">
        <v>18669</v>
      </c>
      <c r="N415" s="1803" t="n">
        <v>12511.2</v>
      </c>
      <c r="O415" s="633" t="n">
        <v>0</v>
      </c>
      <c r="P415" s="643" t="n">
        <v>100</v>
      </c>
    </row>
    <row r="416" ht="15.75" customHeight="1">
      <c r="A416" s="625" t="inlineStr">
        <is>
          <t>FO23060070</t>
        </is>
      </c>
      <c r="B416" s="626" t="n">
        <v>45103</v>
      </c>
      <c r="C416" s="615" t="inlineStr">
        <is>
          <t>มัลติแบกซ์</t>
        </is>
      </c>
      <c r="D416" s="615" t="inlineStr">
        <is>
          <t>ท่าเรือแหลมฉบัง</t>
        </is>
      </c>
      <c r="E416" s="627" t="n">
        <v>7.1</v>
      </c>
      <c r="F416" s="625" t="inlineStr">
        <is>
          <t>Km</t>
        </is>
      </c>
      <c r="G416" s="625" t="inlineStr">
        <is>
          <t>รถเทรลเลอร์</t>
        </is>
      </c>
      <c r="H416" s="625" t="inlineStr">
        <is>
          <t>CARROLLTON TX, USA</t>
        </is>
      </c>
      <c r="I416" s="629" t="n">
        <v>14544</v>
      </c>
      <c r="J416" s="628" t="inlineStr">
        <is>
          <t>Km</t>
        </is>
      </c>
      <c r="K416" s="627" t="n">
        <v>3700</v>
      </c>
      <c r="L416" s="640">
        <f>M416-K416</f>
        <v/>
      </c>
      <c r="M416" s="1797" t="n">
        <v>18539</v>
      </c>
      <c r="N416" s="1802" t="n">
        <v>12511.2</v>
      </c>
      <c r="O416" s="615" t="n">
        <v>0</v>
      </c>
      <c r="P416" s="641" t="n">
        <v>100</v>
      </c>
    </row>
    <row r="417" ht="15.75" customHeight="1">
      <c r="A417" s="631" t="inlineStr">
        <is>
          <t>FO23060071</t>
        </is>
      </c>
      <c r="B417" s="632" t="n">
        <v>45106</v>
      </c>
      <c r="C417" s="633" t="inlineStr">
        <is>
          <t>มัลติแบกซ์</t>
        </is>
      </c>
      <c r="D417" s="633" t="inlineStr">
        <is>
          <t>ท่าเรือแหลมฉบัง</t>
        </is>
      </c>
      <c r="E417" s="634" t="n">
        <v>6</v>
      </c>
      <c r="F417" s="631" t="inlineStr">
        <is>
          <t>Km</t>
        </is>
      </c>
      <c r="G417" s="631" t="inlineStr">
        <is>
          <t>รถเทรลเลอร์</t>
        </is>
      </c>
      <c r="H417" s="631" t="inlineStr">
        <is>
          <t>NAGOYA, JAPAN</t>
        </is>
      </c>
      <c r="I417" s="636" t="n">
        <v>4358</v>
      </c>
      <c r="J417" s="635" t="inlineStr">
        <is>
          <t>Km</t>
        </is>
      </c>
      <c r="K417" s="634" t="n">
        <v>3750</v>
      </c>
      <c r="L417" s="642">
        <f>M417-K417</f>
        <v/>
      </c>
      <c r="M417" s="1799" t="n">
        <v>15783.86</v>
      </c>
      <c r="N417" s="1803" t="n">
        <v>9977.440000000001</v>
      </c>
      <c r="O417" s="633" t="n">
        <v>0</v>
      </c>
      <c r="P417" s="643" t="n">
        <v>100</v>
      </c>
    </row>
    <row r="418" ht="15.75" customHeight="1">
      <c r="A418" s="625" t="inlineStr">
        <is>
          <t>FO23060072</t>
        </is>
      </c>
      <c r="B418" s="626" t="n">
        <v>45105</v>
      </c>
      <c r="C418" s="615" t="inlineStr">
        <is>
          <t>มัลติแบกซ์</t>
        </is>
      </c>
      <c r="D418" s="615" t="inlineStr">
        <is>
          <t>ท่าเรือแหลมฉบัง</t>
        </is>
      </c>
      <c r="E418" s="627" t="n">
        <v>5.2</v>
      </c>
      <c r="F418" s="625" t="inlineStr">
        <is>
          <t>Km</t>
        </is>
      </c>
      <c r="G418" s="625" t="inlineStr">
        <is>
          <t>รถเทรลเลอร์</t>
        </is>
      </c>
      <c r="H418" s="625" t="inlineStr">
        <is>
          <t>COLUMBUS OHIO, USA</t>
        </is>
      </c>
      <c r="I418" s="629" t="n">
        <v>14000</v>
      </c>
      <c r="J418" s="628" t="inlineStr">
        <is>
          <t>Km</t>
        </is>
      </c>
      <c r="K418" s="627" t="n">
        <v>3800</v>
      </c>
      <c r="L418" s="640">
        <f>M418-K418</f>
        <v/>
      </c>
      <c r="M418" s="1797" t="n">
        <v>22219.19</v>
      </c>
      <c r="N418" s="1802" t="n">
        <v>16103.95</v>
      </c>
      <c r="O418" s="615" t="n">
        <v>0</v>
      </c>
      <c r="P418" s="641" t="n">
        <v>100</v>
      </c>
    </row>
    <row r="419" ht="15.75" customHeight="1">
      <c r="A419" s="631" t="inlineStr">
        <is>
          <t>FO23060073</t>
        </is>
      </c>
      <c r="B419" s="632" t="n">
        <v>45105</v>
      </c>
      <c r="C419" s="633" t="inlineStr">
        <is>
          <t>มัลติแบกซ์</t>
        </is>
      </c>
      <c r="D419" s="633" t="inlineStr">
        <is>
          <t>ท่าเรือแหลมฉบัง</t>
        </is>
      </c>
      <c r="E419" s="634" t="n">
        <v>5.2</v>
      </c>
      <c r="F419" s="631" t="inlineStr">
        <is>
          <t>Km</t>
        </is>
      </c>
      <c r="G419" s="631" t="inlineStr">
        <is>
          <t>รถเทรลเลอร์</t>
        </is>
      </c>
      <c r="H419" s="631" t="inlineStr">
        <is>
          <t>COLUMBUS OHIO, USA</t>
        </is>
      </c>
      <c r="I419" s="636" t="n">
        <v>14000</v>
      </c>
      <c r="J419" s="635" t="inlineStr">
        <is>
          <t>Km</t>
        </is>
      </c>
      <c r="K419" s="634" t="n">
        <v>3700</v>
      </c>
      <c r="L419" s="642">
        <f>M419-K419</f>
        <v/>
      </c>
      <c r="M419" s="1799" t="n">
        <v>19522.92</v>
      </c>
      <c r="N419" s="1803" t="n">
        <v>13740.3</v>
      </c>
      <c r="O419" s="633" t="n">
        <v>0</v>
      </c>
      <c r="P419" s="643" t="n">
        <v>100</v>
      </c>
    </row>
    <row r="420" ht="15.75" customHeight="1">
      <c r="A420" s="625" t="inlineStr">
        <is>
          <t>FO23060074</t>
        </is>
      </c>
      <c r="B420" s="626" t="n">
        <v>45474</v>
      </c>
      <c r="C420" s="615" t="inlineStr">
        <is>
          <t>มัลติแบกซ์</t>
        </is>
      </c>
      <c r="D420" s="615" t="inlineStr">
        <is>
          <t>ท่าเรือแหลมฉบัง</t>
        </is>
      </c>
      <c r="E420" s="627" t="n">
        <v>7.1</v>
      </c>
      <c r="F420" s="625" t="inlineStr">
        <is>
          <t>Km</t>
        </is>
      </c>
      <c r="G420" s="625" t="inlineStr">
        <is>
          <t>รถเทรลเลอร์</t>
        </is>
      </c>
      <c r="H420" s="625" t="inlineStr">
        <is>
          <t>AJMAN PORT, UAE</t>
        </is>
      </c>
      <c r="I420" s="629" t="n">
        <v>4929</v>
      </c>
      <c r="J420" s="628" t="inlineStr">
        <is>
          <t>Km</t>
        </is>
      </c>
      <c r="K420" s="630" t="n">
        <v>3640</v>
      </c>
      <c r="L420" s="640" t="n">
        <v>16270.42</v>
      </c>
      <c r="M420" s="1797" t="n">
        <v>19910.42</v>
      </c>
      <c r="N420" s="1802" t="n">
        <v>14643.43</v>
      </c>
      <c r="O420" s="615" t="n">
        <v>0</v>
      </c>
      <c r="P420" s="641" t="n">
        <v>100</v>
      </c>
    </row>
    <row r="421" ht="15.75" customHeight="1">
      <c r="A421" s="631" t="inlineStr">
        <is>
          <t>FO23060075</t>
        </is>
      </c>
      <c r="B421" s="632" t="n">
        <v>45474</v>
      </c>
      <c r="C421" s="633" t="inlineStr">
        <is>
          <t>มัลติแบกซ์</t>
        </is>
      </c>
      <c r="D421" s="633" t="inlineStr">
        <is>
          <t>ท่าเรือแหลมฉบัง</t>
        </is>
      </c>
      <c r="E421" s="634" t="n">
        <v>7.1</v>
      </c>
      <c r="F421" s="631" t="inlineStr">
        <is>
          <t>Km</t>
        </is>
      </c>
      <c r="G421" s="631" t="inlineStr">
        <is>
          <t>รถเทรลเลอร์</t>
        </is>
      </c>
      <c r="H421" s="631" t="inlineStr">
        <is>
          <t>AJMAN PORT, UAE</t>
        </is>
      </c>
      <c r="I421" s="636" t="n">
        <v>4929</v>
      </c>
      <c r="J421" s="635" t="inlineStr">
        <is>
          <t>Km</t>
        </is>
      </c>
      <c r="K421" s="637" t="n">
        <v>3740</v>
      </c>
      <c r="L421" s="642" t="n">
        <v>13151.36</v>
      </c>
      <c r="M421" s="1799" t="n">
        <v>16891.36</v>
      </c>
      <c r="N421" s="1803" t="n">
        <v>10758.84</v>
      </c>
      <c r="O421" s="633" t="n">
        <v>0</v>
      </c>
      <c r="P421" s="643" t="n">
        <v>100</v>
      </c>
    </row>
    <row r="422" ht="15.75" customHeight="1">
      <c r="A422" s="625" t="inlineStr">
        <is>
          <t>FO23060076</t>
        </is>
      </c>
      <c r="B422" s="626" t="n">
        <v>45104</v>
      </c>
      <c r="C422" s="615" t="inlineStr">
        <is>
          <t>มัลติแบกซ์</t>
        </is>
      </c>
      <c r="D422" s="615" t="inlineStr">
        <is>
          <t>ท่าเรือแหลมฉบัง</t>
        </is>
      </c>
      <c r="E422" s="627" t="n">
        <v>7.1</v>
      </c>
      <c r="F422" s="625" t="inlineStr">
        <is>
          <t>Km</t>
        </is>
      </c>
      <c r="G422" s="625" t="inlineStr">
        <is>
          <t>รถเทรลเลอร์</t>
        </is>
      </c>
      <c r="H422" s="625" t="inlineStr">
        <is>
          <t>MANILA, PHILIPPINES</t>
        </is>
      </c>
      <c r="I422" s="629" t="n">
        <v>2167</v>
      </c>
      <c r="J422" s="628" t="inlineStr">
        <is>
          <t>Km</t>
        </is>
      </c>
      <c r="K422" s="627" t="n">
        <v>2180</v>
      </c>
      <c r="L422" s="640">
        <f>M422-K422</f>
        <v/>
      </c>
      <c r="M422" s="1797" t="n">
        <v>6663.9</v>
      </c>
      <c r="N422" s="1802" t="n">
        <v>3363.45</v>
      </c>
      <c r="O422" s="615" t="n">
        <v>0</v>
      </c>
      <c r="P422" s="641" t="n">
        <v>100</v>
      </c>
    </row>
    <row r="423" ht="15.75" customHeight="1">
      <c r="A423" s="631" t="inlineStr">
        <is>
          <t>FO23060077</t>
        </is>
      </c>
      <c r="B423" s="632" t="n">
        <v>45104</v>
      </c>
      <c r="C423" s="633" t="inlineStr">
        <is>
          <t>มัลติแบกซ์</t>
        </is>
      </c>
      <c r="D423" s="633" t="inlineStr">
        <is>
          <t>ท่าเรือแหลมฉบัง</t>
        </is>
      </c>
      <c r="E423" s="634" t="n">
        <v>7.1</v>
      </c>
      <c r="F423" s="631" t="inlineStr">
        <is>
          <t>Km</t>
        </is>
      </c>
      <c r="G423" s="631" t="inlineStr">
        <is>
          <t>รถเทรลเลอร์</t>
        </is>
      </c>
      <c r="H423" s="631" t="inlineStr">
        <is>
          <t>MANILA, PHILIPPINES</t>
        </is>
      </c>
      <c r="I423" s="636" t="n">
        <v>2167</v>
      </c>
      <c r="J423" s="635" t="inlineStr">
        <is>
          <t>Km</t>
        </is>
      </c>
      <c r="K423" s="634" t="n">
        <v>2210</v>
      </c>
      <c r="L423" s="642">
        <f>M423-K423</f>
        <v/>
      </c>
      <c r="M423" s="1799" t="n">
        <v>6693.9</v>
      </c>
      <c r="N423" s="1803" t="n">
        <v>3363.45</v>
      </c>
      <c r="O423" s="633" t="n">
        <v>0</v>
      </c>
      <c r="P423" s="643" t="n">
        <v>100</v>
      </c>
    </row>
    <row r="424" ht="15.75" customHeight="1">
      <c r="A424" s="625" t="inlineStr">
        <is>
          <t>FO23060078</t>
        </is>
      </c>
      <c r="B424" s="626" t="n">
        <v>45106</v>
      </c>
      <c r="C424" s="615" t="inlineStr">
        <is>
          <t>มัลติแบกซ์</t>
        </is>
      </c>
      <c r="D424" s="615" t="inlineStr">
        <is>
          <t>ท่าเรือแหลมฉบัง</t>
        </is>
      </c>
      <c r="E424" s="627" t="n">
        <v>7.1</v>
      </c>
      <c r="F424" s="625" t="inlineStr">
        <is>
          <t>Km</t>
        </is>
      </c>
      <c r="G424" s="625" t="inlineStr">
        <is>
          <t>รถเทรลเลอร์</t>
        </is>
      </c>
      <c r="H424" s="625" t="inlineStr">
        <is>
          <t>CARROLLTON TX, USA</t>
        </is>
      </c>
      <c r="I424" s="629" t="n">
        <v>14544</v>
      </c>
      <c r="J424" s="628" t="inlineStr">
        <is>
          <t>Km</t>
        </is>
      </c>
      <c r="K424" s="627" t="n">
        <v>3700</v>
      </c>
      <c r="L424" s="640">
        <f>M424-K424</f>
        <v/>
      </c>
      <c r="M424" s="1797" t="n">
        <v>21589.1</v>
      </c>
      <c r="N424" s="1802" t="n">
        <v>14665.2</v>
      </c>
      <c r="O424" s="615" t="n">
        <v>0</v>
      </c>
      <c r="P424" s="641" t="n">
        <v>100</v>
      </c>
    </row>
    <row r="425" ht="15.75" customHeight="1">
      <c r="A425" s="625" t="inlineStr">
        <is>
          <t>FO23070001</t>
        </is>
      </c>
      <c r="B425" s="626" t="n">
        <v>45112</v>
      </c>
      <c r="C425" s="615" t="inlineStr">
        <is>
          <t>มัลติแบกซ์</t>
        </is>
      </c>
      <c r="D425" s="615" t="inlineStr">
        <is>
          <t>ท่าเรือแหลมฉบัง</t>
        </is>
      </c>
      <c r="E425" s="627" t="n">
        <v>4.5</v>
      </c>
      <c r="F425" s="625" t="inlineStr">
        <is>
          <t>Km</t>
        </is>
      </c>
      <c r="G425" s="625" t="inlineStr">
        <is>
          <t>รถเทรลเลอร์</t>
        </is>
      </c>
      <c r="H425" s="625" t="inlineStr">
        <is>
          <t>SYDNEY, AUSTRALIA</t>
        </is>
      </c>
      <c r="I425" s="629" t="n">
        <v>7448</v>
      </c>
      <c r="J425" s="628" t="inlineStr">
        <is>
          <t>Km</t>
        </is>
      </c>
      <c r="K425" s="630" t="n">
        <v>3840</v>
      </c>
      <c r="L425" s="640">
        <f>M425-K425</f>
        <v/>
      </c>
      <c r="M425" s="1797" t="n">
        <v>26522</v>
      </c>
      <c r="N425" s="1801" t="n">
        <v>18612</v>
      </c>
      <c r="O425" s="615" t="n">
        <v>0</v>
      </c>
      <c r="P425" s="641" t="n">
        <v>100</v>
      </c>
    </row>
    <row r="426" ht="15.75" customHeight="1">
      <c r="A426" s="631" t="inlineStr">
        <is>
          <t>FO23070002</t>
        </is>
      </c>
      <c r="B426" s="632" t="n">
        <v>45112</v>
      </c>
      <c r="C426" s="633" t="inlineStr">
        <is>
          <t>มัลติแบกซ์</t>
        </is>
      </c>
      <c r="D426" s="633" t="inlineStr">
        <is>
          <t>ท่าเรือแหลมฉบัง</t>
        </is>
      </c>
      <c r="E426" s="634" t="n">
        <v>4.5</v>
      </c>
      <c r="F426" s="631" t="inlineStr">
        <is>
          <t>Km</t>
        </is>
      </c>
      <c r="G426" s="631" t="inlineStr">
        <is>
          <t>รถเทรลเลอร์</t>
        </is>
      </c>
      <c r="H426" s="631" t="inlineStr">
        <is>
          <t>SYDNEY, AUSTRALIA</t>
        </is>
      </c>
      <c r="I426" s="636" t="n">
        <v>7448</v>
      </c>
      <c r="J426" s="635" t="inlineStr">
        <is>
          <t>Km</t>
        </is>
      </c>
      <c r="K426" s="637" t="n">
        <v>3640</v>
      </c>
      <c r="L426" s="642">
        <f>M426-K426</f>
        <v/>
      </c>
      <c r="M426" s="1799" t="n">
        <v>27442</v>
      </c>
      <c r="N426" s="1800" t="n">
        <v>20734</v>
      </c>
      <c r="O426" s="633" t="n">
        <v>0</v>
      </c>
      <c r="P426" s="643" t="n">
        <v>100</v>
      </c>
    </row>
    <row r="427" ht="15.75" customHeight="1">
      <c r="A427" s="625" t="inlineStr">
        <is>
          <t>FO23070003</t>
        </is>
      </c>
      <c r="B427" s="626" t="n">
        <v>45108</v>
      </c>
      <c r="C427" s="615" t="inlineStr">
        <is>
          <t>มัลติแบกซ์</t>
        </is>
      </c>
      <c r="D427" s="615" t="inlineStr">
        <is>
          <t>ท่าเรือแหลมฉบัง</t>
        </is>
      </c>
      <c r="E427" s="627" t="n">
        <v>2.8</v>
      </c>
      <c r="F427" s="625" t="inlineStr">
        <is>
          <t>Km</t>
        </is>
      </c>
      <c r="G427" s="625" t="inlineStr">
        <is>
          <t>รถเทรลเลอร์</t>
        </is>
      </c>
      <c r="H427" s="625" t="inlineStr">
        <is>
          <t>CARROLLTON TX, USA</t>
        </is>
      </c>
      <c r="I427" s="625" t="n">
        <v>14544</v>
      </c>
      <c r="J427" s="628" t="inlineStr">
        <is>
          <t>Km</t>
        </is>
      </c>
      <c r="K427" s="630" t="n">
        <v>3820</v>
      </c>
      <c r="L427" s="640">
        <f>M427-K427</f>
        <v/>
      </c>
      <c r="M427" s="1797" t="n">
        <v>18659</v>
      </c>
      <c r="N427" s="1801" t="n">
        <v>12511.2</v>
      </c>
      <c r="O427" s="615" t="n">
        <v>0</v>
      </c>
      <c r="P427" s="641" t="n">
        <v>100</v>
      </c>
    </row>
    <row r="428" ht="15.75" customHeight="1">
      <c r="A428" s="631" t="inlineStr">
        <is>
          <t>FO23070004</t>
        </is>
      </c>
      <c r="B428" s="632" t="n">
        <v>45108</v>
      </c>
      <c r="C428" s="633" t="inlineStr">
        <is>
          <t>มัลติแบกซ์</t>
        </is>
      </c>
      <c r="D428" s="633" t="inlineStr">
        <is>
          <t>ท่าเรือแหลมฉบัง</t>
        </is>
      </c>
      <c r="E428" s="634" t="n">
        <v>2.8</v>
      </c>
      <c r="F428" s="631" t="inlineStr">
        <is>
          <t>Km</t>
        </is>
      </c>
      <c r="G428" s="631" t="inlineStr">
        <is>
          <t>รถเทรลเลอร์</t>
        </is>
      </c>
      <c r="H428" s="631" t="inlineStr">
        <is>
          <t>CARROLLTON TX, USA</t>
        </is>
      </c>
      <c r="I428" s="631" t="n">
        <v>14544</v>
      </c>
      <c r="J428" s="635" t="inlineStr">
        <is>
          <t>Km</t>
        </is>
      </c>
      <c r="K428" s="637" t="n">
        <v>3750</v>
      </c>
      <c r="L428" s="642">
        <f>M428-K428</f>
        <v/>
      </c>
      <c r="M428" s="1799" t="n">
        <v>191617</v>
      </c>
      <c r="N428" s="1800" t="n">
        <v>12090</v>
      </c>
      <c r="O428" s="633" t="n">
        <v>0</v>
      </c>
      <c r="P428" s="643" t="n">
        <v>100</v>
      </c>
    </row>
    <row r="429" ht="15.75" customHeight="1">
      <c r="A429" s="625" t="inlineStr">
        <is>
          <t>FO23070005</t>
        </is>
      </c>
      <c r="B429" s="626" t="n">
        <v>45112</v>
      </c>
      <c r="C429" s="615" t="inlineStr">
        <is>
          <t>มัลติแบกซ์</t>
        </is>
      </c>
      <c r="D429" s="615" t="inlineStr">
        <is>
          <t>ท่าเรือแหลมฉบัง</t>
        </is>
      </c>
      <c r="E429" s="627" t="n">
        <v>3.6</v>
      </c>
      <c r="F429" s="625" t="inlineStr">
        <is>
          <t>Km</t>
        </is>
      </c>
      <c r="G429" s="625" t="inlineStr">
        <is>
          <t>รถเทรลเลอร์</t>
        </is>
      </c>
      <c r="H429" s="625" t="inlineStr">
        <is>
          <t>TOKYO, JAPAN</t>
        </is>
      </c>
      <c r="I429" s="629" t="n">
        <v>4608</v>
      </c>
      <c r="J429" s="628" t="inlineStr">
        <is>
          <t>Km</t>
        </is>
      </c>
      <c r="K429" s="630" t="n">
        <v>2180</v>
      </c>
      <c r="L429" s="640">
        <f>M429-K429</f>
        <v/>
      </c>
      <c r="M429" s="1797" t="n">
        <v>7680.1</v>
      </c>
      <c r="N429" s="1801" t="n">
        <v>4312.44</v>
      </c>
      <c r="O429" s="615" t="n">
        <v>0</v>
      </c>
      <c r="P429" s="641" t="n">
        <v>100</v>
      </c>
    </row>
    <row r="430" ht="15.75" customHeight="1">
      <c r="A430" s="631" t="inlineStr">
        <is>
          <t>FO23070006</t>
        </is>
      </c>
      <c r="B430" s="632" t="n">
        <v>45108</v>
      </c>
      <c r="C430" s="633" t="inlineStr">
        <is>
          <t>มัลติแบกซ์</t>
        </is>
      </c>
      <c r="D430" s="633" t="inlineStr">
        <is>
          <t>ท่าเรือแหลมฉบัง</t>
        </is>
      </c>
      <c r="E430" s="634" t="n">
        <v>2.8</v>
      </c>
      <c r="F430" s="631" t="inlineStr">
        <is>
          <t>Km</t>
        </is>
      </c>
      <c r="G430" s="631" t="inlineStr">
        <is>
          <t>รถเทรลเลอร์</t>
        </is>
      </c>
      <c r="H430" s="631" t="inlineStr">
        <is>
          <t>APPLETON WI , USA</t>
        </is>
      </c>
      <c r="I430" s="631" t="n">
        <v>13558</v>
      </c>
      <c r="J430" s="635" t="inlineStr">
        <is>
          <t>Km</t>
        </is>
      </c>
      <c r="K430" s="637" t="n">
        <v>3670</v>
      </c>
      <c r="L430" s="642">
        <f>M430-K430</f>
        <v/>
      </c>
      <c r="M430" s="1799" t="n">
        <v>13256.5</v>
      </c>
      <c r="N430" s="1800" t="n">
        <v>6403.5</v>
      </c>
      <c r="O430" s="633" t="n">
        <v>0</v>
      </c>
      <c r="P430" s="643" t="n">
        <v>100</v>
      </c>
    </row>
    <row r="431" ht="15.75" customHeight="1">
      <c r="A431" s="625" t="inlineStr">
        <is>
          <t>FO23070007</t>
        </is>
      </c>
      <c r="B431" s="626" t="n">
        <v>45110</v>
      </c>
      <c r="C431" s="615" t="inlineStr">
        <is>
          <t>มัลติแบกซ์</t>
        </is>
      </c>
      <c r="D431" s="615" t="inlineStr">
        <is>
          <t>ท่าเรือแหลมฉบัง</t>
        </is>
      </c>
      <c r="E431" s="627" t="n">
        <v>6.2</v>
      </c>
      <c r="F431" s="625" t="inlineStr">
        <is>
          <t>Km</t>
        </is>
      </c>
      <c r="G431" s="625" t="inlineStr">
        <is>
          <t>รถเทรลเลอร์</t>
        </is>
      </c>
      <c r="H431" s="625" t="inlineStr">
        <is>
          <t>CARROLLTON TX, USA</t>
        </is>
      </c>
      <c r="I431" s="625" t="n">
        <v>14544</v>
      </c>
      <c r="J431" s="628" t="inlineStr">
        <is>
          <t>Km</t>
        </is>
      </c>
      <c r="K431" s="630" t="n">
        <v>3750</v>
      </c>
      <c r="L431" s="640">
        <f>M431-K431</f>
        <v/>
      </c>
      <c r="M431" s="1797" t="n">
        <v>22821.6</v>
      </c>
      <c r="N431" s="1801" t="n">
        <v>15602.4</v>
      </c>
      <c r="O431" s="615" t="n">
        <v>0</v>
      </c>
      <c r="P431" s="641" t="n">
        <v>100</v>
      </c>
    </row>
    <row r="432" ht="15.75" customHeight="1">
      <c r="A432" s="631" t="inlineStr">
        <is>
          <t>FO23070008</t>
        </is>
      </c>
      <c r="B432" s="632" t="n">
        <v>45112</v>
      </c>
      <c r="C432" s="633" t="inlineStr">
        <is>
          <t>มัลติแบกซ์</t>
        </is>
      </c>
      <c r="D432" s="633" t="inlineStr">
        <is>
          <t>ท่าเรือแหลมฉบัง</t>
        </is>
      </c>
      <c r="E432" s="634" t="n">
        <v>6.2</v>
      </c>
      <c r="F432" s="631" t="inlineStr">
        <is>
          <t>Km</t>
        </is>
      </c>
      <c r="G432" s="631" t="inlineStr">
        <is>
          <t>รถเทรลเลอร์</t>
        </is>
      </c>
      <c r="H432" s="631" t="inlineStr">
        <is>
          <t>COLUMBUS OHIO, USA</t>
        </is>
      </c>
      <c r="I432" s="636" t="n">
        <v>14000</v>
      </c>
      <c r="J432" s="635" t="inlineStr">
        <is>
          <t>Km</t>
        </is>
      </c>
      <c r="K432" s="637" t="n">
        <v>3700</v>
      </c>
      <c r="L432" s="642">
        <f>M432-K432</f>
        <v/>
      </c>
      <c r="M432" s="1799" t="n">
        <v>21039.98</v>
      </c>
      <c r="N432" s="1800" t="n">
        <v>15098.76</v>
      </c>
      <c r="O432" s="633" t="n">
        <v>0</v>
      </c>
      <c r="P432" s="643" t="n">
        <v>100</v>
      </c>
    </row>
    <row r="433" ht="15.75" customHeight="1">
      <c r="A433" s="625" t="inlineStr">
        <is>
          <t>FO23070009</t>
        </is>
      </c>
      <c r="B433" s="626" t="n">
        <v>45110</v>
      </c>
      <c r="C433" s="615" t="inlineStr">
        <is>
          <t>มัลติแบกซ์</t>
        </is>
      </c>
      <c r="D433" s="615" t="inlineStr">
        <is>
          <t>ท่าเรือแหลมฉบัง</t>
        </is>
      </c>
      <c r="E433" s="627" t="n">
        <v>7.1</v>
      </c>
      <c r="F433" s="625" t="inlineStr">
        <is>
          <t>Km</t>
        </is>
      </c>
      <c r="G433" s="625" t="inlineStr">
        <is>
          <t>รถเทรลเลอร์</t>
        </is>
      </c>
      <c r="H433" s="625" t="inlineStr">
        <is>
          <t>MANZANILLO, MEXICO</t>
        </is>
      </c>
      <c r="I433" s="629" t="n">
        <v>15486</v>
      </c>
      <c r="J433" s="628" t="inlineStr">
        <is>
          <t>Km</t>
        </is>
      </c>
      <c r="K433" s="630" t="n">
        <v>3800</v>
      </c>
      <c r="L433" s="640">
        <f>M433-K433</f>
        <v/>
      </c>
      <c r="M433" s="1797" t="n">
        <v>14516.3</v>
      </c>
      <c r="N433" s="1801" t="n">
        <v>8229.4</v>
      </c>
      <c r="O433" s="615" t="n">
        <v>0</v>
      </c>
      <c r="P433" s="641" t="n">
        <v>100</v>
      </c>
    </row>
    <row r="434" ht="15.75" customHeight="1">
      <c r="A434" s="631" t="inlineStr">
        <is>
          <t>FO23070010</t>
        </is>
      </c>
      <c r="B434" s="632" t="n">
        <v>45113</v>
      </c>
      <c r="C434" s="633" t="inlineStr">
        <is>
          <t>มัลติแบกซ์</t>
        </is>
      </c>
      <c r="D434" s="633" t="inlineStr">
        <is>
          <t>ท่าเรือแหลมฉบัง</t>
        </is>
      </c>
      <c r="E434" s="634" t="n">
        <v>6.2</v>
      </c>
      <c r="F434" s="631" t="inlineStr">
        <is>
          <t>Km</t>
        </is>
      </c>
      <c r="G434" s="631" t="inlineStr">
        <is>
          <t>รถเทรลเลอร์</t>
        </is>
      </c>
      <c r="H434" s="631" t="inlineStr">
        <is>
          <t>SANTA TERESA, NM USA</t>
        </is>
      </c>
      <c r="I434" s="636" t="n">
        <v>17387</v>
      </c>
      <c r="J434" s="635" t="inlineStr">
        <is>
          <t>Km</t>
        </is>
      </c>
      <c r="K434" s="637" t="n">
        <v>3860</v>
      </c>
      <c r="L434" s="642">
        <f>M434-K434</f>
        <v/>
      </c>
      <c r="M434" s="1799" t="n">
        <v>22763.73</v>
      </c>
      <c r="N434" s="1800" t="n">
        <v>16582.22</v>
      </c>
      <c r="O434" s="633" t="n">
        <v>0</v>
      </c>
      <c r="P434" s="643" t="n">
        <v>100</v>
      </c>
    </row>
    <row r="435" ht="15.75" customHeight="1">
      <c r="A435" s="625" t="inlineStr">
        <is>
          <t>FO23070011</t>
        </is>
      </c>
      <c r="B435" s="626" t="n">
        <v>45112</v>
      </c>
      <c r="C435" s="615" t="inlineStr">
        <is>
          <t>มัลติแบกซ์</t>
        </is>
      </c>
      <c r="D435" s="615" t="inlineStr">
        <is>
          <t>ท่าเรือแหลมฉบัง</t>
        </is>
      </c>
      <c r="E435" s="627" t="n">
        <v>6.2</v>
      </c>
      <c r="F435" s="625" t="inlineStr">
        <is>
          <t>Km</t>
        </is>
      </c>
      <c r="G435" s="625" t="inlineStr">
        <is>
          <t>รถเทรลเลอร์</t>
        </is>
      </c>
      <c r="H435" s="625" t="inlineStr">
        <is>
          <t>APPLETON WI , USA</t>
        </is>
      </c>
      <c r="I435" s="625" t="n">
        <v>13558</v>
      </c>
      <c r="J435" s="628" t="inlineStr">
        <is>
          <t>Km</t>
        </is>
      </c>
      <c r="K435" s="630" t="n">
        <v>3890</v>
      </c>
      <c r="L435" s="640">
        <f>M435-K435</f>
        <v/>
      </c>
      <c r="M435" s="1797" t="n">
        <v>17493</v>
      </c>
      <c r="N435" s="1801" t="n">
        <v>10854.5</v>
      </c>
      <c r="O435" s="615" t="n">
        <v>0</v>
      </c>
      <c r="P435" s="641" t="n">
        <v>100</v>
      </c>
    </row>
    <row r="436" ht="15.75" customHeight="1">
      <c r="A436" s="631" t="inlineStr">
        <is>
          <t>FO23070012</t>
        </is>
      </c>
      <c r="B436" s="632" t="n">
        <v>45113</v>
      </c>
      <c r="C436" s="633" t="inlineStr">
        <is>
          <t>มัลติแบกซ์</t>
        </is>
      </c>
      <c r="D436" s="633" t="inlineStr">
        <is>
          <t>ท่าเรือแหลมฉบัง</t>
        </is>
      </c>
      <c r="E436" s="634" t="n">
        <v>6.2</v>
      </c>
      <c r="F436" s="631" t="inlineStr">
        <is>
          <t>Km</t>
        </is>
      </c>
      <c r="G436" s="631" t="inlineStr">
        <is>
          <t>รถเทรลเลอร์</t>
        </is>
      </c>
      <c r="H436" s="631" t="inlineStr">
        <is>
          <t>APPLETON WI , USA</t>
        </is>
      </c>
      <c r="I436" s="631" t="n">
        <v>13558</v>
      </c>
      <c r="J436" s="635" t="inlineStr">
        <is>
          <t>Km</t>
        </is>
      </c>
      <c r="K436" s="637" t="n">
        <v>3900</v>
      </c>
      <c r="L436" s="642">
        <f>M436-K436</f>
        <v/>
      </c>
      <c r="M436" s="1799" t="n">
        <v>13502</v>
      </c>
      <c r="N436" s="1800" t="n">
        <v>5376</v>
      </c>
      <c r="O436" s="633" t="n">
        <v>0</v>
      </c>
      <c r="P436" s="643" t="n">
        <v>100</v>
      </c>
    </row>
    <row r="437" ht="15.75" customHeight="1">
      <c r="A437" s="625" t="inlineStr">
        <is>
          <t>FO23070013</t>
        </is>
      </c>
      <c r="B437" s="626" t="n">
        <v>45112</v>
      </c>
      <c r="C437" s="615" t="inlineStr">
        <is>
          <t>มัลติแบกซ์</t>
        </is>
      </c>
      <c r="D437" s="615" t="inlineStr">
        <is>
          <t>ท่าเรือแหลมฉบัง</t>
        </is>
      </c>
      <c r="E437" s="627" t="n">
        <v>6.2</v>
      </c>
      <c r="F437" s="625" t="inlineStr">
        <is>
          <t>Km</t>
        </is>
      </c>
      <c r="G437" s="625" t="inlineStr">
        <is>
          <t>รถเทรลเลอร์</t>
        </is>
      </c>
      <c r="H437" s="625" t="inlineStr">
        <is>
          <t>CARROLLTON TX, USA</t>
        </is>
      </c>
      <c r="I437" s="625" t="n">
        <v>14544</v>
      </c>
      <c r="J437" s="628" t="inlineStr">
        <is>
          <t>Km</t>
        </is>
      </c>
      <c r="K437" s="630" t="n">
        <v>3700</v>
      </c>
      <c r="L437" s="640">
        <f>M437-K437</f>
        <v/>
      </c>
      <c r="M437" s="1797" t="n">
        <v>14404</v>
      </c>
      <c r="N437" s="1801" t="n">
        <v>7525.6</v>
      </c>
      <c r="O437" s="615" t="n">
        <v>0</v>
      </c>
      <c r="P437" s="641" t="n">
        <v>100</v>
      </c>
    </row>
    <row r="438" ht="15.75" customHeight="1">
      <c r="A438" s="631" t="inlineStr">
        <is>
          <t>FO23070014</t>
        </is>
      </c>
      <c r="B438" s="632" t="n">
        <v>45113</v>
      </c>
      <c r="C438" s="633" t="inlineStr">
        <is>
          <t>มัลติแบกซ์</t>
        </is>
      </c>
      <c r="D438" s="633" t="inlineStr">
        <is>
          <t>ท่าเรือแหลมฉบัง</t>
        </is>
      </c>
      <c r="E438" s="634" t="n">
        <v>6.2</v>
      </c>
      <c r="F438" s="631" t="inlineStr">
        <is>
          <t>Km</t>
        </is>
      </c>
      <c r="G438" s="631" t="inlineStr">
        <is>
          <t>รถเทรลเลอร์</t>
        </is>
      </c>
      <c r="H438" s="631" t="inlineStr">
        <is>
          <t>UK PORT</t>
        </is>
      </c>
      <c r="I438" s="636" t="n">
        <v>9687</v>
      </c>
      <c r="J438" s="635" t="inlineStr">
        <is>
          <t>Km</t>
        </is>
      </c>
      <c r="K438" s="637" t="n">
        <v>3570</v>
      </c>
      <c r="L438" s="642">
        <f>M438-K438</f>
        <v/>
      </c>
      <c r="M438" s="1799" t="n">
        <v>23082.3</v>
      </c>
      <c r="N438" s="1800" t="n">
        <v>18161.7</v>
      </c>
      <c r="O438" s="633" t="n">
        <v>0</v>
      </c>
      <c r="P438" s="643" t="n">
        <v>100</v>
      </c>
    </row>
    <row r="439" ht="15.75" customHeight="1">
      <c r="A439" s="625" t="inlineStr">
        <is>
          <t>FO23070015</t>
        </is>
      </c>
      <c r="B439" s="626" t="n">
        <v>45121</v>
      </c>
      <c r="C439" s="607" t="inlineStr">
        <is>
          <t>มัลติแบกซ์</t>
        </is>
      </c>
      <c r="D439" s="607" t="inlineStr">
        <is>
          <t>ท่าเรือแหลมฉบัง</t>
        </is>
      </c>
      <c r="E439" s="609" t="n">
        <v>6</v>
      </c>
      <c r="F439" s="607" t="inlineStr">
        <is>
          <t>Km</t>
        </is>
      </c>
      <c r="G439" s="607" t="inlineStr">
        <is>
          <t>รถเทรลเลอร์</t>
        </is>
      </c>
      <c r="H439" s="625" t="inlineStr">
        <is>
          <t>SINGAPORE</t>
        </is>
      </c>
      <c r="I439" s="629" t="n">
        <v>1931</v>
      </c>
      <c r="J439" s="612" t="inlineStr">
        <is>
          <t>Km</t>
        </is>
      </c>
      <c r="K439" s="613" t="n">
        <v>2343</v>
      </c>
      <c r="L439" s="645" t="n">
        <v>1183.8</v>
      </c>
      <c r="M439" s="1791" t="n">
        <v>3526.8</v>
      </c>
      <c r="N439" s="1801" t="n">
        <v>2343</v>
      </c>
      <c r="O439" s="615" t="n">
        <v>0</v>
      </c>
      <c r="P439" s="641" t="n">
        <v>100</v>
      </c>
    </row>
    <row r="440" ht="15.75" customHeight="1">
      <c r="A440" s="631" t="inlineStr">
        <is>
          <t>FO23070016</t>
        </is>
      </c>
      <c r="B440" s="632" t="n">
        <v>45117</v>
      </c>
      <c r="C440" s="633" t="inlineStr">
        <is>
          <t>มัลติแบกซ์</t>
        </is>
      </c>
      <c r="D440" s="633" t="inlineStr">
        <is>
          <t>ท่าเรือแหลมฉบัง</t>
        </is>
      </c>
      <c r="E440" s="634" t="n">
        <v>4.1</v>
      </c>
      <c r="F440" s="631" t="inlineStr">
        <is>
          <t>Km</t>
        </is>
      </c>
      <c r="G440" s="631" t="inlineStr">
        <is>
          <t>รถเทรลเลอร์</t>
        </is>
      </c>
      <c r="H440" s="631" t="inlineStr">
        <is>
          <t>UK PORT</t>
        </is>
      </c>
      <c r="I440" s="636" t="n">
        <v>9687</v>
      </c>
      <c r="J440" s="635" t="inlineStr">
        <is>
          <t>Km</t>
        </is>
      </c>
      <c r="K440" s="637" t="n">
        <v>2210</v>
      </c>
      <c r="L440" s="642">
        <f>M440-K440</f>
        <v/>
      </c>
      <c r="M440" s="1799" t="n">
        <v>7987</v>
      </c>
      <c r="N440" s="1800" t="n">
        <v>4550</v>
      </c>
      <c r="O440" s="633" t="n">
        <v>0</v>
      </c>
      <c r="P440" s="643" t="n">
        <v>100</v>
      </c>
    </row>
    <row r="441" ht="15.75" customHeight="1">
      <c r="A441" s="625" t="inlineStr">
        <is>
          <t>FO23070017</t>
        </is>
      </c>
      <c r="B441" s="626" t="n">
        <v>45113</v>
      </c>
      <c r="C441" s="615" t="inlineStr">
        <is>
          <t>มัลติแบกซ์</t>
        </is>
      </c>
      <c r="D441" s="615" t="inlineStr">
        <is>
          <t>ท่าเรือแหลมฉบัง</t>
        </is>
      </c>
      <c r="E441" s="627" t="n">
        <v>6.2</v>
      </c>
      <c r="F441" s="625" t="inlineStr">
        <is>
          <t>Km</t>
        </is>
      </c>
      <c r="G441" s="625" t="inlineStr">
        <is>
          <t>รถเทรลเลอร์</t>
        </is>
      </c>
      <c r="H441" s="625" t="inlineStr">
        <is>
          <t>PERRIS CA, USA</t>
        </is>
      </c>
      <c r="I441" s="629" t="n">
        <v>13413</v>
      </c>
      <c r="J441" s="628" t="inlineStr">
        <is>
          <t>Km</t>
        </is>
      </c>
      <c r="K441" s="630" t="n">
        <v>3700</v>
      </c>
      <c r="L441" s="640">
        <f>M441-K441</f>
        <v/>
      </c>
      <c r="M441" s="1797" t="n">
        <v>18961</v>
      </c>
      <c r="N441" s="1801" t="n">
        <v>11366</v>
      </c>
      <c r="O441" s="615" t="n">
        <v>0</v>
      </c>
      <c r="P441" s="641" t="n">
        <v>100</v>
      </c>
    </row>
    <row r="442" ht="15.75" customHeight="1">
      <c r="A442" s="631" t="inlineStr">
        <is>
          <t>FO23070018</t>
        </is>
      </c>
      <c r="B442" s="632" t="n">
        <v>45121</v>
      </c>
      <c r="C442" s="633" t="inlineStr">
        <is>
          <t>มัลติแบกซ์</t>
        </is>
      </c>
      <c r="D442" s="633" t="inlineStr">
        <is>
          <t>ท่าเรือแหลมฉบัง</t>
        </is>
      </c>
      <c r="E442" s="634" t="n">
        <v>4.5</v>
      </c>
      <c r="F442" s="631" t="inlineStr">
        <is>
          <t>Km</t>
        </is>
      </c>
      <c r="G442" s="631" t="inlineStr">
        <is>
          <t>รถเทรลเลอร์</t>
        </is>
      </c>
      <c r="H442" s="631" t="inlineStr">
        <is>
          <t>SYDNEY, AUSTRALIA</t>
        </is>
      </c>
      <c r="I442" s="636" t="n">
        <v>7448</v>
      </c>
      <c r="J442" s="635" t="inlineStr">
        <is>
          <t>Km</t>
        </is>
      </c>
      <c r="K442" s="637" t="n">
        <v>3840</v>
      </c>
      <c r="L442" s="642">
        <f>M442-K442</f>
        <v/>
      </c>
      <c r="M442" s="1799" t="n">
        <v>21642</v>
      </c>
      <c r="N442" s="1800" t="n">
        <v>11393.25</v>
      </c>
      <c r="O442" s="633" t="n">
        <v>0</v>
      </c>
      <c r="P442" s="643" t="n">
        <v>100</v>
      </c>
    </row>
    <row r="443" ht="15.75" customHeight="1">
      <c r="A443" s="625" t="inlineStr">
        <is>
          <t>FO23070019</t>
        </is>
      </c>
      <c r="B443" s="626" t="n">
        <v>45121</v>
      </c>
      <c r="C443" s="615" t="inlineStr">
        <is>
          <t>มัลติแบกซ์</t>
        </is>
      </c>
      <c r="D443" s="615" t="inlineStr">
        <is>
          <t>ท่าเรือแหลมฉบัง</t>
        </is>
      </c>
      <c r="E443" s="627" t="n">
        <v>4.5</v>
      </c>
      <c r="F443" s="625" t="inlineStr">
        <is>
          <t>Km</t>
        </is>
      </c>
      <c r="G443" s="625" t="inlineStr">
        <is>
          <t>รถเทรลเลอร์</t>
        </is>
      </c>
      <c r="H443" s="625" t="inlineStr">
        <is>
          <t>SYDNEY, AUSTRALIA</t>
        </is>
      </c>
      <c r="I443" s="629" t="n">
        <v>7448</v>
      </c>
      <c r="J443" s="628" t="inlineStr">
        <is>
          <t>Km</t>
        </is>
      </c>
      <c r="K443" s="630" t="n">
        <v>3620</v>
      </c>
      <c r="L443" s="640">
        <f>M443-K443</f>
        <v/>
      </c>
      <c r="M443" s="1797" t="n">
        <v>24322</v>
      </c>
      <c r="N443" s="1801" t="n">
        <v>16560</v>
      </c>
      <c r="O443" s="615" t="n">
        <v>0</v>
      </c>
      <c r="P443" s="641" t="n">
        <v>100</v>
      </c>
    </row>
    <row r="444" ht="15.75" customHeight="1">
      <c r="A444" s="631" t="inlineStr">
        <is>
          <t>FO23070020</t>
        </is>
      </c>
      <c r="B444" s="632" t="n">
        <v>45121</v>
      </c>
      <c r="C444" s="633" t="inlineStr">
        <is>
          <t>มัลติแบกซ์</t>
        </is>
      </c>
      <c r="D444" s="633" t="inlineStr">
        <is>
          <t>ท่าเรือแหลมฉบัง</t>
        </is>
      </c>
      <c r="E444" s="634" t="n">
        <v>4.5</v>
      </c>
      <c r="F444" s="631" t="inlineStr">
        <is>
          <t>Km</t>
        </is>
      </c>
      <c r="G444" s="631" t="inlineStr">
        <is>
          <t>รถเทรลเลอร์</t>
        </is>
      </c>
      <c r="H444" s="631" t="inlineStr">
        <is>
          <t>SYDNEY, AUSTRALIA</t>
        </is>
      </c>
      <c r="I444" s="636" t="n">
        <v>7448</v>
      </c>
      <c r="J444" s="635" t="inlineStr">
        <is>
          <t>Km</t>
        </is>
      </c>
      <c r="K444" s="637" t="n">
        <v>3840</v>
      </c>
      <c r="L444" s="642">
        <f>M444-K444</f>
        <v/>
      </c>
      <c r="M444" s="1799" t="n">
        <v>27792</v>
      </c>
      <c r="N444" s="1800" t="n">
        <v>20048</v>
      </c>
      <c r="O444" s="633" t="n">
        <v>0</v>
      </c>
      <c r="P444" s="643" t="n">
        <v>100</v>
      </c>
    </row>
    <row r="445" ht="15.75" customHeight="1">
      <c r="A445" s="625" t="inlineStr">
        <is>
          <t>FO23070021</t>
        </is>
      </c>
      <c r="B445" s="626" t="n">
        <v>45121</v>
      </c>
      <c r="C445" s="615" t="inlineStr">
        <is>
          <t>มัลติแบกซ์</t>
        </is>
      </c>
      <c r="D445" s="615" t="inlineStr">
        <is>
          <t>ท่าเรือแหลมฉบัง</t>
        </is>
      </c>
      <c r="E445" s="627" t="n">
        <v>4.5</v>
      </c>
      <c r="F445" s="625" t="inlineStr">
        <is>
          <t>Km</t>
        </is>
      </c>
      <c r="G445" s="625" t="inlineStr">
        <is>
          <t>รถเทรลเลอร์</t>
        </is>
      </c>
      <c r="H445" s="625" t="inlineStr">
        <is>
          <t>SYDNEY, AUSTRALIA</t>
        </is>
      </c>
      <c r="I445" s="629" t="n">
        <v>7448</v>
      </c>
      <c r="J445" s="628" t="inlineStr">
        <is>
          <t>Km</t>
        </is>
      </c>
      <c r="K445" s="630" t="n">
        <v>3640</v>
      </c>
      <c r="L445" s="640">
        <f>M445-K445</f>
        <v/>
      </c>
      <c r="M445" s="1797" t="n">
        <v>27592</v>
      </c>
      <c r="N445" s="1801" t="n">
        <v>21261</v>
      </c>
      <c r="O445" s="615" t="n">
        <v>0</v>
      </c>
      <c r="P445" s="641" t="n">
        <v>100</v>
      </c>
    </row>
    <row r="446" ht="15.75" customHeight="1">
      <c r="A446" s="631" t="inlineStr">
        <is>
          <t>FO23070022</t>
        </is>
      </c>
      <c r="B446" s="632" t="n">
        <v>45121</v>
      </c>
      <c r="C446" s="633" t="inlineStr">
        <is>
          <t>มัลติแบกซ์</t>
        </is>
      </c>
      <c r="D446" s="633" t="inlineStr">
        <is>
          <t>ท่าเรือแหลมฉบัง</t>
        </is>
      </c>
      <c r="E446" s="634" t="n">
        <v>6.5</v>
      </c>
      <c r="F446" s="631" t="inlineStr">
        <is>
          <t>Km</t>
        </is>
      </c>
      <c r="G446" s="631" t="inlineStr">
        <is>
          <t>รถเทรลเลอร์</t>
        </is>
      </c>
      <c r="H446" s="631" t="inlineStr">
        <is>
          <t>UK PORT</t>
        </is>
      </c>
      <c r="I446" s="636" t="n">
        <v>9687</v>
      </c>
      <c r="J446" s="635" t="inlineStr">
        <is>
          <t>Km</t>
        </is>
      </c>
      <c r="K446" s="637" t="n">
        <v>2180</v>
      </c>
      <c r="L446" s="642">
        <f>M446-K446</f>
        <v/>
      </c>
      <c r="M446" s="1799" t="n">
        <v>6332</v>
      </c>
      <c r="N446" s="1800" t="n">
        <v>3280</v>
      </c>
      <c r="O446" s="633" t="n">
        <v>0</v>
      </c>
      <c r="P446" s="643" t="n">
        <v>100</v>
      </c>
    </row>
    <row r="447" ht="15.75" customHeight="1">
      <c r="A447" s="625" t="inlineStr">
        <is>
          <t>FO23070023</t>
        </is>
      </c>
      <c r="B447" s="626" t="n">
        <v>45117</v>
      </c>
      <c r="C447" s="615" t="inlineStr">
        <is>
          <t>มัลติแบกซ์</t>
        </is>
      </c>
      <c r="D447" s="615" t="inlineStr">
        <is>
          <t>ท่าเรือแหลมฉบัง</t>
        </is>
      </c>
      <c r="E447" s="627" t="n">
        <v>7.1</v>
      </c>
      <c r="F447" s="625" t="inlineStr">
        <is>
          <t>Km</t>
        </is>
      </c>
      <c r="G447" s="625" t="inlineStr">
        <is>
          <t>รถเทรลเลอร์</t>
        </is>
      </c>
      <c r="H447" s="625" t="inlineStr">
        <is>
          <t>CARROLLTON TX, USA</t>
        </is>
      </c>
      <c r="I447" s="625" t="n">
        <v>14544</v>
      </c>
      <c r="J447" s="628" t="inlineStr">
        <is>
          <t>Km</t>
        </is>
      </c>
      <c r="K447" s="630" t="n">
        <v>3880</v>
      </c>
      <c r="L447" s="640">
        <f>M447-K447</f>
        <v/>
      </c>
      <c r="M447" s="1797" t="n">
        <v>22951.6</v>
      </c>
      <c r="N447" s="1801" t="n">
        <v>15602.4</v>
      </c>
      <c r="O447" s="615" t="n">
        <v>0</v>
      </c>
      <c r="P447" s="641" t="n">
        <v>100</v>
      </c>
    </row>
    <row r="448" ht="15.75" customHeight="1">
      <c r="A448" s="631" t="inlineStr">
        <is>
          <t>FO23070024</t>
        </is>
      </c>
      <c r="B448" s="632" t="n">
        <v>45115</v>
      </c>
      <c r="C448" s="633" t="inlineStr">
        <is>
          <t>มัลติแบกซ์</t>
        </is>
      </c>
      <c r="D448" s="633" t="inlineStr">
        <is>
          <t>ท่าเรือแหลมฉบัง</t>
        </is>
      </c>
      <c r="E448" s="634" t="n">
        <v>6.5</v>
      </c>
      <c r="F448" s="631" t="inlineStr">
        <is>
          <t>Km</t>
        </is>
      </c>
      <c r="G448" s="631" t="inlineStr">
        <is>
          <t>รถเทรลเลอร์</t>
        </is>
      </c>
      <c r="H448" s="631" t="inlineStr">
        <is>
          <t>PERRIS CA, USA</t>
        </is>
      </c>
      <c r="I448" s="636" t="n">
        <v>13413</v>
      </c>
      <c r="J448" s="635" t="inlineStr">
        <is>
          <t>Km</t>
        </is>
      </c>
      <c r="K448" s="637" t="n">
        <v>3830</v>
      </c>
      <c r="L448" s="642">
        <f>M448-K448</f>
        <v/>
      </c>
      <c r="M448" s="1799" t="n">
        <v>18669</v>
      </c>
      <c r="N448" s="1800" t="n">
        <v>12511.2</v>
      </c>
      <c r="O448" s="633" t="n">
        <v>0</v>
      </c>
      <c r="P448" s="643" t="n">
        <v>100</v>
      </c>
    </row>
    <row r="449" ht="15.75" customHeight="1">
      <c r="A449" s="625" t="inlineStr">
        <is>
          <t>FO23070025</t>
        </is>
      </c>
      <c r="B449" s="626" t="n">
        <v>45115</v>
      </c>
      <c r="C449" s="615" t="inlineStr">
        <is>
          <t>มัลติแบกซ์</t>
        </is>
      </c>
      <c r="D449" s="615" t="inlineStr">
        <is>
          <t>ท่าเรือแหลมฉบัง</t>
        </is>
      </c>
      <c r="E449" s="627" t="n">
        <v>6</v>
      </c>
      <c r="F449" s="625" t="inlineStr">
        <is>
          <t>Km</t>
        </is>
      </c>
      <c r="G449" s="625" t="inlineStr">
        <is>
          <t>รถเทรลเลอร์</t>
        </is>
      </c>
      <c r="H449" s="625" t="inlineStr">
        <is>
          <t>SOUTH BOSTON VA, USA</t>
        </is>
      </c>
      <c r="I449" s="629" t="n">
        <v>13787</v>
      </c>
      <c r="J449" s="628" t="inlineStr">
        <is>
          <t>Km</t>
        </is>
      </c>
      <c r="K449" s="630" t="n">
        <v>3670</v>
      </c>
      <c r="L449" s="640">
        <f>M449-K449</f>
        <v/>
      </c>
      <c r="M449" s="1797" t="n">
        <v>16944</v>
      </c>
      <c r="N449" s="1801" t="n">
        <v>9196</v>
      </c>
      <c r="O449" s="615" t="n">
        <v>0</v>
      </c>
      <c r="P449" s="641" t="n">
        <v>100</v>
      </c>
    </row>
    <row r="450" ht="15.75" customHeight="1">
      <c r="A450" s="631" t="inlineStr">
        <is>
          <t>FO23070026</t>
        </is>
      </c>
      <c r="B450" s="632" t="n">
        <v>45117</v>
      </c>
      <c r="C450" s="633" t="inlineStr">
        <is>
          <t>มัลติแบกซ์</t>
        </is>
      </c>
      <c r="D450" s="633" t="inlineStr">
        <is>
          <t>ท่าเรือแหลมฉบัง</t>
        </is>
      </c>
      <c r="E450" s="634" t="n">
        <v>11.7</v>
      </c>
      <c r="F450" s="631" t="inlineStr">
        <is>
          <t>Km</t>
        </is>
      </c>
      <c r="G450" s="631" t="inlineStr">
        <is>
          <t>รถเทรลเลอร์</t>
        </is>
      </c>
      <c r="H450" s="631" t="inlineStr">
        <is>
          <t>SHIMIZU, JAPAN</t>
        </is>
      </c>
      <c r="I450" s="636" t="n">
        <v>4482</v>
      </c>
      <c r="J450" s="635" t="inlineStr">
        <is>
          <t>Km</t>
        </is>
      </c>
      <c r="K450" s="637" t="n">
        <v>3700</v>
      </c>
      <c r="L450" s="642">
        <f>M450-K450</f>
        <v/>
      </c>
      <c r="M450" s="1799" t="n">
        <v>15546.8</v>
      </c>
      <c r="N450" s="1800" t="n">
        <v>9826.34</v>
      </c>
      <c r="O450" s="633" t="n">
        <v>0</v>
      </c>
      <c r="P450" s="643" t="n">
        <v>100</v>
      </c>
    </row>
    <row r="451" ht="15.75" customHeight="1">
      <c r="A451" s="625" t="inlineStr">
        <is>
          <t>FO23070027</t>
        </is>
      </c>
      <c r="B451" s="626" t="n">
        <v>45118</v>
      </c>
      <c r="C451" s="615" t="inlineStr">
        <is>
          <t>มัลติแบกซ์</t>
        </is>
      </c>
      <c r="D451" s="615" t="inlineStr">
        <is>
          <t>ท่าเรือแหลมฉบัง</t>
        </is>
      </c>
      <c r="E451" s="627" t="n">
        <v>6.2</v>
      </c>
      <c r="F451" s="625" t="inlineStr">
        <is>
          <t>Km</t>
        </is>
      </c>
      <c r="G451" s="625" t="inlineStr">
        <is>
          <t>รถเทรลเลอร์</t>
        </is>
      </c>
      <c r="H451" s="625" t="inlineStr">
        <is>
          <t>SENDAI, JAPAN</t>
        </is>
      </c>
      <c r="I451" s="629" t="n">
        <v>4823</v>
      </c>
      <c r="J451" s="628" t="inlineStr">
        <is>
          <t>Km</t>
        </is>
      </c>
      <c r="K451" s="630" t="n">
        <v>3760</v>
      </c>
      <c r="L451" s="640">
        <f>M451-K451</f>
        <v/>
      </c>
      <c r="M451" s="1797" t="n">
        <v>17481.68</v>
      </c>
      <c r="N451" s="1801" t="n">
        <v>11706.8</v>
      </c>
      <c r="O451" s="615" t="n">
        <v>0</v>
      </c>
      <c r="P451" s="641" t="n">
        <v>100</v>
      </c>
    </row>
    <row r="452" ht="15.75" customHeight="1">
      <c r="A452" s="631" t="inlineStr">
        <is>
          <t>FO23070028</t>
        </is>
      </c>
      <c r="B452" s="632" t="n">
        <v>45119</v>
      </c>
      <c r="C452" s="633" t="inlineStr">
        <is>
          <t>มัลติแบกซ์</t>
        </is>
      </c>
      <c r="D452" s="633" t="inlineStr">
        <is>
          <t>ท่าเรือแหลมฉบัง</t>
        </is>
      </c>
      <c r="E452" s="634" t="n">
        <v>7.1</v>
      </c>
      <c r="F452" s="631" t="inlineStr">
        <is>
          <t>Km</t>
        </is>
      </c>
      <c r="G452" s="631" t="inlineStr">
        <is>
          <t>รถเทรลเลอร์</t>
        </is>
      </c>
      <c r="H452" s="631" t="inlineStr">
        <is>
          <t>COLUMBUS OHIO, USA</t>
        </is>
      </c>
      <c r="I452" s="636" t="n">
        <v>14000</v>
      </c>
      <c r="J452" s="635" t="inlineStr">
        <is>
          <t>Km</t>
        </is>
      </c>
      <c r="K452" s="637" t="n">
        <v>3800</v>
      </c>
      <c r="L452" s="642">
        <f>M452-K452</f>
        <v/>
      </c>
      <c r="M452" s="1799" t="n">
        <v>21494.58</v>
      </c>
      <c r="N452" s="1800" t="n">
        <v>15506.08</v>
      </c>
      <c r="O452" s="633" t="n">
        <v>0</v>
      </c>
      <c r="P452" s="643" t="n">
        <v>100</v>
      </c>
    </row>
    <row r="453" ht="15.75" customHeight="1">
      <c r="A453" s="625" t="inlineStr">
        <is>
          <t>FO23070029</t>
        </is>
      </c>
      <c r="B453" s="626" t="n">
        <v>45119</v>
      </c>
      <c r="C453" s="615" t="inlineStr">
        <is>
          <t>มัลติแบกซ์</t>
        </is>
      </c>
      <c r="D453" s="615" t="inlineStr">
        <is>
          <t>ท่าเรือแหลมฉบัง</t>
        </is>
      </c>
      <c r="E453" s="627" t="n">
        <v>6.2</v>
      </c>
      <c r="F453" s="625" t="inlineStr">
        <is>
          <t>Km</t>
        </is>
      </c>
      <c r="G453" s="625" t="inlineStr">
        <is>
          <t>รถเทรลเลอร์</t>
        </is>
      </c>
      <c r="H453" s="625" t="inlineStr">
        <is>
          <t>SANTA TERESA, NM USA</t>
        </is>
      </c>
      <c r="I453" s="629" t="n">
        <v>17387</v>
      </c>
      <c r="J453" s="628" t="inlineStr">
        <is>
          <t>Km</t>
        </is>
      </c>
      <c r="K453" s="630" t="n">
        <v>3860</v>
      </c>
      <c r="L453" s="640">
        <f>M453-K453</f>
        <v/>
      </c>
      <c r="M453" s="1797" t="n">
        <v>22943.49</v>
      </c>
      <c r="N453" s="1801" t="n">
        <v>16416.8</v>
      </c>
      <c r="O453" s="615" t="n">
        <v>0</v>
      </c>
      <c r="P453" s="641" t="n">
        <v>100</v>
      </c>
    </row>
    <row r="454" ht="15.75" customHeight="1">
      <c r="A454" s="631" t="inlineStr">
        <is>
          <t>FO23070030</t>
        </is>
      </c>
      <c r="B454" s="632" t="n">
        <v>45119</v>
      </c>
      <c r="C454" s="633" t="inlineStr">
        <is>
          <t>มัลติแบกซ์</t>
        </is>
      </c>
      <c r="D454" s="633" t="inlineStr">
        <is>
          <t>ท่าเรือแหลมฉบัง</t>
        </is>
      </c>
      <c r="E454" s="634" t="n">
        <v>6.2</v>
      </c>
      <c r="F454" s="631" t="inlineStr">
        <is>
          <t>Km</t>
        </is>
      </c>
      <c r="G454" s="631" t="inlineStr">
        <is>
          <t>รถเทรลเลอร์</t>
        </is>
      </c>
      <c r="H454" s="631" t="inlineStr">
        <is>
          <t>SANTA TERESA, NM USA</t>
        </is>
      </c>
      <c r="I454" s="636" t="n">
        <v>17387</v>
      </c>
      <c r="J454" s="635" t="inlineStr">
        <is>
          <t>Km</t>
        </is>
      </c>
      <c r="K454" s="637" t="n">
        <v>3860</v>
      </c>
      <c r="L454" s="642">
        <f>M454-K454</f>
        <v/>
      </c>
      <c r="M454" s="1799" t="n">
        <v>21131.26</v>
      </c>
      <c r="N454" s="1800" t="n">
        <v>14968.04</v>
      </c>
      <c r="O454" s="633" t="n">
        <v>0</v>
      </c>
      <c r="P454" s="643" t="n">
        <v>100</v>
      </c>
    </row>
    <row r="455" ht="15.75" customHeight="1">
      <c r="A455" s="625" t="inlineStr">
        <is>
          <t>FO23070031</t>
        </is>
      </c>
      <c r="B455" s="626" t="n">
        <v>45120</v>
      </c>
      <c r="C455" s="615" t="inlineStr">
        <is>
          <t>มัลติแบกซ์</t>
        </is>
      </c>
      <c r="D455" s="615" t="inlineStr">
        <is>
          <t>ท่าเรือแหลมฉบัง</t>
        </is>
      </c>
      <c r="E455" s="627" t="n">
        <v>7.1</v>
      </c>
      <c r="F455" s="625" t="inlineStr">
        <is>
          <t>Km</t>
        </is>
      </c>
      <c r="G455" s="625" t="inlineStr">
        <is>
          <t>รถเทรลเลอร์</t>
        </is>
      </c>
      <c r="H455" s="625" t="inlineStr">
        <is>
          <t>HAMAD, QATAR</t>
        </is>
      </c>
      <c r="I455" s="629" t="n">
        <v>5317</v>
      </c>
      <c r="J455" s="628" t="inlineStr">
        <is>
          <t>Km</t>
        </is>
      </c>
      <c r="K455" s="630" t="n">
        <v>2260</v>
      </c>
      <c r="L455" s="640">
        <f>M455-K455</f>
        <v/>
      </c>
      <c r="M455" s="1797" t="n">
        <v>5386.29</v>
      </c>
      <c r="N455" s="1801" t="n">
        <v>2152.17</v>
      </c>
      <c r="O455" s="615" t="n">
        <v>0</v>
      </c>
      <c r="P455" s="641" t="n">
        <v>100</v>
      </c>
    </row>
    <row r="456" ht="15.75" customHeight="1">
      <c r="A456" s="631" t="inlineStr">
        <is>
          <t>FO23070032</t>
        </is>
      </c>
      <c r="B456" s="632" t="n">
        <v>45120</v>
      </c>
      <c r="C456" s="633" t="inlineStr">
        <is>
          <t>มัลติแบกซ์</t>
        </is>
      </c>
      <c r="D456" s="633" t="inlineStr">
        <is>
          <t>ท่าเรือแหลมฉบัง</t>
        </is>
      </c>
      <c r="E456" s="634" t="n">
        <v>6.2</v>
      </c>
      <c r="F456" s="631" t="inlineStr">
        <is>
          <t>Km</t>
        </is>
      </c>
      <c r="G456" s="631" t="inlineStr">
        <is>
          <t>รถเทรลเลอร์</t>
        </is>
      </c>
      <c r="H456" s="631" t="inlineStr">
        <is>
          <t>APPLETON WI , USA</t>
        </is>
      </c>
      <c r="I456" s="631" t="n">
        <v>13558</v>
      </c>
      <c r="J456" s="635" t="inlineStr">
        <is>
          <t>Km</t>
        </is>
      </c>
      <c r="K456" s="637" t="n">
        <v>3860</v>
      </c>
      <c r="L456" s="642">
        <f>M456-K456</f>
        <v/>
      </c>
      <c r="M456" s="1799" t="n">
        <v>18128.5</v>
      </c>
      <c r="N456" s="1800" t="n">
        <v>11401.1</v>
      </c>
      <c r="O456" s="633" t="n">
        <v>0</v>
      </c>
      <c r="P456" s="643" t="n">
        <v>100</v>
      </c>
    </row>
    <row r="457" ht="15.75" customHeight="1">
      <c r="A457" s="625" t="inlineStr">
        <is>
          <t>FO23070033</t>
        </is>
      </c>
      <c r="B457" s="626" t="n">
        <v>45126</v>
      </c>
      <c r="C457" s="615" t="inlineStr">
        <is>
          <t>มัลติแบกซ์</t>
        </is>
      </c>
      <c r="D457" s="615" t="inlineStr">
        <is>
          <t>ท่าเรือแหลมฉบัง</t>
        </is>
      </c>
      <c r="E457" s="627" t="n">
        <v>6.2</v>
      </c>
      <c r="F457" s="625" t="inlineStr">
        <is>
          <t>Km</t>
        </is>
      </c>
      <c r="G457" s="625" t="inlineStr">
        <is>
          <t>รถเทรลเลอร์</t>
        </is>
      </c>
      <c r="H457" s="625" t="inlineStr">
        <is>
          <t>APPLETON WI , USA</t>
        </is>
      </c>
      <c r="I457" s="625" t="n">
        <v>13558</v>
      </c>
      <c r="J457" s="628" t="inlineStr">
        <is>
          <t>Km</t>
        </is>
      </c>
      <c r="K457" s="630" t="n">
        <v>3620</v>
      </c>
      <c r="L457" s="640">
        <f>M457-K457</f>
        <v/>
      </c>
      <c r="M457" s="1797" t="n">
        <v>15873.5</v>
      </c>
      <c r="N457" s="1801" t="n">
        <v>9776.9</v>
      </c>
      <c r="O457" s="615" t="n">
        <v>0</v>
      </c>
      <c r="P457" s="641" t="n">
        <v>100</v>
      </c>
    </row>
    <row r="458" ht="15.75" customHeight="1">
      <c r="A458" s="631" t="inlineStr">
        <is>
          <t>FO23070034</t>
        </is>
      </c>
      <c r="B458" s="632" t="n">
        <v>45121</v>
      </c>
      <c r="C458" s="633" t="inlineStr">
        <is>
          <t>มัลติแบกซ์</t>
        </is>
      </c>
      <c r="D458" s="633" t="inlineStr">
        <is>
          <t>ท่าเรือแหลมฉบัง</t>
        </is>
      </c>
      <c r="E458" s="634" t="n">
        <v>6</v>
      </c>
      <c r="F458" s="631" t="inlineStr">
        <is>
          <t>Km</t>
        </is>
      </c>
      <c r="G458" s="631" t="inlineStr">
        <is>
          <t>รถเทรลเลอร์</t>
        </is>
      </c>
      <c r="H458" s="631" t="inlineStr">
        <is>
          <t>SOUTH BOSTON VA, USA</t>
        </is>
      </c>
      <c r="I458" s="636" t="n">
        <v>13787</v>
      </c>
      <c r="J458" s="635" t="inlineStr">
        <is>
          <t>Km</t>
        </is>
      </c>
      <c r="K458" s="637" t="n">
        <v>3860</v>
      </c>
      <c r="L458" s="642">
        <f>M458-K458</f>
        <v/>
      </c>
      <c r="M458" s="1799" t="n">
        <v>18490</v>
      </c>
      <c r="N458" s="1800" t="n">
        <v>11855.58</v>
      </c>
      <c r="O458" s="633" t="n">
        <v>0</v>
      </c>
      <c r="P458" s="643" t="n">
        <v>100</v>
      </c>
    </row>
    <row r="459" ht="15.75" customHeight="1">
      <c r="A459" s="625" t="inlineStr">
        <is>
          <t>FO23070035</t>
        </is>
      </c>
      <c r="B459" s="626" t="n">
        <v>45117</v>
      </c>
      <c r="C459" s="615" t="inlineStr">
        <is>
          <t>มัลติแบกซ์</t>
        </is>
      </c>
      <c r="D459" s="615" t="inlineStr">
        <is>
          <t>ท่าเรือแหลมฉบัง</t>
        </is>
      </c>
      <c r="E459" s="627" t="n">
        <v>7.1</v>
      </c>
      <c r="F459" s="625" t="inlineStr">
        <is>
          <t>Km</t>
        </is>
      </c>
      <c r="G459" s="625" t="inlineStr">
        <is>
          <t>รถเทรลเลอร์</t>
        </is>
      </c>
      <c r="H459" s="625" t="inlineStr">
        <is>
          <t>UNIVERSITY PARK IL, USA</t>
        </is>
      </c>
      <c r="I459" s="629" t="n">
        <v>13877</v>
      </c>
      <c r="J459" s="628" t="inlineStr">
        <is>
          <t>Km</t>
        </is>
      </c>
      <c r="K459" s="630" t="n">
        <v>3770</v>
      </c>
      <c r="L459" s="640">
        <f>M459-K459</f>
        <v/>
      </c>
      <c r="M459" s="1797" t="n">
        <v>13959.8</v>
      </c>
      <c r="N459" s="1801" t="n">
        <v>7660</v>
      </c>
      <c r="O459" s="615" t="n">
        <v>0</v>
      </c>
      <c r="P459" s="641" t="n">
        <v>100</v>
      </c>
    </row>
    <row r="460" ht="15.75" customHeight="1">
      <c r="A460" s="631" t="inlineStr">
        <is>
          <t>FO23070036</t>
        </is>
      </c>
      <c r="B460" s="632" t="n">
        <v>45117</v>
      </c>
      <c r="C460" s="633" t="inlineStr">
        <is>
          <t>มัลติแบกซ์</t>
        </is>
      </c>
      <c r="D460" s="633" t="inlineStr">
        <is>
          <t>ท่าเรือแหลมฉบัง</t>
        </is>
      </c>
      <c r="E460" s="634" t="n">
        <v>7.1</v>
      </c>
      <c r="F460" s="631" t="inlineStr">
        <is>
          <t>Km</t>
        </is>
      </c>
      <c r="G460" s="631" t="inlineStr">
        <is>
          <t>รถเทรลเลอร์</t>
        </is>
      </c>
      <c r="H460" s="631" t="inlineStr">
        <is>
          <t>UNIVERSITY PARK IL, USA</t>
        </is>
      </c>
      <c r="I460" s="636" t="n">
        <v>13877</v>
      </c>
      <c r="J460" s="635" t="inlineStr">
        <is>
          <t>Km</t>
        </is>
      </c>
      <c r="K460" s="637" t="n">
        <v>3830</v>
      </c>
      <c r="L460" s="642">
        <f>M460-K460</f>
        <v/>
      </c>
      <c r="M460" s="1799" t="n">
        <v>15844</v>
      </c>
      <c r="N460" s="1800" t="n">
        <v>8988</v>
      </c>
      <c r="O460" s="633" t="n">
        <v>0</v>
      </c>
      <c r="P460" s="643" t="n">
        <v>100</v>
      </c>
    </row>
    <row r="461" ht="15.75" customHeight="1">
      <c r="A461" s="625" t="inlineStr">
        <is>
          <t>FO23070037</t>
        </is>
      </c>
      <c r="B461" s="626" t="n">
        <v>45117</v>
      </c>
      <c r="C461" s="615" t="inlineStr">
        <is>
          <t>มัลติแบกซ์</t>
        </is>
      </c>
      <c r="D461" s="615" t="inlineStr">
        <is>
          <t>ท่าเรือแหลมฉบัง</t>
        </is>
      </c>
      <c r="E461" s="627" t="n">
        <v>7.1</v>
      </c>
      <c r="F461" s="625" t="inlineStr">
        <is>
          <t>Km</t>
        </is>
      </c>
      <c r="G461" s="625" t="inlineStr">
        <is>
          <t>รถเทรลเลอร์</t>
        </is>
      </c>
      <c r="H461" s="625" t="inlineStr">
        <is>
          <t>UNIVERSITY PARK IL, USA</t>
        </is>
      </c>
      <c r="I461" s="629" t="n">
        <v>13877</v>
      </c>
      <c r="J461" s="628" t="inlineStr">
        <is>
          <t>Km</t>
        </is>
      </c>
      <c r="K461" s="630" t="n">
        <v>3840</v>
      </c>
      <c r="L461" s="640">
        <f>M461-K461</f>
        <v/>
      </c>
      <c r="M461" s="1797" t="n">
        <v>14566</v>
      </c>
      <c r="N461" s="1801" t="n">
        <v>8196.200000000001</v>
      </c>
      <c r="O461" s="615" t="n">
        <v>0</v>
      </c>
      <c r="P461" s="641" t="n">
        <v>100</v>
      </c>
    </row>
    <row r="462" ht="15.75" customHeight="1">
      <c r="A462" s="631" t="inlineStr">
        <is>
          <t>FO23070038</t>
        </is>
      </c>
      <c r="B462" s="632" t="n">
        <v>45117</v>
      </c>
      <c r="C462" s="633" t="inlineStr">
        <is>
          <t>มัลติแบกซ์</t>
        </is>
      </c>
      <c r="D462" s="633" t="inlineStr">
        <is>
          <t>ท่าเรือแหลมฉบัง</t>
        </is>
      </c>
      <c r="E462" s="634" t="n">
        <v>6.5</v>
      </c>
      <c r="F462" s="631" t="inlineStr">
        <is>
          <t>Km</t>
        </is>
      </c>
      <c r="G462" s="631" t="inlineStr">
        <is>
          <t>รถเทรลเลอร์</t>
        </is>
      </c>
      <c r="H462" s="631" t="inlineStr">
        <is>
          <t>JACKSONVILLE IL, USA</t>
        </is>
      </c>
      <c r="I462" s="636" t="n">
        <v>15168</v>
      </c>
      <c r="J462" s="635" t="inlineStr">
        <is>
          <t>Km</t>
        </is>
      </c>
      <c r="K462" s="637" t="n">
        <v>3700</v>
      </c>
      <c r="L462" s="642">
        <f>M462-K462</f>
        <v/>
      </c>
      <c r="M462" s="1799" t="n">
        <v>23559.6</v>
      </c>
      <c r="N462" s="1800" t="n">
        <v>16464</v>
      </c>
      <c r="O462" s="633" t="n">
        <v>0</v>
      </c>
      <c r="P462" s="643" t="n">
        <v>100</v>
      </c>
    </row>
    <row r="463" ht="15.75" customHeight="1">
      <c r="A463" s="625" t="inlineStr">
        <is>
          <t>FO23070039</t>
        </is>
      </c>
      <c r="B463" s="626" t="n">
        <v>45115</v>
      </c>
      <c r="C463" s="615" t="inlineStr">
        <is>
          <t>มัลติแบกซ์</t>
        </is>
      </c>
      <c r="D463" s="615" t="inlineStr">
        <is>
          <t>ท่าเรือแหลมฉบัง</t>
        </is>
      </c>
      <c r="E463" s="627" t="n">
        <v>6.5</v>
      </c>
      <c r="F463" s="625" t="inlineStr">
        <is>
          <t>Km</t>
        </is>
      </c>
      <c r="G463" s="625" t="inlineStr">
        <is>
          <t>รถเทรลเลอร์</t>
        </is>
      </c>
      <c r="H463" s="625" t="inlineStr">
        <is>
          <t>JACKSONVILLE IL, USA</t>
        </is>
      </c>
      <c r="I463" s="629" t="n">
        <v>15168</v>
      </c>
      <c r="J463" s="628" t="inlineStr">
        <is>
          <t>Km</t>
        </is>
      </c>
      <c r="K463" s="630" t="n">
        <v>3840</v>
      </c>
      <c r="L463" s="640">
        <f>M463-K463</f>
        <v/>
      </c>
      <c r="M463" s="1797" t="n">
        <v>23699</v>
      </c>
      <c r="N463" s="1801" t="n">
        <v>16464</v>
      </c>
      <c r="O463" s="615" t="n">
        <v>0</v>
      </c>
      <c r="P463" s="641" t="n">
        <v>100</v>
      </c>
    </row>
    <row r="464" ht="15.75" customHeight="1">
      <c r="A464" s="631" t="inlineStr">
        <is>
          <t>FO23070040</t>
        </is>
      </c>
      <c r="B464" s="632" t="n">
        <v>45115</v>
      </c>
      <c r="C464" s="633" t="inlineStr">
        <is>
          <t>มัลติแบกซ์</t>
        </is>
      </c>
      <c r="D464" s="633" t="inlineStr">
        <is>
          <t>ท่าเรือแหลมฉบัง</t>
        </is>
      </c>
      <c r="E464" s="634" t="n">
        <v>6.5</v>
      </c>
      <c r="F464" s="631" t="inlineStr">
        <is>
          <t>Km</t>
        </is>
      </c>
      <c r="G464" s="631" t="inlineStr">
        <is>
          <t>รถเทรลเลอร์</t>
        </is>
      </c>
      <c r="H464" s="631" t="inlineStr">
        <is>
          <t>JACKSONVILLE IL, USA</t>
        </is>
      </c>
      <c r="I464" s="636" t="n">
        <v>15168</v>
      </c>
      <c r="J464" s="635" t="inlineStr">
        <is>
          <t>Km</t>
        </is>
      </c>
      <c r="K464" s="637" t="n">
        <v>3700</v>
      </c>
      <c r="L464" s="642">
        <f>M464-K464</f>
        <v/>
      </c>
      <c r="M464" s="1799" t="n">
        <v>23559.6</v>
      </c>
      <c r="N464" s="1800" t="n">
        <v>16464</v>
      </c>
      <c r="O464" s="633" t="n">
        <v>0</v>
      </c>
      <c r="P464" s="643" t="n">
        <v>100</v>
      </c>
    </row>
    <row r="465" ht="15.75" customHeight="1">
      <c r="A465" s="625" t="inlineStr">
        <is>
          <t>FO23070041</t>
        </is>
      </c>
      <c r="B465" s="626" t="n">
        <v>45125</v>
      </c>
      <c r="C465" s="615" t="inlineStr">
        <is>
          <t>มัลติแบกซ์</t>
        </is>
      </c>
      <c r="D465" s="615" t="inlineStr">
        <is>
          <t>ท่าเรือแหลมฉบัง</t>
        </is>
      </c>
      <c r="E465" s="627" t="n">
        <v>4.5</v>
      </c>
      <c r="F465" s="625" t="inlineStr">
        <is>
          <t>Km</t>
        </is>
      </c>
      <c r="G465" s="625" t="inlineStr">
        <is>
          <t>รถเทรลเลอร์</t>
        </is>
      </c>
      <c r="H465" s="625" t="inlineStr">
        <is>
          <t>SYDNEY, AUSTRALIA</t>
        </is>
      </c>
      <c r="I465" s="629" t="n">
        <v>7448</v>
      </c>
      <c r="J465" s="628" t="inlineStr">
        <is>
          <t>Km</t>
        </is>
      </c>
      <c r="K465" s="630" t="n">
        <v>3740</v>
      </c>
      <c r="L465" s="640">
        <f>M465-K465</f>
        <v/>
      </c>
      <c r="M465" s="1797" t="n">
        <v>27367</v>
      </c>
      <c r="N465" s="1801" t="n">
        <v>21681</v>
      </c>
      <c r="O465" s="615" t="n">
        <v>0</v>
      </c>
      <c r="P465" s="641" t="n">
        <v>100</v>
      </c>
    </row>
    <row r="466" ht="15.75" customHeight="1">
      <c r="A466" s="631" t="inlineStr">
        <is>
          <t>FO23070042</t>
        </is>
      </c>
      <c r="B466" s="632" t="n">
        <v>45126</v>
      </c>
      <c r="C466" s="633" t="inlineStr">
        <is>
          <t>มัลติแบกซ์</t>
        </is>
      </c>
      <c r="D466" s="633" t="inlineStr">
        <is>
          <t>ท่าเรือแหลมฉบัง</t>
        </is>
      </c>
      <c r="E466" s="634" t="n">
        <v>4.5</v>
      </c>
      <c r="F466" s="631" t="inlineStr">
        <is>
          <t>Km</t>
        </is>
      </c>
      <c r="G466" s="631" t="inlineStr">
        <is>
          <t>รถเทรลเลอร์</t>
        </is>
      </c>
      <c r="H466" s="631" t="inlineStr">
        <is>
          <t>SYDNEY, AUSTRALIA</t>
        </is>
      </c>
      <c r="I466" s="636" t="n">
        <v>7448</v>
      </c>
      <c r="J466" s="635" t="inlineStr">
        <is>
          <t>Km</t>
        </is>
      </c>
      <c r="K466" s="637" t="n">
        <v>3830</v>
      </c>
      <c r="L466" s="642">
        <f>M466-K466</f>
        <v/>
      </c>
      <c r="M466" s="1799" t="n">
        <v>27732</v>
      </c>
      <c r="N466" s="1800" t="n">
        <v>17054</v>
      </c>
      <c r="O466" s="633" t="n">
        <v>0</v>
      </c>
      <c r="P466" s="643" t="n">
        <v>100</v>
      </c>
    </row>
    <row r="467" ht="15.75" customHeight="1">
      <c r="A467" s="625" t="inlineStr">
        <is>
          <t>FO23070048</t>
        </is>
      </c>
      <c r="B467" s="626" t="n">
        <v>45121</v>
      </c>
      <c r="C467" s="615" t="inlineStr">
        <is>
          <t>มัลติแบกซ์</t>
        </is>
      </c>
      <c r="D467" s="615" t="inlineStr">
        <is>
          <t>ท่าเรือแหลมฉบัง</t>
        </is>
      </c>
      <c r="E467" s="627" t="n">
        <v>6.5</v>
      </c>
      <c r="F467" s="625" t="inlineStr">
        <is>
          <t>Km</t>
        </is>
      </c>
      <c r="G467" s="625" t="inlineStr">
        <is>
          <t>รถเทรลเลอร์</t>
        </is>
      </c>
      <c r="H467" s="625" t="inlineStr">
        <is>
          <t>PORT CAUCEDO, DOMINICAN REPUBLIC</t>
        </is>
      </c>
      <c r="I467" s="629" t="n">
        <v>16332</v>
      </c>
      <c r="J467" s="628" t="inlineStr">
        <is>
          <t>Km</t>
        </is>
      </c>
      <c r="K467" s="630" t="n">
        <v>3700</v>
      </c>
      <c r="L467" s="640">
        <f>M467-K467</f>
        <v/>
      </c>
      <c r="M467" s="1797" t="n">
        <v>14452.6</v>
      </c>
      <c r="N467" s="1801" t="n">
        <v>8043.28</v>
      </c>
      <c r="O467" s="615" t="n">
        <v>0</v>
      </c>
      <c r="P467" s="641" t="n">
        <v>100</v>
      </c>
    </row>
    <row r="468" ht="15.75" customHeight="1">
      <c r="A468" s="631" t="inlineStr">
        <is>
          <t>FO23070049</t>
        </is>
      </c>
      <c r="B468" s="632" t="n">
        <v>45131</v>
      </c>
      <c r="C468" s="633" t="inlineStr">
        <is>
          <t>มัลติแบกซ์</t>
        </is>
      </c>
      <c r="D468" s="633" t="inlineStr">
        <is>
          <t>ท่าเรือแหลมฉบัง</t>
        </is>
      </c>
      <c r="E468" s="634" t="n">
        <v>6.5</v>
      </c>
      <c r="F468" s="631" t="inlineStr">
        <is>
          <t>Km</t>
        </is>
      </c>
      <c r="G468" s="631" t="inlineStr">
        <is>
          <t>รถเทรลเลอร์</t>
        </is>
      </c>
      <c r="H468" s="631" t="inlineStr">
        <is>
          <t>HAMBURG, GERMANY</t>
        </is>
      </c>
      <c r="I468" s="636" t="n">
        <v>8894</v>
      </c>
      <c r="J468" s="635" t="inlineStr">
        <is>
          <t>Km</t>
        </is>
      </c>
      <c r="K468" s="637" t="n">
        <v>2360</v>
      </c>
      <c r="L468" s="642">
        <f>M468-K468</f>
        <v/>
      </c>
      <c r="M468" s="1799" t="n">
        <v>16082.9</v>
      </c>
      <c r="N468" s="1800" t="n">
        <v>13095.72</v>
      </c>
      <c r="O468" s="633" t="n">
        <v>0</v>
      </c>
      <c r="P468" s="643" t="n">
        <v>100</v>
      </c>
    </row>
    <row r="469" ht="15.75" customHeight="1">
      <c r="A469" s="625" t="inlineStr">
        <is>
          <t>FO23070050</t>
        </is>
      </c>
      <c r="B469" s="626" t="n">
        <v>45131</v>
      </c>
      <c r="C469" s="615" t="inlineStr">
        <is>
          <t>มัลติแบกซ์</t>
        </is>
      </c>
      <c r="D469" s="615" t="inlineStr">
        <is>
          <t>ท่าเรือแหลมฉบัง</t>
        </is>
      </c>
      <c r="E469" s="627" t="n">
        <v>6.5</v>
      </c>
      <c r="F469" s="625" t="inlineStr">
        <is>
          <t>Km</t>
        </is>
      </c>
      <c r="G469" s="625" t="inlineStr">
        <is>
          <t>รถเทรลเลอร์</t>
        </is>
      </c>
      <c r="H469" s="625" t="inlineStr">
        <is>
          <t>ROTTERDAM, NETHERLANDS</t>
        </is>
      </c>
      <c r="I469" s="629" t="n">
        <v>9292</v>
      </c>
      <c r="J469" s="628" t="inlineStr">
        <is>
          <t>Km</t>
        </is>
      </c>
      <c r="K469" s="630" t="n">
        <v>2250</v>
      </c>
      <c r="L469" s="640">
        <f>M469-K469</f>
        <v/>
      </c>
      <c r="M469" s="1797" t="n">
        <v>17055</v>
      </c>
      <c r="N469" s="1801" t="n">
        <v>14226.6</v>
      </c>
      <c r="O469" s="615" t="n">
        <v>0</v>
      </c>
      <c r="P469" s="641" t="n">
        <v>100</v>
      </c>
    </row>
    <row r="470" ht="15.75" customHeight="1">
      <c r="A470" s="631" t="inlineStr">
        <is>
          <t>FO23070051</t>
        </is>
      </c>
      <c r="B470" s="632" t="n">
        <v>45126</v>
      </c>
      <c r="C470" s="633" t="inlineStr">
        <is>
          <t>มัลติแบกซ์</t>
        </is>
      </c>
      <c r="D470" s="633" t="inlineStr">
        <is>
          <t>ท่าเรือแหลมฉบัง</t>
        </is>
      </c>
      <c r="E470" s="634" t="n">
        <v>6.2</v>
      </c>
      <c r="F470" s="631" t="inlineStr">
        <is>
          <t>Km</t>
        </is>
      </c>
      <c r="G470" s="631" t="inlineStr">
        <is>
          <t>รถเทรลเลอร์</t>
        </is>
      </c>
      <c r="H470" s="631" t="inlineStr">
        <is>
          <t>COLUMBUS OHIO, USA</t>
        </is>
      </c>
      <c r="I470" s="636" t="n">
        <v>14000</v>
      </c>
      <c r="J470" s="635" t="inlineStr">
        <is>
          <t>Km</t>
        </is>
      </c>
      <c r="K470" s="637" t="n">
        <v>3700</v>
      </c>
      <c r="L470" s="642">
        <f>M470-K470</f>
        <v/>
      </c>
      <c r="M470" s="1799" t="n">
        <v>22185.8</v>
      </c>
      <c r="N470" s="1800" t="n">
        <v>15889.04</v>
      </c>
      <c r="O470" s="633" t="n">
        <v>0</v>
      </c>
      <c r="P470" s="643" t="n">
        <v>100</v>
      </c>
    </row>
    <row r="471" ht="15.75" customHeight="1">
      <c r="A471" s="625" t="inlineStr">
        <is>
          <t>FO23070052</t>
        </is>
      </c>
      <c r="B471" s="626" t="n">
        <v>45127</v>
      </c>
      <c r="C471" s="615" t="inlineStr">
        <is>
          <t>มัลติแบกซ์</t>
        </is>
      </c>
      <c r="D471" s="615" t="inlineStr">
        <is>
          <t>ท่าเรือแหลมฉบัง</t>
        </is>
      </c>
      <c r="E471" s="627" t="n">
        <v>6.5</v>
      </c>
      <c r="F471" s="625" t="inlineStr">
        <is>
          <t>Km</t>
        </is>
      </c>
      <c r="G471" s="625" t="inlineStr">
        <is>
          <t>รถเทรลเลอร์</t>
        </is>
      </c>
      <c r="H471" s="625" t="inlineStr">
        <is>
          <t>DURBAN, SOUTH AFRICA</t>
        </is>
      </c>
      <c r="I471" s="625" t="n">
        <v>8865</v>
      </c>
      <c r="J471" s="628" t="inlineStr">
        <is>
          <t>Km</t>
        </is>
      </c>
      <c r="K471" s="630" t="n">
        <v>2220</v>
      </c>
      <c r="L471" s="640">
        <f>M471-K471</f>
        <v/>
      </c>
      <c r="M471" s="1797" t="n">
        <v>12638</v>
      </c>
      <c r="N471" s="1801" t="n">
        <v>10416</v>
      </c>
      <c r="O471" s="615" t="n">
        <v>0</v>
      </c>
      <c r="P471" s="641" t="n">
        <v>100</v>
      </c>
    </row>
    <row r="472" ht="15.75" customHeight="1">
      <c r="A472" s="631" t="inlineStr">
        <is>
          <t>FO23070053</t>
        </is>
      </c>
      <c r="B472" s="632" t="n">
        <v>45127</v>
      </c>
      <c r="C472" s="633" t="inlineStr">
        <is>
          <t>มัลติแบกซ์</t>
        </is>
      </c>
      <c r="D472" s="633" t="inlineStr">
        <is>
          <t>ท่าเรือแหลมฉบัง</t>
        </is>
      </c>
      <c r="E472" s="634" t="n">
        <v>3.6</v>
      </c>
      <c r="F472" s="631" t="inlineStr">
        <is>
          <t>Km</t>
        </is>
      </c>
      <c r="G472" s="631" t="inlineStr">
        <is>
          <t>รถเทรลเลอร์</t>
        </is>
      </c>
      <c r="H472" s="631" t="inlineStr">
        <is>
          <t>TOMAKOMAI, JAPAN</t>
        </is>
      </c>
      <c r="I472" s="636" t="n">
        <v>5092</v>
      </c>
      <c r="J472" s="635" t="inlineStr">
        <is>
          <t>Km</t>
        </is>
      </c>
      <c r="K472" s="637" t="n">
        <v>2200</v>
      </c>
      <c r="L472" s="642">
        <f>M472-K472</f>
        <v/>
      </c>
      <c r="M472" s="1799" t="n">
        <v>8429.08</v>
      </c>
      <c r="N472" s="1800" t="n">
        <v>5304.04</v>
      </c>
      <c r="O472" s="633" t="n">
        <v>0</v>
      </c>
      <c r="P472" s="643" t="n">
        <v>100</v>
      </c>
    </row>
    <row r="473" ht="15.75" customHeight="1">
      <c r="A473" s="625" t="inlineStr">
        <is>
          <t>FO23070054</t>
        </is>
      </c>
      <c r="B473" s="626" t="n">
        <v>45126</v>
      </c>
      <c r="C473" s="615" t="inlineStr">
        <is>
          <t>มัลติแบกซ์</t>
        </is>
      </c>
      <c r="D473" s="615" t="inlineStr">
        <is>
          <t>ท่าเรือแหลมฉบัง</t>
        </is>
      </c>
      <c r="E473" s="627" t="n">
        <v>7.1</v>
      </c>
      <c r="F473" s="625" t="inlineStr">
        <is>
          <t>Km</t>
        </is>
      </c>
      <c r="G473" s="625" t="inlineStr">
        <is>
          <t>รถเทรลเลอร์</t>
        </is>
      </c>
      <c r="H473" s="625" t="inlineStr">
        <is>
          <t>KLANG, MALAYSIA</t>
        </is>
      </c>
      <c r="I473" s="629" t="n">
        <v>1588</v>
      </c>
      <c r="J473" s="628" t="inlineStr">
        <is>
          <t>Km</t>
        </is>
      </c>
      <c r="K473" s="630" t="n">
        <v>2180</v>
      </c>
      <c r="L473" s="640">
        <f>M473-K473</f>
        <v/>
      </c>
      <c r="M473" s="1797" t="n">
        <v>6642.16</v>
      </c>
      <c r="N473" s="1801" t="n">
        <v>3329.92</v>
      </c>
      <c r="O473" s="615" t="n">
        <v>0</v>
      </c>
      <c r="P473" s="641" t="n">
        <v>100</v>
      </c>
    </row>
    <row r="474" ht="15.75" customHeight="1">
      <c r="A474" s="631" t="inlineStr">
        <is>
          <t>FO23070055</t>
        </is>
      </c>
      <c r="B474" s="632" t="n">
        <v>45127</v>
      </c>
      <c r="C474" s="633" t="inlineStr">
        <is>
          <t>มัลติแบกซ์</t>
        </is>
      </c>
      <c r="D474" s="633" t="inlineStr">
        <is>
          <t>ท่าเรือแหลมฉบัง</t>
        </is>
      </c>
      <c r="E474" s="634" t="n">
        <v>6.2</v>
      </c>
      <c r="F474" s="631" t="inlineStr">
        <is>
          <t>Km</t>
        </is>
      </c>
      <c r="G474" s="631" t="inlineStr">
        <is>
          <t>รถเทรลเลอร์</t>
        </is>
      </c>
      <c r="H474" s="631" t="inlineStr">
        <is>
          <t>JACKSONVILLE IL, USA</t>
        </is>
      </c>
      <c r="I474" s="636" t="n">
        <v>15168</v>
      </c>
      <c r="J474" s="635" t="inlineStr">
        <is>
          <t>Km</t>
        </is>
      </c>
      <c r="K474" s="637" t="n">
        <v>3700</v>
      </c>
      <c r="L474" s="642">
        <f>M474-K474</f>
        <v/>
      </c>
      <c r="M474" s="1799" t="n">
        <v>23559.6</v>
      </c>
      <c r="N474" s="1800" t="n">
        <v>16464</v>
      </c>
      <c r="O474" s="633" t="n">
        <v>0</v>
      </c>
      <c r="P474" s="643" t="n">
        <v>100</v>
      </c>
    </row>
    <row r="475" ht="15.75" customHeight="1">
      <c r="A475" s="625" t="inlineStr">
        <is>
          <t>FO23070056</t>
        </is>
      </c>
      <c r="B475" s="626" t="n">
        <v>45126</v>
      </c>
      <c r="C475" s="615" t="inlineStr">
        <is>
          <t>มัลติแบกซ์</t>
        </is>
      </c>
      <c r="D475" s="615" t="inlineStr">
        <is>
          <t>ท่าเรือแหลมฉบัง</t>
        </is>
      </c>
      <c r="E475" s="627" t="n">
        <v>7.1</v>
      </c>
      <c r="F475" s="625" t="inlineStr">
        <is>
          <t>Km</t>
        </is>
      </c>
      <c r="G475" s="625" t="inlineStr">
        <is>
          <t>รถเทรลเลอร์</t>
        </is>
      </c>
      <c r="H475" s="625" t="inlineStr">
        <is>
          <t>GUANGZHOU, CHINA</t>
        </is>
      </c>
      <c r="I475" s="629" t="n">
        <v>2597</v>
      </c>
      <c r="J475" s="628" t="inlineStr">
        <is>
          <t>Km</t>
        </is>
      </c>
      <c r="K475" s="630" t="n">
        <v>2220</v>
      </c>
      <c r="L475" s="640">
        <f>M475-K475</f>
        <v/>
      </c>
      <c r="M475" s="1797" t="n">
        <v>8176</v>
      </c>
      <c r="N475" s="1801" t="n">
        <v>4815</v>
      </c>
      <c r="O475" s="615" t="n">
        <v>0</v>
      </c>
      <c r="P475" s="641" t="n">
        <v>100</v>
      </c>
    </row>
    <row r="476" ht="15.75" customHeight="1">
      <c r="A476" s="631" t="inlineStr">
        <is>
          <t>FO23070057</t>
        </is>
      </c>
      <c r="B476" s="632" t="n">
        <v>45131</v>
      </c>
      <c r="C476" s="633" t="inlineStr">
        <is>
          <t>มัลติแบกซ์</t>
        </is>
      </c>
      <c r="D476" s="633" t="inlineStr">
        <is>
          <t>ท่าเรือแหลมฉบัง</t>
        </is>
      </c>
      <c r="E476" s="634" t="n">
        <v>5.3</v>
      </c>
      <c r="F476" s="631" t="inlineStr">
        <is>
          <t>Km</t>
        </is>
      </c>
      <c r="G476" s="631" t="inlineStr">
        <is>
          <t>รถเทรลเลอร์</t>
        </is>
      </c>
      <c r="H476" s="631" t="inlineStr">
        <is>
          <t>HONG KONG</t>
        </is>
      </c>
      <c r="I476" s="636" t="n">
        <v>1734</v>
      </c>
      <c r="J476" s="635" t="inlineStr">
        <is>
          <t>Km</t>
        </is>
      </c>
      <c r="K476" s="637" t="n">
        <v>2160</v>
      </c>
      <c r="L476" s="642">
        <f>M476-K476</f>
        <v/>
      </c>
      <c r="M476" s="1799" t="n">
        <v>8776.6</v>
      </c>
      <c r="N476" s="1800" t="n">
        <v>5341.6</v>
      </c>
      <c r="O476" s="633" t="n">
        <v>0</v>
      </c>
      <c r="P476" s="643" t="n">
        <v>100</v>
      </c>
    </row>
    <row r="477" ht="15.75" customHeight="1">
      <c r="A477" s="625" t="inlineStr">
        <is>
          <t>FO23070058</t>
        </is>
      </c>
      <c r="B477" s="626" t="n">
        <v>45126</v>
      </c>
      <c r="C477" s="615" t="inlineStr">
        <is>
          <t>มัลติแบกซ์</t>
        </is>
      </c>
      <c r="D477" s="615" t="inlineStr">
        <is>
          <t>ท่าเรือแหลมฉบัง</t>
        </is>
      </c>
      <c r="E477" s="627" t="n">
        <v>7.1</v>
      </c>
      <c r="F477" s="625" t="inlineStr">
        <is>
          <t>Km</t>
        </is>
      </c>
      <c r="G477" s="625" t="inlineStr">
        <is>
          <t>รถเทรลเลอร์</t>
        </is>
      </c>
      <c r="H477" s="625" t="inlineStr">
        <is>
          <t>UNIVERSITY PARK IL, USA</t>
        </is>
      </c>
      <c r="I477" s="629" t="n">
        <v>13877</v>
      </c>
      <c r="J477" s="628" t="inlineStr">
        <is>
          <t>Km</t>
        </is>
      </c>
      <c r="K477" s="630" t="n">
        <v>3700</v>
      </c>
      <c r="L477" s="640">
        <f>M477-K477</f>
        <v/>
      </c>
      <c r="M477" s="1797" t="n">
        <v>13889.8</v>
      </c>
      <c r="N477" s="1801" t="n">
        <v>7660</v>
      </c>
      <c r="O477" s="615" t="n">
        <v>0</v>
      </c>
      <c r="P477" s="641" t="n">
        <v>100</v>
      </c>
    </row>
    <row r="478" ht="15.75" customHeight="1">
      <c r="A478" s="631" t="inlineStr">
        <is>
          <t>FO23070059</t>
        </is>
      </c>
      <c r="B478" s="632" t="n">
        <v>45127</v>
      </c>
      <c r="C478" s="633" t="inlineStr">
        <is>
          <t>มัลติแบกซ์</t>
        </is>
      </c>
      <c r="D478" s="633" t="inlineStr">
        <is>
          <t>ท่าเรือแหลมฉบัง</t>
        </is>
      </c>
      <c r="E478" s="634" t="n">
        <v>7.1</v>
      </c>
      <c r="F478" s="631" t="inlineStr">
        <is>
          <t>Km</t>
        </is>
      </c>
      <c r="G478" s="631" t="inlineStr">
        <is>
          <t>รถเทรลเลอร์</t>
        </is>
      </c>
      <c r="H478" s="631" t="inlineStr">
        <is>
          <t>UNIVERSITY PARK IL, USA</t>
        </is>
      </c>
      <c r="I478" s="636" t="n">
        <v>13877</v>
      </c>
      <c r="J478" s="635" t="inlineStr">
        <is>
          <t>Km</t>
        </is>
      </c>
      <c r="K478" s="637" t="n">
        <v>3840</v>
      </c>
      <c r="L478" s="642">
        <f>M478-K478</f>
        <v/>
      </c>
      <c r="M478" s="1799" t="n">
        <v>15854</v>
      </c>
      <c r="N478" s="1800" t="n">
        <v>8988</v>
      </c>
      <c r="O478" s="633" t="n">
        <v>0</v>
      </c>
      <c r="P478" s="643" t="n">
        <v>100</v>
      </c>
    </row>
    <row r="479" ht="15.75" customHeight="1">
      <c r="A479" s="625" t="inlineStr">
        <is>
          <t>FO23070060</t>
        </is>
      </c>
      <c r="B479" s="626" t="n">
        <v>45128</v>
      </c>
      <c r="C479" s="615" t="inlineStr">
        <is>
          <t>มัลติแบกซ์</t>
        </is>
      </c>
      <c r="D479" s="615" t="inlineStr">
        <is>
          <t>ท่าเรือแหลมฉบัง</t>
        </is>
      </c>
      <c r="E479" s="627" t="n">
        <v>7.1</v>
      </c>
      <c r="F479" s="625" t="inlineStr">
        <is>
          <t>Km</t>
        </is>
      </c>
      <c r="G479" s="625" t="inlineStr">
        <is>
          <t>รถเทรลเลอร์</t>
        </is>
      </c>
      <c r="H479" s="625" t="inlineStr">
        <is>
          <t>UNIVERSITY PARK IL, USA</t>
        </is>
      </c>
      <c r="I479" s="629" t="n">
        <v>13877</v>
      </c>
      <c r="J479" s="628" t="inlineStr">
        <is>
          <t>Km</t>
        </is>
      </c>
      <c r="K479" s="630" t="n">
        <v>3840</v>
      </c>
      <c r="L479" s="640">
        <f>M479-K479</f>
        <v/>
      </c>
      <c r="M479" s="1797" t="n">
        <v>14566</v>
      </c>
      <c r="N479" s="1801" t="n">
        <v>8196.200000000001</v>
      </c>
      <c r="O479" s="615" t="n">
        <v>0</v>
      </c>
      <c r="P479" s="641" t="n">
        <v>100</v>
      </c>
    </row>
    <row r="480" ht="15.75" customHeight="1">
      <c r="A480" s="631" t="inlineStr">
        <is>
          <t>FO23070061</t>
        </is>
      </c>
      <c r="B480" s="632" t="n">
        <v>45134</v>
      </c>
      <c r="C480" s="633" t="inlineStr">
        <is>
          <t>มัลติแบกซ์</t>
        </is>
      </c>
      <c r="D480" s="633" t="inlineStr">
        <is>
          <t>ท่าเรือแหลมฉบัง</t>
        </is>
      </c>
      <c r="E480" s="634" t="n">
        <v>3.6</v>
      </c>
      <c r="F480" s="631" t="inlineStr">
        <is>
          <t>Km</t>
        </is>
      </c>
      <c r="G480" s="631" t="inlineStr">
        <is>
          <t>รถเทรลเลอร์</t>
        </is>
      </c>
      <c r="H480" s="631" t="inlineStr">
        <is>
          <t>TOKYO, JAPAN</t>
        </is>
      </c>
      <c r="I480" s="631" t="n">
        <v>4608</v>
      </c>
      <c r="J480" s="635" t="inlineStr">
        <is>
          <t>Km</t>
        </is>
      </c>
      <c r="K480" s="637" t="n">
        <v>2180</v>
      </c>
      <c r="L480" s="642">
        <f>M480-K480</f>
        <v/>
      </c>
      <c r="M480" s="1799" t="n">
        <v>8356.66</v>
      </c>
      <c r="N480" s="1800" t="n">
        <v>5257.23</v>
      </c>
      <c r="O480" s="633" t="n">
        <v>0</v>
      </c>
      <c r="P480" s="643" t="n">
        <v>100</v>
      </c>
    </row>
    <row r="481" ht="15.75" customHeight="1">
      <c r="A481" s="625" t="inlineStr">
        <is>
          <t>FO23070062</t>
        </is>
      </c>
      <c r="B481" s="626" t="n">
        <v>45134</v>
      </c>
      <c r="C481" s="615" t="inlineStr">
        <is>
          <t>มัลติแบกซ์</t>
        </is>
      </c>
      <c r="D481" s="615" t="inlineStr">
        <is>
          <t>ท่าเรือแหลมฉบัง</t>
        </is>
      </c>
      <c r="E481" s="627" t="n">
        <v>2.8</v>
      </c>
      <c r="F481" s="625" t="inlineStr">
        <is>
          <t>Km</t>
        </is>
      </c>
      <c r="G481" s="625" t="inlineStr">
        <is>
          <t>รถเทรลเลอร์</t>
        </is>
      </c>
      <c r="H481" s="625" t="inlineStr">
        <is>
          <t>NAGOYA, JAPAN</t>
        </is>
      </c>
      <c r="I481" s="629" t="n">
        <v>4358</v>
      </c>
      <c r="J481" s="628" t="inlineStr">
        <is>
          <t>Km</t>
        </is>
      </c>
      <c r="K481" s="630" t="n">
        <v>3900</v>
      </c>
      <c r="L481" s="640">
        <f>M481-K481</f>
        <v/>
      </c>
      <c r="M481" s="1797" t="n">
        <v>15986.41</v>
      </c>
      <c r="N481" s="1801" t="n">
        <v>10096.49</v>
      </c>
      <c r="O481" s="615" t="n">
        <v>0</v>
      </c>
      <c r="P481" s="641" t="n">
        <v>100</v>
      </c>
    </row>
    <row r="482" ht="15.75" customHeight="1">
      <c r="A482" s="631" t="inlineStr">
        <is>
          <t>FO23070063</t>
        </is>
      </c>
      <c r="B482" s="632" t="n">
        <v>45138</v>
      </c>
      <c r="C482" s="633" t="inlineStr">
        <is>
          <t>มัลติแบกซ์</t>
        </is>
      </c>
      <c r="D482" s="633" t="inlineStr">
        <is>
          <t>ท่าเรือแหลมฉบัง</t>
        </is>
      </c>
      <c r="E482" s="634" t="n">
        <v>7.1</v>
      </c>
      <c r="F482" s="631" t="inlineStr">
        <is>
          <t>Km</t>
        </is>
      </c>
      <c r="G482" s="631" t="inlineStr">
        <is>
          <t>รถเทรลเลอร์</t>
        </is>
      </c>
      <c r="H482" s="631" t="inlineStr">
        <is>
          <t>HONG KONG</t>
        </is>
      </c>
      <c r="I482" s="636" t="n">
        <v>1734</v>
      </c>
      <c r="J482" s="635" t="inlineStr">
        <is>
          <t>Km</t>
        </is>
      </c>
      <c r="K482" s="634" t="n">
        <v>2100</v>
      </c>
      <c r="L482" s="642">
        <f>M482-K482</f>
        <v/>
      </c>
      <c r="M482" s="1799" t="n">
        <v>8122</v>
      </c>
      <c r="N482" s="1803" t="n">
        <v>4800</v>
      </c>
      <c r="O482" s="633" t="n">
        <v>0</v>
      </c>
      <c r="P482" s="643" t="n">
        <v>100</v>
      </c>
    </row>
    <row r="483" ht="15.75" customHeight="1">
      <c r="A483" s="625" t="inlineStr">
        <is>
          <t>FO23070064</t>
        </is>
      </c>
      <c r="B483" s="626" t="n">
        <v>45138</v>
      </c>
      <c r="C483" s="615" t="inlineStr">
        <is>
          <t>มัลติแบกซ์</t>
        </is>
      </c>
      <c r="D483" s="615" t="inlineStr">
        <is>
          <t>ท่าเรือแหลมฉบัง</t>
        </is>
      </c>
      <c r="E483" s="627" t="n">
        <v>7.1</v>
      </c>
      <c r="F483" s="625" t="inlineStr">
        <is>
          <t>Km</t>
        </is>
      </c>
      <c r="G483" s="625" t="inlineStr">
        <is>
          <t>รถเทรลเลอร์</t>
        </is>
      </c>
      <c r="H483" s="625" t="inlineStr">
        <is>
          <t>HONG KONG</t>
        </is>
      </c>
      <c r="I483" s="629" t="n">
        <v>1734</v>
      </c>
      <c r="J483" s="628" t="inlineStr">
        <is>
          <t>Km</t>
        </is>
      </c>
      <c r="K483" s="627" t="n">
        <v>3700</v>
      </c>
      <c r="L483" s="640">
        <f>M483-K483</f>
        <v/>
      </c>
      <c r="M483" s="1797" t="n">
        <v>14695.5</v>
      </c>
      <c r="N483" s="1802" t="n">
        <v>8161.5</v>
      </c>
      <c r="O483" s="615" t="n">
        <v>0</v>
      </c>
      <c r="P483" s="641" t="n">
        <v>100</v>
      </c>
    </row>
    <row r="484" ht="15.75" customHeight="1">
      <c r="A484" s="631" t="inlineStr">
        <is>
          <t>FO23070065</t>
        </is>
      </c>
      <c r="B484" s="632" t="n">
        <v>45133</v>
      </c>
      <c r="C484" s="633" t="inlineStr">
        <is>
          <t>มัลติแบกซ์</t>
        </is>
      </c>
      <c r="D484" s="633" t="inlineStr">
        <is>
          <t>ท่าเรือแหลมฉบัง</t>
        </is>
      </c>
      <c r="E484" s="634" t="n">
        <v>7.1</v>
      </c>
      <c r="F484" s="631" t="inlineStr">
        <is>
          <t>Km</t>
        </is>
      </c>
      <c r="G484" s="631" t="inlineStr">
        <is>
          <t>รถเทรลเลอร์</t>
        </is>
      </c>
      <c r="H484" s="631" t="inlineStr">
        <is>
          <t>SYDNEY, AUSTRALIA</t>
        </is>
      </c>
      <c r="I484" s="636" t="n">
        <v>7448</v>
      </c>
      <c r="J484" s="635" t="inlineStr">
        <is>
          <t>Km</t>
        </is>
      </c>
      <c r="K484" s="637" t="n">
        <v>3840</v>
      </c>
      <c r="L484" s="642">
        <f>M484-K484</f>
        <v/>
      </c>
      <c r="M484" s="1799" t="n">
        <v>24642</v>
      </c>
      <c r="N484" s="1800" t="n">
        <v>16608</v>
      </c>
      <c r="O484" s="633" t="n">
        <v>0</v>
      </c>
      <c r="P484" s="643" t="n">
        <v>100</v>
      </c>
    </row>
    <row r="485" ht="15.75" customHeight="1">
      <c r="A485" s="625" t="inlineStr">
        <is>
          <t>FO23070066</t>
        </is>
      </c>
      <c r="B485" s="626" t="n">
        <v>45134</v>
      </c>
      <c r="C485" s="615" t="inlineStr">
        <is>
          <t>มัลติแบกซ์</t>
        </is>
      </c>
      <c r="D485" s="615" t="inlineStr">
        <is>
          <t>ท่าเรือแหลมฉบัง</t>
        </is>
      </c>
      <c r="E485" s="627" t="n">
        <v>3.6</v>
      </c>
      <c r="F485" s="625" t="inlineStr">
        <is>
          <t>Km</t>
        </is>
      </c>
      <c r="G485" s="625" t="inlineStr">
        <is>
          <t>รถเทรลเลอร์</t>
        </is>
      </c>
      <c r="H485" s="625" t="inlineStr">
        <is>
          <t>OSAKA, JAPAN</t>
        </is>
      </c>
      <c r="I485" s="629" t="n">
        <v>4220</v>
      </c>
      <c r="J485" s="628" t="inlineStr">
        <is>
          <t>Km</t>
        </is>
      </c>
      <c r="K485" s="630" t="n">
        <v>3830</v>
      </c>
      <c r="L485" s="640">
        <f>M485-K485</f>
        <v/>
      </c>
      <c r="M485" s="1797" t="n">
        <v>15521.31</v>
      </c>
      <c r="N485" s="1801" t="n">
        <v>953.3200000000001</v>
      </c>
      <c r="O485" s="615" t="n">
        <v>0</v>
      </c>
      <c r="P485" s="641" t="n">
        <v>100</v>
      </c>
    </row>
    <row r="486" ht="15.75" customHeight="1">
      <c r="A486" s="631" t="inlineStr">
        <is>
          <t>FO23070067</t>
        </is>
      </c>
      <c r="B486" s="632" t="n">
        <v>45132</v>
      </c>
      <c r="C486" s="633" t="inlineStr">
        <is>
          <t>มัลติแบกซ์</t>
        </is>
      </c>
      <c r="D486" s="633" t="inlineStr">
        <is>
          <t>ท่าเรือแหลมฉบัง</t>
        </is>
      </c>
      <c r="E486" s="634" t="n">
        <v>7.1</v>
      </c>
      <c r="F486" s="631" t="inlineStr">
        <is>
          <t>Km</t>
        </is>
      </c>
      <c r="G486" s="631" t="inlineStr">
        <is>
          <t>รถเทรลเลอร์</t>
        </is>
      </c>
      <c r="H486" s="631" t="inlineStr">
        <is>
          <t>JACKSONVILLE IL, USA</t>
        </is>
      </c>
      <c r="I486" s="636" t="n">
        <v>15168</v>
      </c>
      <c r="J486" s="635" t="inlineStr">
        <is>
          <t>Km</t>
        </is>
      </c>
      <c r="K486" s="637" t="n">
        <v>3880</v>
      </c>
      <c r="L486" s="642">
        <f>M486-K486</f>
        <v/>
      </c>
      <c r="M486" s="1799" t="n">
        <v>23739.6</v>
      </c>
      <c r="N486" s="1800" t="n">
        <v>16464</v>
      </c>
      <c r="O486" s="633" t="n">
        <v>0</v>
      </c>
      <c r="P486" s="643" t="n">
        <v>100</v>
      </c>
    </row>
    <row r="487" ht="15.75" customHeight="1">
      <c r="A487" s="625" t="inlineStr">
        <is>
          <t>FO23070068</t>
        </is>
      </c>
      <c r="B487" s="626" t="n">
        <v>45138</v>
      </c>
      <c r="C487" s="615" t="inlineStr">
        <is>
          <t>มัลติแบกซ์</t>
        </is>
      </c>
      <c r="D487" s="615" t="inlineStr">
        <is>
          <t>ท่าเรือแหลมฉบัง</t>
        </is>
      </c>
      <c r="E487" s="627" t="n">
        <v>7.1</v>
      </c>
      <c r="F487" s="625" t="inlineStr">
        <is>
          <t>Km</t>
        </is>
      </c>
      <c r="G487" s="625" t="inlineStr">
        <is>
          <t>รถเทรลเลอร์</t>
        </is>
      </c>
      <c r="H487" s="625" t="inlineStr">
        <is>
          <t>JACKSONVILLE IL, USA</t>
        </is>
      </c>
      <c r="I487" s="629" t="n">
        <v>15168</v>
      </c>
      <c r="J487" s="628" t="inlineStr">
        <is>
          <t>Km</t>
        </is>
      </c>
      <c r="K487" s="627" t="n">
        <v>3840</v>
      </c>
      <c r="L487" s="640">
        <f>M487-K487</f>
        <v/>
      </c>
      <c r="M487" s="1797" t="n">
        <v>23699.6</v>
      </c>
      <c r="N487" s="1802" t="n">
        <v>16464</v>
      </c>
      <c r="O487" s="615" t="n">
        <v>0</v>
      </c>
      <c r="P487" s="641" t="n">
        <v>100</v>
      </c>
    </row>
    <row r="488" ht="15.75" customHeight="1">
      <c r="A488" s="631" t="inlineStr">
        <is>
          <t>FO23070069</t>
        </is>
      </c>
      <c r="B488" s="632" t="n">
        <v>45134</v>
      </c>
      <c r="C488" s="633" t="inlineStr">
        <is>
          <t>มัลติแบกซ์</t>
        </is>
      </c>
      <c r="D488" s="633" t="inlineStr">
        <is>
          <t>ท่าเรือแหลมฉบัง</t>
        </is>
      </c>
      <c r="E488" s="634" t="n">
        <v>7.1</v>
      </c>
      <c r="F488" s="631" t="inlineStr">
        <is>
          <t>Km</t>
        </is>
      </c>
      <c r="G488" s="631" t="inlineStr">
        <is>
          <t>รถเทรลเลอร์</t>
        </is>
      </c>
      <c r="H488" s="631" t="inlineStr">
        <is>
          <t>JACKSONVILLE IL, USA</t>
        </is>
      </c>
      <c r="I488" s="636" t="n">
        <v>15168</v>
      </c>
      <c r="J488" s="635" t="inlineStr">
        <is>
          <t>Km</t>
        </is>
      </c>
      <c r="K488" s="637" t="n">
        <v>3700</v>
      </c>
      <c r="L488" s="642">
        <f>M488-K488</f>
        <v/>
      </c>
      <c r="M488" s="1799" t="n">
        <v>23559.6</v>
      </c>
      <c r="N488" s="1800" t="n">
        <v>16464</v>
      </c>
      <c r="O488" s="633" t="n">
        <v>0</v>
      </c>
      <c r="P488" s="643" t="n">
        <v>100</v>
      </c>
    </row>
    <row r="489" ht="15.75" customHeight="1">
      <c r="A489" s="625" t="inlineStr">
        <is>
          <t>FO23070070</t>
        </is>
      </c>
      <c r="B489" s="626" t="n">
        <v>45138</v>
      </c>
      <c r="C489" s="615" t="inlineStr">
        <is>
          <t>มัลติแบกซ์</t>
        </is>
      </c>
      <c r="D489" s="615" t="inlineStr">
        <is>
          <t>ท่าเรือแหลมฉบัง</t>
        </is>
      </c>
      <c r="E489" s="627" t="n">
        <v>7.1</v>
      </c>
      <c r="F489" s="625" t="inlineStr">
        <is>
          <t>Km</t>
        </is>
      </c>
      <c r="G489" s="625" t="inlineStr">
        <is>
          <t>รถเทรลเลอร์</t>
        </is>
      </c>
      <c r="H489" s="625" t="inlineStr">
        <is>
          <t>MELBOURNE, AUSTRALIA</t>
        </is>
      </c>
      <c r="I489" s="629" t="n">
        <v>7283</v>
      </c>
      <c r="J489" s="628" t="inlineStr">
        <is>
          <t>Km</t>
        </is>
      </c>
      <c r="K489" s="627" t="n">
        <v>3560</v>
      </c>
      <c r="L489" s="640">
        <f>M489-K489</f>
        <v/>
      </c>
      <c r="M489" s="1797" t="n">
        <v>26442</v>
      </c>
      <c r="N489" s="1802" t="n">
        <v>19426</v>
      </c>
      <c r="O489" s="615" t="n">
        <v>0</v>
      </c>
      <c r="P489" s="641" t="n">
        <v>100</v>
      </c>
    </row>
    <row r="490" ht="15.75" customHeight="1">
      <c r="A490" s="631" t="inlineStr">
        <is>
          <t>FO23070071</t>
        </is>
      </c>
      <c r="B490" s="632" t="n">
        <v>45138</v>
      </c>
      <c r="C490" s="633" t="inlineStr">
        <is>
          <t>มัลติแบกซ์</t>
        </is>
      </c>
      <c r="D490" s="633" t="inlineStr">
        <is>
          <t>ท่าเรือแหลมฉบัง</t>
        </is>
      </c>
      <c r="E490" s="634" t="n">
        <v>7.1</v>
      </c>
      <c r="F490" s="631" t="inlineStr">
        <is>
          <t>Km</t>
        </is>
      </c>
      <c r="G490" s="631" t="inlineStr">
        <is>
          <t>รถเทรลเลอร์</t>
        </is>
      </c>
      <c r="H490" s="631" t="inlineStr">
        <is>
          <t>MELBOURNE, AUSTRALIA</t>
        </is>
      </c>
      <c r="I490" s="636" t="n">
        <v>7283</v>
      </c>
      <c r="J490" s="635" t="inlineStr">
        <is>
          <t>Km</t>
        </is>
      </c>
      <c r="K490" s="634" t="n">
        <v>3570</v>
      </c>
      <c r="L490" s="642">
        <f>M490-K490</f>
        <v/>
      </c>
      <c r="M490" s="1799" t="n">
        <v>27547</v>
      </c>
      <c r="N490" s="1803" t="n">
        <v>21069</v>
      </c>
      <c r="O490" s="633" t="n">
        <v>0</v>
      </c>
      <c r="P490" s="643" t="n">
        <v>100</v>
      </c>
    </row>
    <row r="491" ht="15.75" customHeight="1">
      <c r="A491" s="625" t="inlineStr">
        <is>
          <t>FO23070072</t>
        </is>
      </c>
      <c r="B491" s="626" t="n">
        <v>45138</v>
      </c>
      <c r="C491" s="615" t="inlineStr">
        <is>
          <t>มัลติแบกซ์</t>
        </is>
      </c>
      <c r="D491" s="615" t="inlineStr">
        <is>
          <t>ท่าเรือแหลมฉบัง</t>
        </is>
      </c>
      <c r="E491" s="627" t="n">
        <v>7.1</v>
      </c>
      <c r="F491" s="625" t="inlineStr">
        <is>
          <t>Km</t>
        </is>
      </c>
      <c r="G491" s="625" t="inlineStr">
        <is>
          <t>รถเทรลเลอร์</t>
        </is>
      </c>
      <c r="H491" s="625" t="inlineStr">
        <is>
          <t>MELBOURNE, AUSTRALIA</t>
        </is>
      </c>
      <c r="I491" s="629" t="n">
        <v>7283</v>
      </c>
      <c r="J491" s="628" t="inlineStr">
        <is>
          <t>Km</t>
        </is>
      </c>
      <c r="K491" s="627" t="n">
        <v>3720</v>
      </c>
      <c r="L491" s="640">
        <f>M491-K491</f>
        <v/>
      </c>
      <c r="M491" s="1797" t="n">
        <v>25172</v>
      </c>
      <c r="N491" s="1802" t="n">
        <v>12216</v>
      </c>
      <c r="O491" s="615" t="n">
        <v>0</v>
      </c>
      <c r="P491" s="641" t="n">
        <v>100</v>
      </c>
    </row>
    <row r="492" ht="15.75" customHeight="1">
      <c r="A492" s="631" t="inlineStr">
        <is>
          <t>FO23070073</t>
        </is>
      </c>
      <c r="B492" s="632" t="n">
        <v>45138</v>
      </c>
      <c r="C492" s="633" t="inlineStr">
        <is>
          <t>มัลติแบกซ์</t>
        </is>
      </c>
      <c r="D492" s="633" t="inlineStr">
        <is>
          <t>ท่าเรือแหลมฉบัง</t>
        </is>
      </c>
      <c r="E492" s="634" t="n">
        <v>5.2</v>
      </c>
      <c r="F492" s="631" t="inlineStr">
        <is>
          <t>Km</t>
        </is>
      </c>
      <c r="G492" s="631" t="inlineStr">
        <is>
          <t>รถเทรลเลอร์</t>
        </is>
      </c>
      <c r="H492" s="631" t="inlineStr">
        <is>
          <t>MANILA, PHILIPPINES</t>
        </is>
      </c>
      <c r="I492" s="636" t="n">
        <v>2167</v>
      </c>
      <c r="J492" s="635" t="inlineStr">
        <is>
          <t>Km</t>
        </is>
      </c>
      <c r="K492" s="637" t="n">
        <v>2200</v>
      </c>
      <c r="L492" s="642">
        <f>M492-K492</f>
        <v/>
      </c>
      <c r="M492" s="1799" t="n">
        <v>6620.7</v>
      </c>
      <c r="N492" s="1800" t="n">
        <v>3087.3</v>
      </c>
      <c r="O492" s="633" t="n">
        <v>0</v>
      </c>
      <c r="P492" s="643" t="n">
        <v>100</v>
      </c>
    </row>
    <row r="493" ht="15.75" customHeight="1">
      <c r="A493" s="625" t="inlineStr">
        <is>
          <t>FO23070074</t>
        </is>
      </c>
      <c r="B493" s="626" t="n">
        <v>45138</v>
      </c>
      <c r="C493" s="615" t="inlineStr">
        <is>
          <t>มัลติแบกซ์</t>
        </is>
      </c>
      <c r="D493" s="615" t="inlineStr">
        <is>
          <t>ท่าเรือแหลมฉบัง</t>
        </is>
      </c>
      <c r="E493" s="627" t="n">
        <v>5.3</v>
      </c>
      <c r="F493" s="625" t="inlineStr">
        <is>
          <t>Km</t>
        </is>
      </c>
      <c r="G493" s="625" t="inlineStr">
        <is>
          <t>รถเทรลเลอร์</t>
        </is>
      </c>
      <c r="H493" s="625" t="inlineStr">
        <is>
          <t>NINGBO, CHINA</t>
        </is>
      </c>
      <c r="I493" s="629" t="n">
        <v>3824</v>
      </c>
      <c r="J493" s="628" t="inlineStr">
        <is>
          <t>Km</t>
        </is>
      </c>
      <c r="K493" s="630" t="n">
        <v>3640</v>
      </c>
      <c r="L493" s="640">
        <f>M493-K493</f>
        <v/>
      </c>
      <c r="M493" s="1797" t="n">
        <v>13307.19</v>
      </c>
      <c r="N493" s="1801" t="n">
        <v>7317.36</v>
      </c>
      <c r="O493" s="615" t="n">
        <v>0</v>
      </c>
      <c r="P493" s="641" t="n">
        <v>100</v>
      </c>
    </row>
    <row r="494" ht="15.75" customHeight="1">
      <c r="A494" s="631" t="inlineStr">
        <is>
          <t>FO23070075</t>
        </is>
      </c>
      <c r="B494" s="632" t="n">
        <v>45133</v>
      </c>
      <c r="C494" s="633" t="inlineStr">
        <is>
          <t>มัลติแบกซ์</t>
        </is>
      </c>
      <c r="D494" s="633" t="inlineStr">
        <is>
          <t>ท่าเรือแหลมฉบัง</t>
        </is>
      </c>
      <c r="E494" s="634" t="n">
        <v>7.1</v>
      </c>
      <c r="F494" s="631" t="inlineStr">
        <is>
          <t>Km</t>
        </is>
      </c>
      <c r="G494" s="631" t="inlineStr">
        <is>
          <t>รถเทรลเลอร์</t>
        </is>
      </c>
      <c r="H494" s="631" t="inlineStr">
        <is>
          <t>UNIVERSITY PARK IL, USA</t>
        </is>
      </c>
      <c r="I494" s="636" t="n">
        <v>13877</v>
      </c>
      <c r="J494" s="635" t="inlineStr">
        <is>
          <t>Km</t>
        </is>
      </c>
      <c r="K494" s="637" t="n">
        <v>3770</v>
      </c>
      <c r="L494" s="642">
        <f>M494-K494</f>
        <v/>
      </c>
      <c r="M494" s="1799" t="n">
        <v>13959.8</v>
      </c>
      <c r="N494" s="1800" t="n">
        <v>7660</v>
      </c>
      <c r="O494" s="633" t="n">
        <v>0</v>
      </c>
      <c r="P494" s="643" t="n">
        <v>100</v>
      </c>
    </row>
    <row r="495" ht="15.75" customHeight="1">
      <c r="A495" s="625" t="inlineStr">
        <is>
          <t>FO23070076</t>
        </is>
      </c>
      <c r="B495" s="626" t="n">
        <v>45133</v>
      </c>
      <c r="C495" s="615" t="inlineStr">
        <is>
          <t>มัลติแบกซ์</t>
        </is>
      </c>
      <c r="D495" s="615" t="inlineStr">
        <is>
          <t>ท่าเรือแหลมฉบัง</t>
        </is>
      </c>
      <c r="E495" s="627" t="n">
        <v>7.1</v>
      </c>
      <c r="F495" s="625" t="inlineStr">
        <is>
          <t>Km</t>
        </is>
      </c>
      <c r="G495" s="625" t="inlineStr">
        <is>
          <t>รถเทรลเลอร์</t>
        </is>
      </c>
      <c r="H495" s="625" t="inlineStr">
        <is>
          <t>UNIVERSITY PARK IL, USA</t>
        </is>
      </c>
      <c r="I495" s="629" t="n">
        <v>13877</v>
      </c>
      <c r="J495" s="628" t="inlineStr">
        <is>
          <t>Km</t>
        </is>
      </c>
      <c r="K495" s="630" t="n">
        <v>3700</v>
      </c>
      <c r="L495" s="640">
        <f>M495-K495</f>
        <v/>
      </c>
      <c r="M495" s="1797" t="n">
        <v>15714</v>
      </c>
      <c r="N495" s="1801" t="n">
        <v>8988</v>
      </c>
      <c r="O495" s="615" t="n">
        <v>0</v>
      </c>
      <c r="P495" s="641" t="n">
        <v>100</v>
      </c>
    </row>
    <row r="496" ht="15.75" customHeight="1">
      <c r="A496" s="631" t="inlineStr">
        <is>
          <t>FO23070077</t>
        </is>
      </c>
      <c r="B496" s="632" t="n">
        <v>45133</v>
      </c>
      <c r="C496" s="633" t="inlineStr">
        <is>
          <t>มัลติแบกซ์</t>
        </is>
      </c>
      <c r="D496" s="633" t="inlineStr">
        <is>
          <t>ท่าเรือแหลมฉบัง</t>
        </is>
      </c>
      <c r="E496" s="634" t="n">
        <v>7.1</v>
      </c>
      <c r="F496" s="631" t="inlineStr">
        <is>
          <t>Km</t>
        </is>
      </c>
      <c r="G496" s="631" t="inlineStr">
        <is>
          <t>รถเทรลเลอร์</t>
        </is>
      </c>
      <c r="H496" s="631" t="inlineStr">
        <is>
          <t>UNIVERSITY PARK IL, USA</t>
        </is>
      </c>
      <c r="I496" s="636" t="n">
        <v>13877</v>
      </c>
      <c r="J496" s="635" t="inlineStr">
        <is>
          <t>Km</t>
        </is>
      </c>
      <c r="K496" s="637" t="n">
        <v>3770</v>
      </c>
      <c r="L496" s="642">
        <f>M496-K496</f>
        <v/>
      </c>
      <c r="M496" s="1799" t="n">
        <v>14496</v>
      </c>
      <c r="N496" s="1800" t="n">
        <v>8196.200000000001</v>
      </c>
      <c r="O496" s="633" t="n">
        <v>0</v>
      </c>
      <c r="P496" s="643" t="n">
        <v>100</v>
      </c>
    </row>
    <row r="497" ht="15.75" customHeight="1">
      <c r="A497" s="625" t="inlineStr">
        <is>
          <t>FO23070078</t>
        </is>
      </c>
      <c r="B497" s="626" t="n">
        <v>45133</v>
      </c>
      <c r="C497" s="615" t="inlineStr">
        <is>
          <t>มัลติแบกซ์</t>
        </is>
      </c>
      <c r="D497" s="615" t="inlineStr">
        <is>
          <t>ท่าเรือแหลมฉบัง</t>
        </is>
      </c>
      <c r="E497" s="627" t="n">
        <v>7.1</v>
      </c>
      <c r="F497" s="625" t="inlineStr">
        <is>
          <t>Km</t>
        </is>
      </c>
      <c r="G497" s="625" t="inlineStr">
        <is>
          <t>รถเทรลเลอร์</t>
        </is>
      </c>
      <c r="H497" s="625" t="inlineStr">
        <is>
          <t>UNIVERSITY PARK IL, USA</t>
        </is>
      </c>
      <c r="I497" s="629" t="n">
        <v>13877</v>
      </c>
      <c r="J497" s="628" t="inlineStr">
        <is>
          <t>Km</t>
        </is>
      </c>
      <c r="K497" s="630" t="n">
        <v>3700</v>
      </c>
      <c r="L497" s="640">
        <f>M497-K497</f>
        <v/>
      </c>
      <c r="M497" s="1797" t="n">
        <v>13889.8</v>
      </c>
      <c r="N497" s="1801" t="n">
        <v>7660</v>
      </c>
      <c r="O497" s="615" t="n">
        <v>0</v>
      </c>
      <c r="P497" s="641" t="n">
        <v>100</v>
      </c>
    </row>
    <row r="498" ht="15.75" customHeight="1">
      <c r="A498" s="631" t="inlineStr">
        <is>
          <t>FO23070079</t>
        </is>
      </c>
      <c r="B498" s="632" t="n">
        <v>45136</v>
      </c>
      <c r="C498" s="633" t="inlineStr">
        <is>
          <t>มัลติแบกซ์</t>
        </is>
      </c>
      <c r="D498" s="633" t="inlineStr">
        <is>
          <t>ท่าเรือแหลมฉบัง</t>
        </is>
      </c>
      <c r="E498" s="634" t="n">
        <v>7.5</v>
      </c>
      <c r="F498" s="631" t="inlineStr">
        <is>
          <t>Km</t>
        </is>
      </c>
      <c r="G498" s="631" t="inlineStr">
        <is>
          <t>รถเทรลเลอร์</t>
        </is>
      </c>
      <c r="H498" s="631" t="inlineStr">
        <is>
          <t>SINGAPORE</t>
        </is>
      </c>
      <c r="I498" s="636" t="n">
        <v>1931</v>
      </c>
      <c r="J498" s="635" t="inlineStr">
        <is>
          <t>Km</t>
        </is>
      </c>
      <c r="K498" s="637" t="n">
        <v>4542.6</v>
      </c>
      <c r="L498" s="642">
        <f>M498-K498</f>
        <v/>
      </c>
      <c r="M498" s="1799" t="n">
        <v>5539</v>
      </c>
      <c r="N498" s="1800" t="n">
        <v>4542.6</v>
      </c>
      <c r="O498" s="633" t="n">
        <v>0</v>
      </c>
      <c r="P498" s="643" t="n">
        <v>100</v>
      </c>
    </row>
    <row r="499" ht="15.75" customHeight="1">
      <c r="A499" s="625" t="inlineStr">
        <is>
          <t>FO23080001</t>
        </is>
      </c>
      <c r="B499" s="626" t="n">
        <v>45147</v>
      </c>
      <c r="C499" s="615" t="inlineStr">
        <is>
          <t>มัลติแบกซ์</t>
        </is>
      </c>
      <c r="D499" s="615" t="inlineStr">
        <is>
          <t>ท่าเรือแหลมฉบัง</t>
        </is>
      </c>
      <c r="E499" s="627" t="n">
        <v>7.1</v>
      </c>
      <c r="F499" s="625" t="inlineStr">
        <is>
          <t>Km</t>
        </is>
      </c>
      <c r="G499" s="625" t="inlineStr">
        <is>
          <t>รถเทรลเลอร์</t>
        </is>
      </c>
      <c r="H499" s="625" t="inlineStr">
        <is>
          <t>AUCKLAND, NEW ZEALAND</t>
        </is>
      </c>
      <c r="I499" s="625" t="n">
        <v>9486</v>
      </c>
      <c r="J499" s="628" t="inlineStr">
        <is>
          <t>Km</t>
        </is>
      </c>
      <c r="K499" s="630" t="n">
        <v>3770</v>
      </c>
      <c r="L499" s="640">
        <f>M499-K499</f>
        <v/>
      </c>
      <c r="M499" s="1797" t="n">
        <v>21296.45</v>
      </c>
      <c r="N499" s="1801" t="n">
        <v>14137.8</v>
      </c>
      <c r="O499" s="615" t="n">
        <v>0</v>
      </c>
      <c r="P499" s="641" t="n">
        <v>100</v>
      </c>
    </row>
    <row r="500" ht="15.75" customHeight="1">
      <c r="A500" s="631" t="inlineStr">
        <is>
          <t>FO23080002</t>
        </is>
      </c>
      <c r="B500" s="632" t="n">
        <v>45147</v>
      </c>
      <c r="C500" s="633" t="inlineStr">
        <is>
          <t>มัลติแบกซ์</t>
        </is>
      </c>
      <c r="D500" s="633" t="inlineStr">
        <is>
          <t>ท่าเรือแหลมฉบัง</t>
        </is>
      </c>
      <c r="E500" s="634" t="n">
        <v>7.1</v>
      </c>
      <c r="F500" s="631" t="inlineStr">
        <is>
          <t>Km</t>
        </is>
      </c>
      <c r="G500" s="631" t="inlineStr">
        <is>
          <t>รถเทรลเลอร์</t>
        </is>
      </c>
      <c r="H500" s="631" t="inlineStr">
        <is>
          <t>AUCKLAND, NEW ZEALAND</t>
        </is>
      </c>
      <c r="I500" s="631" t="n">
        <v>9486</v>
      </c>
      <c r="J500" s="635" t="inlineStr">
        <is>
          <t>Km</t>
        </is>
      </c>
      <c r="K500" s="637" t="n">
        <v>3840</v>
      </c>
      <c r="L500" s="642">
        <f>M500-K500</f>
        <v/>
      </c>
      <c r="M500" s="1799" t="n">
        <v>19267.85</v>
      </c>
      <c r="N500" s="1800" t="n">
        <v>10317.65</v>
      </c>
      <c r="O500" s="633" t="n">
        <v>0</v>
      </c>
      <c r="P500" s="643" t="n">
        <v>100</v>
      </c>
    </row>
    <row r="501" ht="15.75" customHeight="1">
      <c r="A501" s="625" t="inlineStr">
        <is>
          <t>FO23080003</t>
        </is>
      </c>
      <c r="B501" s="626" t="n">
        <v>45147</v>
      </c>
      <c r="C501" s="615" t="inlineStr">
        <is>
          <t>มัลติแบกซ์</t>
        </is>
      </c>
      <c r="D501" s="615" t="inlineStr">
        <is>
          <t>ท่าเรือแหลมฉบัง</t>
        </is>
      </c>
      <c r="E501" s="627" t="n">
        <v>7.1</v>
      </c>
      <c r="F501" s="625" t="inlineStr">
        <is>
          <t>Km</t>
        </is>
      </c>
      <c r="G501" s="625" t="inlineStr">
        <is>
          <t>รถเทรลเลอร์</t>
        </is>
      </c>
      <c r="H501" s="625" t="inlineStr">
        <is>
          <t>AUCKLAND, NEW ZEALAND</t>
        </is>
      </c>
      <c r="I501" s="625" t="n">
        <v>9486</v>
      </c>
      <c r="J501" s="628" t="inlineStr">
        <is>
          <t>Km</t>
        </is>
      </c>
      <c r="K501" s="630" t="n">
        <v>3900</v>
      </c>
      <c r="L501" s="640">
        <f>M501-K501</f>
        <v/>
      </c>
      <c r="M501" s="1797" t="n">
        <v>20271.2</v>
      </c>
      <c r="N501" s="1801" t="n">
        <v>12349.95</v>
      </c>
      <c r="O501" s="615" t="n">
        <v>0</v>
      </c>
      <c r="P501" s="641" t="n">
        <v>100</v>
      </c>
    </row>
    <row r="502" ht="15.75" customHeight="1">
      <c r="A502" s="631" t="inlineStr">
        <is>
          <t>FO23080004</t>
        </is>
      </c>
      <c r="B502" s="632" t="n">
        <v>45141</v>
      </c>
      <c r="C502" s="633" t="inlineStr">
        <is>
          <t>มัลติแบกซ์</t>
        </is>
      </c>
      <c r="D502" s="633" t="inlineStr">
        <is>
          <t>ท่าเรือแหลมฉบัง</t>
        </is>
      </c>
      <c r="E502" s="634" t="n">
        <v>6</v>
      </c>
      <c r="F502" s="631" t="inlineStr">
        <is>
          <t>Km</t>
        </is>
      </c>
      <c r="G502" s="631" t="inlineStr">
        <is>
          <t>รถเทรลเลอร์</t>
        </is>
      </c>
      <c r="H502" s="631" t="inlineStr">
        <is>
          <t>KLANG, MALAYSIA</t>
        </is>
      </c>
      <c r="I502" s="631" t="n">
        <v>1588</v>
      </c>
      <c r="J502" s="635" t="inlineStr">
        <is>
          <t>Km</t>
        </is>
      </c>
      <c r="K502" s="637" t="n">
        <v>2100</v>
      </c>
      <c r="L502" s="642">
        <f>M502-K502</f>
        <v/>
      </c>
      <c r="M502" s="1799" t="n">
        <v>6400.8</v>
      </c>
      <c r="N502" s="1800" t="n">
        <v>2998.8</v>
      </c>
      <c r="O502" s="633" t="n">
        <v>0</v>
      </c>
      <c r="P502" s="643" t="n">
        <v>100</v>
      </c>
    </row>
    <row r="503" ht="15.75" customHeight="1">
      <c r="A503" s="625" t="inlineStr">
        <is>
          <t>FO23080005</t>
        </is>
      </c>
      <c r="B503" s="626" t="n">
        <v>45140</v>
      </c>
      <c r="C503" s="615" t="inlineStr">
        <is>
          <t>มัลติแบกซ์</t>
        </is>
      </c>
      <c r="D503" s="615" t="inlineStr">
        <is>
          <t>ท่าเรือแหลมฉบัง</t>
        </is>
      </c>
      <c r="E503" s="627" t="n">
        <v>6.2</v>
      </c>
      <c r="F503" s="615" t="inlineStr">
        <is>
          <t>Km</t>
        </is>
      </c>
      <c r="G503" s="615" t="inlineStr">
        <is>
          <t>รถเทรลเลอร์</t>
        </is>
      </c>
      <c r="H503" s="625" t="inlineStr">
        <is>
          <t>LOUISVILLE KY, USA</t>
        </is>
      </c>
      <c r="I503" s="625" t="n">
        <v>14253</v>
      </c>
      <c r="J503" s="651" t="inlineStr">
        <is>
          <t>Km</t>
        </is>
      </c>
      <c r="K503" s="630" t="n">
        <v>3850</v>
      </c>
      <c r="L503" s="640">
        <f>M503-K503</f>
        <v/>
      </c>
      <c r="M503" s="1797" t="n">
        <v>14957.99</v>
      </c>
      <c r="N503" s="1801" t="n">
        <v>8287.440000000001</v>
      </c>
      <c r="O503" s="615" t="n">
        <v>0</v>
      </c>
      <c r="P503" s="641" t="n">
        <v>100</v>
      </c>
    </row>
    <row r="504" ht="15.75" customHeight="1">
      <c r="A504" s="631" t="inlineStr">
        <is>
          <t>FO23080006</t>
        </is>
      </c>
      <c r="B504" s="632" t="n">
        <v>45147</v>
      </c>
      <c r="C504" s="633" t="inlineStr">
        <is>
          <t>มัลติแบกซ์</t>
        </is>
      </c>
      <c r="D504" s="633" t="inlineStr">
        <is>
          <t>ท่าเรือแหลมฉบัง</t>
        </is>
      </c>
      <c r="E504" s="634" t="n">
        <v>5.3</v>
      </c>
      <c r="F504" s="631" t="inlineStr">
        <is>
          <t>Km</t>
        </is>
      </c>
      <c r="G504" s="631" t="inlineStr">
        <is>
          <t>รถเทรลเลอร์</t>
        </is>
      </c>
      <c r="H504" s="631" t="inlineStr">
        <is>
          <t>HONG KONG</t>
        </is>
      </c>
      <c r="I504" s="631" t="n">
        <v>1734</v>
      </c>
      <c r="J504" s="635" t="inlineStr">
        <is>
          <t>Km</t>
        </is>
      </c>
      <c r="K504" s="637" t="n">
        <v>3640</v>
      </c>
      <c r="L504" s="642">
        <f>M504-K504</f>
        <v/>
      </c>
      <c r="M504" s="1799" t="n">
        <v>15537.5</v>
      </c>
      <c r="N504" s="1800" t="n">
        <v>9099.5</v>
      </c>
      <c r="O504" s="633" t="n">
        <v>0</v>
      </c>
      <c r="P504" s="643" t="n">
        <v>100</v>
      </c>
    </row>
    <row r="505" ht="15.75" customHeight="1">
      <c r="A505" s="625" t="inlineStr">
        <is>
          <t>FO23080007</t>
        </is>
      </c>
      <c r="B505" s="626" t="n">
        <v>45146</v>
      </c>
      <c r="C505" s="615" t="inlineStr">
        <is>
          <t>มัลติแบกซ์</t>
        </is>
      </c>
      <c r="D505" s="615" t="inlineStr">
        <is>
          <t>ท่าเรือแหลมฉบัง</t>
        </is>
      </c>
      <c r="E505" s="627" t="n">
        <v>5.9</v>
      </c>
      <c r="F505" s="625" t="inlineStr">
        <is>
          <t>Km</t>
        </is>
      </c>
      <c r="G505" s="625" t="inlineStr">
        <is>
          <t>รถเทรลเลอร์</t>
        </is>
      </c>
      <c r="H505" s="625" t="inlineStr">
        <is>
          <t>SHUWAIKH, KUWAIT</t>
        </is>
      </c>
      <c r="I505" s="625" t="n">
        <v>5727</v>
      </c>
      <c r="J505" s="628" t="inlineStr">
        <is>
          <t>Km</t>
        </is>
      </c>
      <c r="K505" s="630" t="n">
        <v>2100</v>
      </c>
      <c r="L505" s="640">
        <f>M505-K505</f>
        <v/>
      </c>
      <c r="M505" s="1797" t="n">
        <v>6149.02</v>
      </c>
      <c r="N505" s="1801" t="n">
        <v>2975.58</v>
      </c>
      <c r="O505" s="615" t="n">
        <v>0</v>
      </c>
      <c r="P505" s="641" t="n">
        <v>100</v>
      </c>
    </row>
    <row r="506" ht="15.75" customHeight="1">
      <c r="A506" s="631" t="inlineStr">
        <is>
          <t>FO23080008</t>
        </is>
      </c>
      <c r="B506" s="632" t="n">
        <v>45141</v>
      </c>
      <c r="C506" s="633" t="inlineStr">
        <is>
          <t>มัลติแบกซ์</t>
        </is>
      </c>
      <c r="D506" s="633" t="inlineStr">
        <is>
          <t>ท่าเรือแหลมฉบัง</t>
        </is>
      </c>
      <c r="E506" s="634" t="n">
        <v>7.1</v>
      </c>
      <c r="F506" s="631" t="inlineStr">
        <is>
          <t>Km</t>
        </is>
      </c>
      <c r="G506" s="631" t="inlineStr">
        <is>
          <t>รถเทรลเลอร์</t>
        </is>
      </c>
      <c r="H506" s="631" t="inlineStr">
        <is>
          <t>UK PORT</t>
        </is>
      </c>
      <c r="I506" s="631" t="n">
        <v>9687</v>
      </c>
      <c r="J506" s="635" t="inlineStr">
        <is>
          <t>Km</t>
        </is>
      </c>
      <c r="K506" s="637" t="n">
        <v>3700</v>
      </c>
      <c r="L506" s="642">
        <f>M506-K506</f>
        <v/>
      </c>
      <c r="M506" s="1799" t="n">
        <v>23577.3</v>
      </c>
      <c r="N506" s="1800" t="n">
        <v>18582.3</v>
      </c>
      <c r="O506" s="633" t="n">
        <v>0</v>
      </c>
      <c r="P506" s="643" t="n">
        <v>100</v>
      </c>
    </row>
    <row r="507" ht="15.75" customHeight="1">
      <c r="A507" s="625" t="inlineStr">
        <is>
          <t>FO23080009</t>
        </is>
      </c>
      <c r="B507" s="626" t="n">
        <v>45145</v>
      </c>
      <c r="C507" s="615" t="inlineStr">
        <is>
          <t>มัลติแบกซ์</t>
        </is>
      </c>
      <c r="D507" s="615" t="inlineStr">
        <is>
          <t>ท่าเรือแหลมฉบัง</t>
        </is>
      </c>
      <c r="E507" s="627" t="n">
        <v>11.7</v>
      </c>
      <c r="F507" s="625" t="inlineStr">
        <is>
          <t>Km</t>
        </is>
      </c>
      <c r="G507" s="625" t="inlineStr">
        <is>
          <t>รถเทรลเลอร์</t>
        </is>
      </c>
      <c r="H507" s="625" t="inlineStr">
        <is>
          <t>SINGAPORE</t>
        </is>
      </c>
      <c r="I507" s="625" t="n">
        <v>1931</v>
      </c>
      <c r="J507" s="628" t="inlineStr">
        <is>
          <t>Km</t>
        </is>
      </c>
      <c r="K507" s="630" t="n">
        <v>5473</v>
      </c>
      <c r="L507" s="640">
        <f>M507-K507</f>
        <v/>
      </c>
      <c r="M507" s="1797" t="n">
        <v>6482</v>
      </c>
      <c r="N507" s="1801" t="n">
        <v>5473</v>
      </c>
      <c r="O507" s="615" t="n">
        <v>0</v>
      </c>
      <c r="P507" s="641" t="n">
        <v>100</v>
      </c>
    </row>
    <row r="508" ht="15.75" customHeight="1">
      <c r="A508" s="631" t="inlineStr">
        <is>
          <t>FO23080010</t>
        </is>
      </c>
      <c r="B508" s="632" t="n">
        <v>45141</v>
      </c>
      <c r="C508" s="633" t="inlineStr">
        <is>
          <t>มัลติแบกซ์</t>
        </is>
      </c>
      <c r="D508" s="633" t="inlineStr">
        <is>
          <t>ท่าเรือแหลมฉบัง</t>
        </is>
      </c>
      <c r="E508" s="634" t="n">
        <v>7.1</v>
      </c>
      <c r="F508" s="631" t="inlineStr">
        <is>
          <t>Km</t>
        </is>
      </c>
      <c r="G508" s="631" t="inlineStr">
        <is>
          <t>รถเทรลเลอร์</t>
        </is>
      </c>
      <c r="H508" s="631" t="inlineStr">
        <is>
          <t>UNIVERSITY PARK IL, USA</t>
        </is>
      </c>
      <c r="I508" s="631" t="n">
        <v>13877</v>
      </c>
      <c r="J508" s="635" t="inlineStr">
        <is>
          <t>Km</t>
        </is>
      </c>
      <c r="K508" s="637" t="n">
        <v>3840</v>
      </c>
      <c r="L508" s="642">
        <f>M508-K508</f>
        <v/>
      </c>
      <c r="M508" s="1799" t="n">
        <v>23439.5</v>
      </c>
      <c r="N508" s="1800" t="n">
        <v>15795</v>
      </c>
      <c r="O508" s="633" t="n">
        <v>0</v>
      </c>
      <c r="P508" s="643" t="n">
        <v>100</v>
      </c>
    </row>
    <row r="509" ht="15.75" customHeight="1">
      <c r="A509" s="625" t="inlineStr">
        <is>
          <t>FO23080011</t>
        </is>
      </c>
      <c r="B509" s="626" t="n">
        <v>45141</v>
      </c>
      <c r="C509" s="615" t="inlineStr">
        <is>
          <t>มัลติแบกซ์</t>
        </is>
      </c>
      <c r="D509" s="615" t="inlineStr">
        <is>
          <t>ท่าเรือแหลมฉบัง</t>
        </is>
      </c>
      <c r="E509" s="627" t="n">
        <v>7.1</v>
      </c>
      <c r="F509" s="625" t="inlineStr">
        <is>
          <t>Km</t>
        </is>
      </c>
      <c r="G509" s="625" t="inlineStr">
        <is>
          <t>รถเทรลเลอร์</t>
        </is>
      </c>
      <c r="H509" s="625" t="inlineStr">
        <is>
          <t>UNIVERSITY PARK IL, USA</t>
        </is>
      </c>
      <c r="I509" s="625" t="n">
        <v>13877</v>
      </c>
      <c r="J509" s="628" t="inlineStr">
        <is>
          <t>Km</t>
        </is>
      </c>
      <c r="K509" s="630" t="n">
        <v>3840</v>
      </c>
      <c r="L509" s="640">
        <f>M509-K509</f>
        <v/>
      </c>
      <c r="M509" s="1797" t="n">
        <v>14029.8</v>
      </c>
      <c r="N509" s="1801" t="n">
        <v>7660</v>
      </c>
      <c r="O509" s="615" t="n">
        <v>0</v>
      </c>
      <c r="P509" s="641" t="n">
        <v>100</v>
      </c>
    </row>
    <row r="510" ht="15.75" customHeight="1">
      <c r="A510" s="631" t="inlineStr">
        <is>
          <t>FO23080012</t>
        </is>
      </c>
      <c r="B510" s="632" t="n">
        <v>45145</v>
      </c>
      <c r="C510" s="633" t="inlineStr">
        <is>
          <t>มัลติแบกซ์</t>
        </is>
      </c>
      <c r="D510" s="633" t="inlineStr">
        <is>
          <t>ท่าเรือแหลมฉบัง</t>
        </is>
      </c>
      <c r="E510" s="634" t="n">
        <v>7.1</v>
      </c>
      <c r="F510" s="631" t="inlineStr">
        <is>
          <t>Km</t>
        </is>
      </c>
      <c r="G510" s="631" t="inlineStr">
        <is>
          <t>รถเทรลเลอร์</t>
        </is>
      </c>
      <c r="H510" s="631" t="inlineStr">
        <is>
          <t>UNIVERSITY PARK IL, USA</t>
        </is>
      </c>
      <c r="I510" s="631" t="n">
        <v>13877</v>
      </c>
      <c r="J510" s="635" t="inlineStr">
        <is>
          <t>Km</t>
        </is>
      </c>
      <c r="K510" s="637" t="n">
        <v>3840</v>
      </c>
      <c r="L510" s="642">
        <f>M510-K510</f>
        <v/>
      </c>
      <c r="M510" s="1799" t="n">
        <v>15854</v>
      </c>
      <c r="N510" s="1800" t="n">
        <v>8988</v>
      </c>
      <c r="O510" s="633" t="n">
        <v>0</v>
      </c>
      <c r="P510" s="643" t="n">
        <v>100</v>
      </c>
    </row>
    <row r="511" ht="15.75" customHeight="1">
      <c r="A511" s="625" t="inlineStr">
        <is>
          <t>FO23080013</t>
        </is>
      </c>
      <c r="B511" s="626" t="n">
        <v>45141</v>
      </c>
      <c r="C511" s="615" t="inlineStr">
        <is>
          <t>มัลติแบกซ์</t>
        </is>
      </c>
      <c r="D511" s="615" t="inlineStr">
        <is>
          <t>ท่าเรือแหลมฉบัง</t>
        </is>
      </c>
      <c r="E511" s="627" t="n">
        <v>7.1</v>
      </c>
      <c r="F511" s="625" t="inlineStr">
        <is>
          <t>Km</t>
        </is>
      </c>
      <c r="G511" s="625" t="inlineStr">
        <is>
          <t>รถเทรลเลอร์</t>
        </is>
      </c>
      <c r="H511" s="625" t="inlineStr">
        <is>
          <t>UNIVERSITY PARK IL, USA</t>
        </is>
      </c>
      <c r="I511" s="625" t="n">
        <v>13877</v>
      </c>
      <c r="J511" s="628" t="inlineStr">
        <is>
          <t>Km</t>
        </is>
      </c>
      <c r="K511" s="630" t="n">
        <v>3700</v>
      </c>
      <c r="L511" s="640">
        <f>M511-K511</f>
        <v/>
      </c>
      <c r="M511" s="1797" t="n">
        <v>14426</v>
      </c>
      <c r="N511" s="1801" t="n">
        <v>8196.200000000001</v>
      </c>
      <c r="O511" s="615" t="n">
        <v>0</v>
      </c>
      <c r="P511" s="641" t="n">
        <v>100</v>
      </c>
    </row>
    <row r="512" ht="15.75" customHeight="1">
      <c r="A512" s="631" t="inlineStr">
        <is>
          <t>FO23080014</t>
        </is>
      </c>
      <c r="B512" s="632" t="n">
        <v>45148</v>
      </c>
      <c r="C512" s="633" t="inlineStr">
        <is>
          <t>มัลติแบกซ์</t>
        </is>
      </c>
      <c r="D512" s="633" t="inlineStr">
        <is>
          <t>ท่าเรือแหลมฉบัง</t>
        </is>
      </c>
      <c r="E512" s="634" t="n">
        <v>6.2</v>
      </c>
      <c r="F512" s="631" t="inlineStr">
        <is>
          <t>Km</t>
        </is>
      </c>
      <c r="G512" s="631" t="inlineStr">
        <is>
          <t>รถเทรลเลอร์</t>
        </is>
      </c>
      <c r="H512" s="631" t="inlineStr">
        <is>
          <t>SANTA TERESA, NM USA</t>
        </is>
      </c>
      <c r="I512" s="631" t="n">
        <v>17387</v>
      </c>
      <c r="J512" s="635" t="inlineStr">
        <is>
          <t>Km</t>
        </is>
      </c>
      <c r="K512" s="637" t="n">
        <v>3900</v>
      </c>
      <c r="L512" s="642">
        <f>M512-K512</f>
        <v/>
      </c>
      <c r="M512" s="1799" t="n">
        <v>21910</v>
      </c>
      <c r="N512" s="1800" t="n">
        <v>15567.88</v>
      </c>
      <c r="O512" s="633" t="n">
        <v>0</v>
      </c>
      <c r="P512" s="643" t="n">
        <v>100</v>
      </c>
    </row>
    <row r="513" ht="15.75" customHeight="1">
      <c r="A513" s="625" t="inlineStr">
        <is>
          <t>FO23080015</t>
        </is>
      </c>
      <c r="B513" s="626" t="n">
        <v>45148</v>
      </c>
      <c r="C513" s="615" t="inlineStr">
        <is>
          <t>มัลติแบกซ์</t>
        </is>
      </c>
      <c r="D513" s="615" t="inlineStr">
        <is>
          <t>ท่าเรือแหลมฉบัง</t>
        </is>
      </c>
      <c r="E513" s="627" t="n">
        <v>6.2</v>
      </c>
      <c r="F513" s="625" t="inlineStr">
        <is>
          <t>Km</t>
        </is>
      </c>
      <c r="G513" s="625" t="inlineStr">
        <is>
          <t>รถเทรลเลอร์</t>
        </is>
      </c>
      <c r="H513" s="625" t="inlineStr">
        <is>
          <t>SANTA TERESA, NM USA</t>
        </is>
      </c>
      <c r="I513" s="625" t="n">
        <v>17387</v>
      </c>
      <c r="J513" s="628" t="inlineStr">
        <is>
          <t>Km</t>
        </is>
      </c>
      <c r="K513" s="630" t="n">
        <v>3820</v>
      </c>
      <c r="L513" s="640">
        <f>M513-K513</f>
        <v/>
      </c>
      <c r="M513" s="1797" t="n">
        <v>21574.88</v>
      </c>
      <c r="N513" s="1801" t="n">
        <v>15307.66</v>
      </c>
      <c r="O513" s="615" t="n">
        <v>0</v>
      </c>
      <c r="P513" s="641" t="n">
        <v>100</v>
      </c>
    </row>
    <row r="514" ht="15.75" customHeight="1">
      <c r="A514" s="631" t="inlineStr">
        <is>
          <t>FO23080016</t>
        </is>
      </c>
      <c r="B514" s="632" t="n">
        <v>45145</v>
      </c>
      <c r="C514" s="633" t="inlineStr">
        <is>
          <t>มัลติแบกซ์</t>
        </is>
      </c>
      <c r="D514" s="633" t="inlineStr">
        <is>
          <t>ท่าเรือแหลมฉบัง</t>
        </is>
      </c>
      <c r="E514" s="634" t="n">
        <v>6.5</v>
      </c>
      <c r="F514" s="631" t="inlineStr">
        <is>
          <t>Km</t>
        </is>
      </c>
      <c r="G514" s="631" t="inlineStr">
        <is>
          <t>รถเทรลเลอร์</t>
        </is>
      </c>
      <c r="H514" s="631" t="inlineStr">
        <is>
          <t>MANZANILLO, MEXICO</t>
        </is>
      </c>
      <c r="I514" s="631" t="n">
        <v>15486</v>
      </c>
      <c r="J514" s="635" t="inlineStr">
        <is>
          <t>Km</t>
        </is>
      </c>
      <c r="K514" s="637" t="n">
        <v>3630</v>
      </c>
      <c r="L514" s="642">
        <f>M514-K514</f>
        <v/>
      </c>
      <c r="M514" s="1799" t="n">
        <v>11888.2</v>
      </c>
      <c r="N514" s="1800" t="n">
        <v>6024.78</v>
      </c>
      <c r="O514" s="633" t="n">
        <v>0</v>
      </c>
      <c r="P514" s="643" t="n">
        <v>100</v>
      </c>
    </row>
    <row r="515" ht="15.75" customHeight="1">
      <c r="A515" s="625" t="inlineStr">
        <is>
          <t>FO23080017</t>
        </is>
      </c>
      <c r="B515" s="626" t="n">
        <v>45142</v>
      </c>
      <c r="C515" s="615" t="inlineStr">
        <is>
          <t>มัลติแบกซ์</t>
        </is>
      </c>
      <c r="D515" s="615" t="inlineStr">
        <is>
          <t>ท่าเรือแหลมฉบัง</t>
        </is>
      </c>
      <c r="E515" s="627" t="n">
        <v>7.1</v>
      </c>
      <c r="F515" s="625" t="inlineStr">
        <is>
          <t>Km</t>
        </is>
      </c>
      <c r="G515" s="625" t="inlineStr">
        <is>
          <t>รถเทรลเลอร์</t>
        </is>
      </c>
      <c r="H515" s="625" t="inlineStr">
        <is>
          <t>SHUWAIKH, KUWAIT</t>
        </is>
      </c>
      <c r="I515" s="625" t="n">
        <v>5727</v>
      </c>
      <c r="J515" s="628" t="inlineStr">
        <is>
          <t>Km</t>
        </is>
      </c>
      <c r="K515" s="630" t="n">
        <v>3740</v>
      </c>
      <c r="L515" s="640">
        <f>M515-K515</f>
        <v/>
      </c>
      <c r="M515" s="1797" t="n">
        <v>18141.9</v>
      </c>
      <c r="N515" s="1801" t="n">
        <v>12243.14</v>
      </c>
      <c r="O515" s="615" t="n">
        <v>0</v>
      </c>
      <c r="P515" s="641" t="n">
        <v>100</v>
      </c>
    </row>
    <row r="516" ht="15.75" customHeight="1">
      <c r="A516" s="631" t="inlineStr">
        <is>
          <t>FO23080018</t>
        </is>
      </c>
      <c r="B516" s="632" t="n">
        <v>45142</v>
      </c>
      <c r="C516" s="633" t="inlineStr">
        <is>
          <t>มัลติแบกซ์</t>
        </is>
      </c>
      <c r="D516" s="633" t="inlineStr">
        <is>
          <t>ท่าเรือแหลมฉบัง</t>
        </is>
      </c>
      <c r="E516" s="634" t="n">
        <v>7.1</v>
      </c>
      <c r="F516" s="631" t="inlineStr">
        <is>
          <t>Km</t>
        </is>
      </c>
      <c r="G516" s="631" t="inlineStr">
        <is>
          <t>รถเทรลเลอร์</t>
        </is>
      </c>
      <c r="H516" s="631" t="inlineStr">
        <is>
          <t>HAMAD, QATAR</t>
        </is>
      </c>
      <c r="I516" s="631" t="n">
        <v>5317</v>
      </c>
      <c r="J516" s="635" t="inlineStr">
        <is>
          <t>Km</t>
        </is>
      </c>
      <c r="K516" s="637" t="n">
        <v>2100</v>
      </c>
      <c r="L516" s="642">
        <f>M516-K516</f>
        <v/>
      </c>
      <c r="M516" s="1799" t="n">
        <v>9120.25</v>
      </c>
      <c r="N516" s="1800" t="n">
        <v>5987.81</v>
      </c>
      <c r="O516" s="633" t="n">
        <v>0</v>
      </c>
      <c r="P516" s="643" t="n">
        <v>100</v>
      </c>
    </row>
    <row r="517" ht="15.75" customHeight="1">
      <c r="A517" s="625" t="inlineStr">
        <is>
          <t>FO23080019</t>
        </is>
      </c>
      <c r="B517" s="626" t="n">
        <v>45142</v>
      </c>
      <c r="C517" s="615" t="inlineStr">
        <is>
          <t>มัลติแบกซ์</t>
        </is>
      </c>
      <c r="D517" s="615" t="inlineStr">
        <is>
          <t>ท่าเรือแหลมฉบัง</t>
        </is>
      </c>
      <c r="E517" s="627" t="n">
        <v>7.1</v>
      </c>
      <c r="F517" s="625" t="inlineStr">
        <is>
          <t>Km</t>
        </is>
      </c>
      <c r="G517" s="625" t="inlineStr">
        <is>
          <t>รถเทรลเลอร์</t>
        </is>
      </c>
      <c r="H517" s="625" t="inlineStr">
        <is>
          <t>AJMAN PORT, UAE</t>
        </is>
      </c>
      <c r="I517" s="625" t="n">
        <v>4929</v>
      </c>
      <c r="J517" s="628" t="inlineStr">
        <is>
          <t>Km</t>
        </is>
      </c>
      <c r="K517" s="630" t="n">
        <v>2220</v>
      </c>
      <c r="L517" s="640">
        <f>M517-K517</f>
        <v/>
      </c>
      <c r="M517" s="1797" t="n">
        <v>10140.85</v>
      </c>
      <c r="N517" s="1801" t="n">
        <v>6749.28</v>
      </c>
      <c r="O517" s="615" t="n">
        <v>0</v>
      </c>
      <c r="P517" s="641" t="n">
        <v>100</v>
      </c>
    </row>
    <row r="518" ht="15.75" customHeight="1">
      <c r="A518" s="631" t="inlineStr">
        <is>
          <t>FO23080020</t>
        </is>
      </c>
      <c r="B518" s="632" t="n">
        <v>45142</v>
      </c>
      <c r="C518" s="633" t="inlineStr">
        <is>
          <t>มัลติแบกซ์</t>
        </is>
      </c>
      <c r="D518" s="633" t="inlineStr">
        <is>
          <t>ท่าเรือแหลมฉบัง</t>
        </is>
      </c>
      <c r="E518" s="634" t="n">
        <v>7.1</v>
      </c>
      <c r="F518" s="631" t="inlineStr">
        <is>
          <t>Km</t>
        </is>
      </c>
      <c r="G518" s="631" t="inlineStr">
        <is>
          <t>รถเทรลเลอร์</t>
        </is>
      </c>
      <c r="H518" s="631" t="inlineStr">
        <is>
          <t>AJMAN PORT, UAE</t>
        </is>
      </c>
      <c r="I518" s="631" t="n">
        <v>4929</v>
      </c>
      <c r="J518" s="635" t="inlineStr">
        <is>
          <t>Km</t>
        </is>
      </c>
      <c r="K518" s="637" t="n">
        <v>3640</v>
      </c>
      <c r="L518" s="642">
        <f>M518-K518</f>
        <v/>
      </c>
      <c r="M518" s="1799" t="n">
        <v>18563.18</v>
      </c>
      <c r="N518" s="1800" t="n">
        <v>13453.58</v>
      </c>
      <c r="O518" s="633" t="n">
        <v>0</v>
      </c>
      <c r="P518" s="643" t="n">
        <v>100</v>
      </c>
    </row>
    <row r="519" ht="15.75" customHeight="1">
      <c r="A519" s="625" t="inlineStr">
        <is>
          <t>FO23080021</t>
        </is>
      </c>
      <c r="B519" s="626" t="n">
        <v>45142</v>
      </c>
      <c r="C519" s="615" t="inlineStr">
        <is>
          <t>มัลติแบกซ์</t>
        </is>
      </c>
      <c r="D519" s="615" t="inlineStr">
        <is>
          <t>ท่าเรือแหลมฉบัง</t>
        </is>
      </c>
      <c r="E519" s="627" t="n">
        <v>7.1</v>
      </c>
      <c r="F519" s="625" t="inlineStr">
        <is>
          <t>Km</t>
        </is>
      </c>
      <c r="G519" s="625" t="inlineStr">
        <is>
          <t>รถเทรลเลอร์</t>
        </is>
      </c>
      <c r="H519" s="625" t="inlineStr">
        <is>
          <t>AJMAN PORT, UAE</t>
        </is>
      </c>
      <c r="I519" s="625" t="n">
        <v>4929</v>
      </c>
      <c r="J519" s="628" t="inlineStr">
        <is>
          <t>Km</t>
        </is>
      </c>
      <c r="K519" s="630" t="n">
        <v>3620</v>
      </c>
      <c r="L519" s="640">
        <f>M519-K519</f>
        <v/>
      </c>
      <c r="M519" s="1797" t="n">
        <v>16373.2</v>
      </c>
      <c r="N519" s="1801" t="n">
        <v>10199.4</v>
      </c>
      <c r="O519" s="615" t="n">
        <v>0</v>
      </c>
      <c r="P519" s="641" t="n">
        <v>100</v>
      </c>
    </row>
    <row r="520" ht="15.75" customHeight="1">
      <c r="A520" s="631" t="inlineStr">
        <is>
          <t>FO23080022</t>
        </is>
      </c>
      <c r="B520" s="632" t="n">
        <v>45148</v>
      </c>
      <c r="C520" s="633" t="inlineStr">
        <is>
          <t>มัลติแบกซ์</t>
        </is>
      </c>
      <c r="D520" s="633" t="inlineStr">
        <is>
          <t>ท่าเรือแหลมฉบัง</t>
        </is>
      </c>
      <c r="E520" s="634" t="n">
        <v>6.2</v>
      </c>
      <c r="F520" s="631" t="inlineStr">
        <is>
          <t>Km</t>
        </is>
      </c>
      <c r="G520" s="631" t="inlineStr">
        <is>
          <t>รถเทรลเลอร์</t>
        </is>
      </c>
      <c r="H520" s="631" t="inlineStr">
        <is>
          <t>JACKSONVILLE IL, USA</t>
        </is>
      </c>
      <c r="I520" s="631" t="n">
        <v>15168</v>
      </c>
      <c r="J520" s="635" t="inlineStr">
        <is>
          <t>Km</t>
        </is>
      </c>
      <c r="K520" s="637" t="n">
        <v>3860</v>
      </c>
      <c r="L520" s="642">
        <f>M520-K520</f>
        <v/>
      </c>
      <c r="M520" s="1799" t="n">
        <v>23719.6</v>
      </c>
      <c r="N520" s="1800" t="n">
        <v>16464</v>
      </c>
      <c r="O520" s="633" t="n">
        <v>0</v>
      </c>
      <c r="P520" s="643" t="n">
        <v>100</v>
      </c>
    </row>
    <row r="521" ht="15.75" customHeight="1">
      <c r="A521" s="625" t="inlineStr">
        <is>
          <t>FO23080023</t>
        </is>
      </c>
      <c r="B521" s="626" t="n">
        <v>45142</v>
      </c>
      <c r="C521" s="615" t="inlineStr">
        <is>
          <t>มัลติแบกซ์</t>
        </is>
      </c>
      <c r="D521" s="615" t="inlineStr">
        <is>
          <t>ท่าเรือแหลมฉบัง</t>
        </is>
      </c>
      <c r="E521" s="627" t="n">
        <v>6</v>
      </c>
      <c r="F521" s="625" t="inlineStr">
        <is>
          <t>Km</t>
        </is>
      </c>
      <c r="G521" s="625" t="inlineStr">
        <is>
          <t>รถเทรลเลอร์</t>
        </is>
      </c>
      <c r="H521" s="625" t="inlineStr">
        <is>
          <t>SAN JUAN, PUERTO RICO</t>
        </is>
      </c>
      <c r="I521" s="625" t="n">
        <v>9292</v>
      </c>
      <c r="J521" s="628" t="inlineStr">
        <is>
          <t>Km</t>
        </is>
      </c>
      <c r="K521" s="630" t="n">
        <v>3850</v>
      </c>
      <c r="L521" s="640">
        <f>M521-K521</f>
        <v/>
      </c>
      <c r="M521" s="1797" t="n">
        <v>15268</v>
      </c>
      <c r="N521" s="1801" t="n">
        <v>7386</v>
      </c>
      <c r="O521" s="615" t="n">
        <v>0</v>
      </c>
      <c r="P521" s="641" t="n">
        <v>100</v>
      </c>
    </row>
    <row r="522" ht="15.75" customHeight="1">
      <c r="A522" s="385" t="inlineStr">
        <is>
          <t>FO23080024</t>
        </is>
      </c>
      <c r="B522" s="649" t="n">
        <v>45153</v>
      </c>
      <c r="C522" s="309" t="inlineStr">
        <is>
          <t>มัลติแบกซ์</t>
        </is>
      </c>
      <c r="D522" s="309" t="n"/>
      <c r="E522" s="652" t="n"/>
      <c r="F522" s="385" t="n"/>
      <c r="G522" s="385" t="inlineStr">
        <is>
          <t>รถเทรลเลอร์</t>
        </is>
      </c>
      <c r="H522" s="385" t="inlineStr">
        <is>
          <t>SINGAPORE</t>
        </is>
      </c>
      <c r="I522" s="385" t="n">
        <v>1931</v>
      </c>
      <c r="J522" s="228" t="n"/>
      <c r="K522" s="653" t="n">
        <v>2755.4</v>
      </c>
      <c r="L522" s="654" t="n">
        <v>1278.2</v>
      </c>
      <c r="M522" s="1804" t="n">
        <v>4033.6</v>
      </c>
      <c r="N522" s="1805" t="n">
        <v>2755.4</v>
      </c>
      <c r="O522" s="309" t="n">
        <v>0</v>
      </c>
      <c r="P522" s="655" t="n">
        <v>100</v>
      </c>
    </row>
    <row r="523" ht="15.75" customHeight="1">
      <c r="A523" s="625" t="inlineStr">
        <is>
          <t>FO23080025</t>
        </is>
      </c>
      <c r="B523" s="626" t="n">
        <v>45146</v>
      </c>
      <c r="C523" s="615" t="inlineStr">
        <is>
          <t>มัลติแบกซ์</t>
        </is>
      </c>
      <c r="D523" s="615" t="inlineStr">
        <is>
          <t>ท่าเรือแหลมฉบัง</t>
        </is>
      </c>
      <c r="E523" s="627" t="n">
        <v>6.5</v>
      </c>
      <c r="F523" s="625" t="inlineStr">
        <is>
          <t>Km</t>
        </is>
      </c>
      <c r="G523" s="625" t="inlineStr">
        <is>
          <t>รถเทรลเลอร์</t>
        </is>
      </c>
      <c r="H523" s="625" t="inlineStr">
        <is>
          <t>MANZANILLO, MEXICO</t>
        </is>
      </c>
      <c r="I523" s="625" t="n">
        <v>15486</v>
      </c>
      <c r="J523" s="628" t="inlineStr">
        <is>
          <t>Km</t>
        </is>
      </c>
      <c r="K523" s="630" t="n">
        <v>3830</v>
      </c>
      <c r="L523" s="640">
        <f>M523-K523</f>
        <v/>
      </c>
      <c r="M523" s="1797" t="n">
        <v>15303</v>
      </c>
      <c r="N523" s="1801" t="n">
        <v>8813</v>
      </c>
      <c r="O523" s="615" t="n">
        <v>0</v>
      </c>
      <c r="P523" s="641" t="n">
        <v>100</v>
      </c>
    </row>
    <row r="524" ht="15.75" customHeight="1">
      <c r="A524" s="631" t="inlineStr">
        <is>
          <t>FO23080026</t>
        </is>
      </c>
      <c r="B524" s="632" t="n">
        <v>45149</v>
      </c>
      <c r="C524" s="633" t="inlineStr">
        <is>
          <t>มัลติแบกซ์</t>
        </is>
      </c>
      <c r="D524" s="633" t="inlineStr">
        <is>
          <t>ท่าเรือแหลมฉบัง</t>
        </is>
      </c>
      <c r="E524" s="634" t="n">
        <v>4.1</v>
      </c>
      <c r="F524" s="631" t="inlineStr">
        <is>
          <t>Km</t>
        </is>
      </c>
      <c r="G524" s="631" t="inlineStr">
        <is>
          <t>รถเทรลเลอร์</t>
        </is>
      </c>
      <c r="H524" s="631" t="inlineStr">
        <is>
          <t>SOUTH BOSTON VA, USA</t>
        </is>
      </c>
      <c r="I524" s="631" t="n">
        <v>13787</v>
      </c>
      <c r="J524" s="635" t="inlineStr">
        <is>
          <t>Km</t>
        </is>
      </c>
      <c r="K524" s="637" t="n">
        <v>3700</v>
      </c>
      <c r="L524" s="642">
        <f>M524-K524</f>
        <v/>
      </c>
      <c r="M524" s="1799" t="n">
        <v>19036.5</v>
      </c>
      <c r="N524" s="1800" t="n">
        <v>11672.5</v>
      </c>
      <c r="O524" s="633" t="n">
        <v>0</v>
      </c>
      <c r="P524" s="643" t="n">
        <v>100</v>
      </c>
    </row>
    <row r="525" ht="15.75" customHeight="1">
      <c r="A525" s="625" t="inlineStr">
        <is>
          <t>FO23080027</t>
        </is>
      </c>
      <c r="B525" s="626" t="n">
        <v>45149</v>
      </c>
      <c r="C525" s="615" t="inlineStr">
        <is>
          <t>มัลติแบกซ์</t>
        </is>
      </c>
      <c r="D525" s="615" t="inlineStr">
        <is>
          <t>ท่าเรือแหลมฉบัง</t>
        </is>
      </c>
      <c r="E525" s="627" t="n">
        <v>5.3</v>
      </c>
      <c r="F525" s="625" t="inlineStr">
        <is>
          <t>Km</t>
        </is>
      </c>
      <c r="G525" s="625" t="inlineStr">
        <is>
          <t>รถเทรลเลอร์</t>
        </is>
      </c>
      <c r="H525" s="625" t="inlineStr">
        <is>
          <t>SOUTH BOSTON VA, USA</t>
        </is>
      </c>
      <c r="I525" s="625" t="n">
        <v>13787</v>
      </c>
      <c r="J525" s="628" t="inlineStr">
        <is>
          <t>Km</t>
        </is>
      </c>
      <c r="K525" s="630" t="n">
        <v>3940</v>
      </c>
      <c r="L525" s="640">
        <f>M525-K525</f>
        <v/>
      </c>
      <c r="M525" s="1797" t="n">
        <v>15755</v>
      </c>
      <c r="N525" s="1801" t="n">
        <v>8813.799999999999</v>
      </c>
      <c r="O525" s="615" t="n">
        <v>0</v>
      </c>
      <c r="P525" s="641" t="n">
        <v>100</v>
      </c>
    </row>
    <row r="526" ht="15.75" customHeight="1">
      <c r="A526" s="631" t="inlineStr">
        <is>
          <t>FO23080028</t>
        </is>
      </c>
      <c r="B526" s="632" t="n">
        <v>45153</v>
      </c>
      <c r="C526" s="633" t="inlineStr">
        <is>
          <t>มัลติแบกซ์</t>
        </is>
      </c>
      <c r="D526" s="633" t="inlineStr">
        <is>
          <t>ท่าเรือแหลมฉบัง</t>
        </is>
      </c>
      <c r="E526" s="634" t="n">
        <v>6.2</v>
      </c>
      <c r="F526" s="631" t="inlineStr">
        <is>
          <t>Km</t>
        </is>
      </c>
      <c r="G526" s="631" t="inlineStr">
        <is>
          <t>รถเทรลเลอร์</t>
        </is>
      </c>
      <c r="H526" s="631" t="inlineStr">
        <is>
          <t>SOUTH BOSTON VA, USA</t>
        </is>
      </c>
      <c r="I526" s="631" t="n">
        <v>13787</v>
      </c>
      <c r="J526" s="635" t="inlineStr">
        <is>
          <t>Km</t>
        </is>
      </c>
      <c r="K526" s="637" t="n">
        <v>3830</v>
      </c>
      <c r="L526" s="642">
        <f>M526-K526</f>
        <v/>
      </c>
      <c r="M526" s="1799" t="n">
        <v>16823.5</v>
      </c>
      <c r="N526" s="1800" t="n">
        <v>9861.5</v>
      </c>
      <c r="O526" s="633" t="n">
        <v>0</v>
      </c>
      <c r="P526" s="643" t="n">
        <v>100</v>
      </c>
    </row>
    <row r="527" ht="15.75" customHeight="1">
      <c r="A527" s="625" t="inlineStr">
        <is>
          <t>FO23080029</t>
        </is>
      </c>
      <c r="B527" s="626" t="n">
        <v>45152</v>
      </c>
      <c r="C527" s="615" t="inlineStr">
        <is>
          <t>มัลติแบกซ์</t>
        </is>
      </c>
      <c r="D527" s="615" t="inlineStr">
        <is>
          <t>ท่าเรือแหลมฉบัง</t>
        </is>
      </c>
      <c r="E527" s="627" t="n">
        <v>7.1</v>
      </c>
      <c r="F527" s="625" t="inlineStr">
        <is>
          <t>Km</t>
        </is>
      </c>
      <c r="G527" s="625" t="inlineStr">
        <is>
          <t>รถเทรลเลอร์</t>
        </is>
      </c>
      <c r="H527" s="625" t="inlineStr">
        <is>
          <t>CARROLLTON TX, USA</t>
        </is>
      </c>
      <c r="I527" s="625" t="n">
        <v>14544</v>
      </c>
      <c r="J527" s="628" t="inlineStr">
        <is>
          <t>Km</t>
        </is>
      </c>
      <c r="K527" s="630" t="n">
        <v>3800</v>
      </c>
      <c r="L527" s="640">
        <f>M527-K527</f>
        <v/>
      </c>
      <c r="M527" s="1797" t="n">
        <v>16572</v>
      </c>
      <c r="N527" s="1801" t="n">
        <v>9822</v>
      </c>
      <c r="O527" s="615" t="n">
        <v>0</v>
      </c>
      <c r="P527" s="641" t="n">
        <v>100</v>
      </c>
    </row>
    <row r="528" ht="15.75" customHeight="1">
      <c r="A528" s="631" t="inlineStr">
        <is>
          <t>FO23080030</t>
        </is>
      </c>
      <c r="B528" s="632" t="n">
        <v>45155</v>
      </c>
      <c r="C528" s="633" t="inlineStr">
        <is>
          <t>มัลติแบกซ์</t>
        </is>
      </c>
      <c r="D528" s="633" t="inlineStr">
        <is>
          <t>ท่าเรือแหลมฉบัง</t>
        </is>
      </c>
      <c r="E528" s="634" t="n">
        <v>7.1</v>
      </c>
      <c r="F528" s="631" t="inlineStr">
        <is>
          <t>Km</t>
        </is>
      </c>
      <c r="G528" s="631" t="inlineStr">
        <is>
          <t>รถเทรลเลอร์</t>
        </is>
      </c>
      <c r="H528" s="631" t="inlineStr">
        <is>
          <t>MANILA, PHILIPPINES</t>
        </is>
      </c>
      <c r="I528" s="631" t="n">
        <v>2167</v>
      </c>
      <c r="J528" s="635" t="inlineStr">
        <is>
          <t>Km</t>
        </is>
      </c>
      <c r="K528" s="637" t="n">
        <v>2200</v>
      </c>
      <c r="L528" s="642">
        <f>M528-K528</f>
        <v/>
      </c>
      <c r="M528" s="1799" t="n">
        <v>6578.8</v>
      </c>
      <c r="N528" s="1800" t="n">
        <v>3275.6</v>
      </c>
      <c r="O528" s="633" t="n">
        <v>0</v>
      </c>
      <c r="P528" s="643" t="n">
        <v>100</v>
      </c>
    </row>
    <row r="529" ht="15.75" customHeight="1">
      <c r="A529" s="625" t="inlineStr">
        <is>
          <t>FO23080031</t>
        </is>
      </c>
      <c r="B529" s="626" t="n">
        <v>45148</v>
      </c>
      <c r="C529" s="615" t="inlineStr">
        <is>
          <t>มัลติแบกซ์</t>
        </is>
      </c>
      <c r="D529" s="615" t="inlineStr">
        <is>
          <t>ท่าเรือแหลมฉบัง</t>
        </is>
      </c>
      <c r="E529" s="627" t="n">
        <v>5.2</v>
      </c>
      <c r="F529" s="625" t="inlineStr">
        <is>
          <t>Km</t>
        </is>
      </c>
      <c r="G529" s="625" t="inlineStr">
        <is>
          <t>รถเทรลเลอร์</t>
        </is>
      </c>
      <c r="H529" s="625" t="inlineStr">
        <is>
          <t>DURBAN, SOUTH AFRICA</t>
        </is>
      </c>
      <c r="I529" s="625" t="n">
        <v>8865</v>
      </c>
      <c r="J529" s="628" t="inlineStr">
        <is>
          <t>Km</t>
        </is>
      </c>
      <c r="K529" s="630" t="n">
        <v>2230</v>
      </c>
      <c r="L529" s="640">
        <f>M529-K529</f>
        <v/>
      </c>
      <c r="M529" s="1797" t="n">
        <v>16012</v>
      </c>
      <c r="N529" s="1801" t="n">
        <v>13720</v>
      </c>
      <c r="O529" s="615" t="n">
        <v>0</v>
      </c>
      <c r="P529" s="641" t="n">
        <v>100</v>
      </c>
    </row>
    <row r="530" ht="15.75" customHeight="1">
      <c r="A530" s="631" t="inlineStr">
        <is>
          <t>FO23080032</t>
        </is>
      </c>
      <c r="B530" s="632" t="n">
        <v>45148</v>
      </c>
      <c r="C530" s="633" t="inlineStr">
        <is>
          <t>มัลติแบกซ์</t>
        </is>
      </c>
      <c r="D530" s="633" t="inlineStr">
        <is>
          <t>ท่าเรือแหลมฉบัง</t>
        </is>
      </c>
      <c r="E530" s="634" t="n">
        <v>7.1</v>
      </c>
      <c r="F530" s="631" t="inlineStr">
        <is>
          <t>Km</t>
        </is>
      </c>
      <c r="G530" s="631" t="inlineStr">
        <is>
          <t>รถเทรลเลอร์</t>
        </is>
      </c>
      <c r="H530" s="631" t="inlineStr">
        <is>
          <t>UNIVERSITY PARK IL, USA</t>
        </is>
      </c>
      <c r="I530" s="631" t="n">
        <v>13877</v>
      </c>
      <c r="J530" s="635" t="inlineStr">
        <is>
          <t>Km</t>
        </is>
      </c>
      <c r="K530" s="637" t="n">
        <v>3940</v>
      </c>
      <c r="L530" s="642">
        <f>M530-K530</f>
        <v/>
      </c>
      <c r="M530" s="1799" t="n">
        <v>14129.8</v>
      </c>
      <c r="N530" s="1800" t="n">
        <v>7660</v>
      </c>
      <c r="O530" s="633" t="n">
        <v>0</v>
      </c>
      <c r="P530" s="643" t="n">
        <v>100</v>
      </c>
    </row>
    <row r="531" ht="15.75" customHeight="1">
      <c r="A531" s="625" t="inlineStr">
        <is>
          <t>FO23080033</t>
        </is>
      </c>
      <c r="B531" s="626" t="n">
        <v>45148</v>
      </c>
      <c r="C531" s="615" t="inlineStr">
        <is>
          <t>มัลติแบกซ์</t>
        </is>
      </c>
      <c r="D531" s="615" t="inlineStr">
        <is>
          <t>ท่าเรือแหลมฉบัง</t>
        </is>
      </c>
      <c r="E531" s="627" t="n">
        <v>7.1</v>
      </c>
      <c r="F531" s="625" t="inlineStr">
        <is>
          <t>Km</t>
        </is>
      </c>
      <c r="G531" s="625" t="inlineStr">
        <is>
          <t>รถเทรลเลอร์</t>
        </is>
      </c>
      <c r="H531" s="625" t="inlineStr">
        <is>
          <t>UNIVERSITY PARK IL, USA</t>
        </is>
      </c>
      <c r="I531" s="625" t="n">
        <v>13877</v>
      </c>
      <c r="J531" s="628" t="inlineStr">
        <is>
          <t>Km</t>
        </is>
      </c>
      <c r="K531" s="630" t="n">
        <v>3890</v>
      </c>
      <c r="L531" s="640">
        <f>M531-K531</f>
        <v/>
      </c>
      <c r="M531" s="1797" t="n">
        <v>23489.5</v>
      </c>
      <c r="N531" s="1801" t="n">
        <v>15795</v>
      </c>
      <c r="O531" s="615" t="n">
        <v>0</v>
      </c>
      <c r="P531" s="641" t="n">
        <v>100</v>
      </c>
    </row>
    <row r="532" ht="15.75" customHeight="1">
      <c r="A532" s="631" t="inlineStr">
        <is>
          <t>FO23080034</t>
        </is>
      </c>
      <c r="B532" s="632" t="n">
        <v>45149</v>
      </c>
      <c r="C532" s="633" t="inlineStr">
        <is>
          <t>มัลติแบกซ์</t>
        </is>
      </c>
      <c r="D532" s="633" t="inlineStr">
        <is>
          <t>ท่าเรือแหลมฉบัง</t>
        </is>
      </c>
      <c r="E532" s="634" t="n">
        <v>7.1</v>
      </c>
      <c r="F532" s="631" t="inlineStr">
        <is>
          <t>Km</t>
        </is>
      </c>
      <c r="G532" s="631" t="inlineStr">
        <is>
          <t>รถเทรลเลอร์</t>
        </is>
      </c>
      <c r="H532" s="631" t="inlineStr">
        <is>
          <t>UNIVERSITY PARK IL, USA</t>
        </is>
      </c>
      <c r="I532" s="631" t="n">
        <v>13877</v>
      </c>
      <c r="J532" s="635" t="inlineStr">
        <is>
          <t>Km</t>
        </is>
      </c>
      <c r="K532" s="637" t="n">
        <v>3700</v>
      </c>
      <c r="L532" s="642">
        <f>M532-K532</f>
        <v/>
      </c>
      <c r="M532" s="1799" t="n">
        <v>23299.5</v>
      </c>
      <c r="N532" s="1800" t="n">
        <v>15795</v>
      </c>
      <c r="O532" s="633" t="n">
        <v>0</v>
      </c>
      <c r="P532" s="643" t="n">
        <v>100</v>
      </c>
    </row>
    <row r="533" ht="15.75" customHeight="1">
      <c r="A533" s="625" t="inlineStr">
        <is>
          <t>FO23080035</t>
        </is>
      </c>
      <c r="B533" s="626" t="n">
        <v>45154</v>
      </c>
      <c r="C533" s="615" t="inlineStr">
        <is>
          <t>มัลติแบกซ์</t>
        </is>
      </c>
      <c r="D533" s="615" t="inlineStr">
        <is>
          <t>ท่าเรือแหลมฉบัง</t>
        </is>
      </c>
      <c r="E533" s="627" t="n">
        <v>6.2</v>
      </c>
      <c r="F533" s="625" t="inlineStr">
        <is>
          <t>Km</t>
        </is>
      </c>
      <c r="G533" s="625" t="inlineStr">
        <is>
          <t>รถเทรลเลอร์</t>
        </is>
      </c>
      <c r="H533" s="625" t="inlineStr">
        <is>
          <t>SANTA TERESA, NM USA</t>
        </is>
      </c>
      <c r="I533" s="625" t="n">
        <v>17387</v>
      </c>
      <c r="J533" s="628" t="inlineStr">
        <is>
          <t>Km</t>
        </is>
      </c>
      <c r="K533" s="630" t="n">
        <v>3900</v>
      </c>
      <c r="L533" s="640">
        <f>M533-K533</f>
        <v/>
      </c>
      <c r="M533" s="1797" t="n">
        <v>22706.96</v>
      </c>
      <c r="N533" s="1801" t="n">
        <v>16282.82</v>
      </c>
      <c r="O533" s="615" t="n">
        <v>0</v>
      </c>
      <c r="P533" s="641" t="n">
        <v>100</v>
      </c>
    </row>
    <row r="534" ht="15.75" customHeight="1">
      <c r="A534" s="631" t="inlineStr">
        <is>
          <t>FO23080036</t>
        </is>
      </c>
      <c r="B534" s="632" t="n">
        <v>45154</v>
      </c>
      <c r="C534" s="633" t="inlineStr">
        <is>
          <t>มัลติแบกซ์</t>
        </is>
      </c>
      <c r="D534" s="633" t="inlineStr">
        <is>
          <t>ท่าเรือแหลมฉบัง</t>
        </is>
      </c>
      <c r="E534" s="634" t="n">
        <v>6.2</v>
      </c>
      <c r="F534" s="631" t="inlineStr">
        <is>
          <t>Km</t>
        </is>
      </c>
      <c r="G534" s="631" t="inlineStr">
        <is>
          <t>รถเทรลเลอร์</t>
        </is>
      </c>
      <c r="H534" s="631" t="inlineStr">
        <is>
          <t>SANTA TERESA, NM USA</t>
        </is>
      </c>
      <c r="I534" s="631" t="n">
        <v>17387</v>
      </c>
      <c r="J534" s="635" t="inlineStr">
        <is>
          <t>Km</t>
        </is>
      </c>
      <c r="K534" s="637" t="n">
        <v>3840</v>
      </c>
      <c r="L534" s="642">
        <f>M534-K534</f>
        <v/>
      </c>
      <c r="M534" s="1799" t="n">
        <v>21665.64</v>
      </c>
      <c r="N534" s="1800" t="n">
        <v>15529.02</v>
      </c>
      <c r="O534" s="633" t="n">
        <v>0</v>
      </c>
      <c r="P534" s="643" t="n">
        <v>100</v>
      </c>
    </row>
    <row r="535" ht="15.75" customHeight="1">
      <c r="A535" s="625" t="inlineStr">
        <is>
          <t>FO23080037</t>
        </is>
      </c>
      <c r="B535" s="626" t="n">
        <v>45154</v>
      </c>
      <c r="C535" s="615" t="inlineStr">
        <is>
          <t>มัลติแบกซ์</t>
        </is>
      </c>
      <c r="D535" s="615" t="inlineStr">
        <is>
          <t>ท่าเรือแหลมฉบัง</t>
        </is>
      </c>
      <c r="E535" s="627" t="n">
        <v>6.2</v>
      </c>
      <c r="F535" s="625" t="inlineStr">
        <is>
          <t>Km</t>
        </is>
      </c>
      <c r="G535" s="625" t="inlineStr">
        <is>
          <t>รถเทรลเลอร์</t>
        </is>
      </c>
      <c r="H535" s="625" t="inlineStr">
        <is>
          <t>COLUMBUS OHIO, USA</t>
        </is>
      </c>
      <c r="I535" s="625" t="n">
        <v>14000</v>
      </c>
      <c r="J535" s="628" t="inlineStr">
        <is>
          <t>Km</t>
        </is>
      </c>
      <c r="K535" s="630" t="n">
        <v>3830</v>
      </c>
      <c r="L535" s="640">
        <f>M535-K535</f>
        <v/>
      </c>
      <c r="M535" s="1797" t="n">
        <v>22185.76</v>
      </c>
      <c r="N535" s="1801" t="n">
        <v>15867.7</v>
      </c>
      <c r="O535" s="615" t="n">
        <v>0</v>
      </c>
      <c r="P535" s="641" t="n">
        <v>100</v>
      </c>
    </row>
    <row r="536" ht="15.75" customHeight="1">
      <c r="A536" s="631" t="inlineStr">
        <is>
          <t>FO23080038</t>
        </is>
      </c>
      <c r="B536" s="632" t="n">
        <v>45154</v>
      </c>
      <c r="C536" s="633" t="inlineStr">
        <is>
          <t>มัลติแบกซ์</t>
        </is>
      </c>
      <c r="D536" s="633" t="inlineStr">
        <is>
          <t>ท่าเรือแหลมฉบัง</t>
        </is>
      </c>
      <c r="E536" s="634" t="n">
        <v>6.2</v>
      </c>
      <c r="F536" s="631" t="inlineStr">
        <is>
          <t>Km</t>
        </is>
      </c>
      <c r="G536" s="631" t="inlineStr">
        <is>
          <t>รถเทรลเลอร์</t>
        </is>
      </c>
      <c r="H536" s="631" t="inlineStr">
        <is>
          <t>COLUMBUS OHIO, USA</t>
        </is>
      </c>
      <c r="I536" s="631" t="n">
        <v>14000</v>
      </c>
      <c r="J536" s="635" t="inlineStr">
        <is>
          <t>Km</t>
        </is>
      </c>
      <c r="K536" s="637" t="n">
        <v>3800</v>
      </c>
      <c r="L536" s="642">
        <f>M536-K536</f>
        <v/>
      </c>
      <c r="M536" s="1799" t="n">
        <v>21829.17</v>
      </c>
      <c r="N536" s="1800" t="n">
        <v>15758.27</v>
      </c>
      <c r="O536" s="633" t="n">
        <v>0</v>
      </c>
      <c r="P536" s="643" t="n">
        <v>100</v>
      </c>
    </row>
    <row r="537" ht="15.75" customHeight="1">
      <c r="A537" s="625" t="inlineStr">
        <is>
          <t>FO23080039</t>
        </is>
      </c>
      <c r="B537" s="626" t="n">
        <v>45160</v>
      </c>
      <c r="C537" s="615" t="inlineStr">
        <is>
          <t>มัลติแบกซ์</t>
        </is>
      </c>
      <c r="D537" s="615" t="inlineStr">
        <is>
          <t>ท่าเรือแหลมฉบัง</t>
        </is>
      </c>
      <c r="E537" s="627" t="n">
        <v>6</v>
      </c>
      <c r="F537" s="625" t="inlineStr">
        <is>
          <t>Km</t>
        </is>
      </c>
      <c r="G537" s="625" t="inlineStr">
        <is>
          <t>รถเทรลเลอร์</t>
        </is>
      </c>
      <c r="H537" s="625" t="inlineStr">
        <is>
          <t>JEBEL ALI, UAE</t>
        </is>
      </c>
      <c r="I537" s="625" t="n">
        <v>4972</v>
      </c>
      <c r="J537" s="628" t="inlineStr">
        <is>
          <t>Km</t>
        </is>
      </c>
      <c r="K537" s="630" t="n">
        <v>2180</v>
      </c>
      <c r="L537" s="640">
        <f>M537-K537</f>
        <v/>
      </c>
      <c r="M537" s="1797" t="n">
        <v>7858.7</v>
      </c>
      <c r="N537" s="1801" t="n">
        <v>4487.8</v>
      </c>
      <c r="O537" s="615" t="n">
        <v>0</v>
      </c>
      <c r="P537" s="641" t="n">
        <v>100</v>
      </c>
    </row>
    <row r="538" ht="15.75" customHeight="1">
      <c r="A538" s="631" t="inlineStr">
        <is>
          <t>FO23080040</t>
        </is>
      </c>
      <c r="B538" s="632" t="n">
        <v>45156</v>
      </c>
      <c r="C538" s="633" t="inlineStr">
        <is>
          <t>มัลติแบกซ์</t>
        </is>
      </c>
      <c r="D538" s="633" t="inlineStr">
        <is>
          <t>ท่าเรือแหลมฉบัง</t>
        </is>
      </c>
      <c r="E538" s="634" t="n">
        <v>5.2</v>
      </c>
      <c r="F538" s="631" t="inlineStr">
        <is>
          <t>Km</t>
        </is>
      </c>
      <c r="G538" s="631" t="inlineStr">
        <is>
          <t>รถเทรลเลอร์</t>
        </is>
      </c>
      <c r="H538" s="631" t="inlineStr">
        <is>
          <t>DURBAN, SOUTH AFRICA</t>
        </is>
      </c>
      <c r="I538" s="631" t="n">
        <v>8865</v>
      </c>
      <c r="J538" s="635" t="inlineStr">
        <is>
          <t>Km</t>
        </is>
      </c>
      <c r="K538" s="637" t="n">
        <v>2200</v>
      </c>
      <c r="L538" s="642">
        <f>M538-K538</f>
        <v/>
      </c>
      <c r="M538" s="1799" t="n">
        <v>12706</v>
      </c>
      <c r="N538" s="1800" t="n">
        <v>9140</v>
      </c>
      <c r="O538" s="633" t="n">
        <v>0</v>
      </c>
      <c r="P538" s="643" t="n">
        <v>100</v>
      </c>
    </row>
    <row r="539" ht="15.75" customHeight="1">
      <c r="A539" s="625" t="inlineStr">
        <is>
          <t>FO23080041</t>
        </is>
      </c>
      <c r="B539" s="626" t="n">
        <v>45167</v>
      </c>
      <c r="C539" s="615" t="inlineStr">
        <is>
          <t>มัลติแบกซ์</t>
        </is>
      </c>
      <c r="D539" s="615" t="inlineStr">
        <is>
          <t>ท่าเรือแหลมฉบัง</t>
        </is>
      </c>
      <c r="E539" s="627" t="n">
        <v>7.1</v>
      </c>
      <c r="F539" s="625" t="inlineStr">
        <is>
          <t>Km</t>
        </is>
      </c>
      <c r="G539" s="625" t="inlineStr">
        <is>
          <t>รถเทรลเลอร์</t>
        </is>
      </c>
      <c r="H539" s="625" t="inlineStr">
        <is>
          <t>AUCKLAND, NEW ZEALAND</t>
        </is>
      </c>
      <c r="I539" s="625" t="n">
        <v>9486</v>
      </c>
      <c r="J539" s="628" t="inlineStr">
        <is>
          <t>Km</t>
        </is>
      </c>
      <c r="K539" s="630" t="n">
        <v>3860</v>
      </c>
      <c r="L539" s="640">
        <f>M539-K539</f>
        <v/>
      </c>
      <c r="M539" s="1797" t="n">
        <v>27786.5</v>
      </c>
      <c r="N539" s="1801" t="n">
        <v>19365.8</v>
      </c>
      <c r="O539" s="615" t="n">
        <v>0</v>
      </c>
      <c r="P539" s="641" t="n">
        <v>100</v>
      </c>
    </row>
    <row r="540" ht="15.75" customHeight="1">
      <c r="A540" s="631" t="inlineStr">
        <is>
          <t>FO23080042</t>
        </is>
      </c>
      <c r="B540" s="632" t="n">
        <v>45167</v>
      </c>
      <c r="C540" s="633" t="inlineStr">
        <is>
          <t>มัลติแบกซ์</t>
        </is>
      </c>
      <c r="D540" s="633" t="inlineStr">
        <is>
          <t>ท่าเรือแหลมฉบัง</t>
        </is>
      </c>
      <c r="E540" s="634" t="n">
        <v>7.1</v>
      </c>
      <c r="F540" s="631" t="inlineStr">
        <is>
          <t>Km</t>
        </is>
      </c>
      <c r="G540" s="631" t="inlineStr">
        <is>
          <t>รถเทรลเลอร์</t>
        </is>
      </c>
      <c r="H540" s="631" t="inlineStr">
        <is>
          <t>AUCKLAND, NEW ZEALAND</t>
        </is>
      </c>
      <c r="I540" s="631" t="n">
        <v>9486</v>
      </c>
      <c r="J540" s="635" t="inlineStr">
        <is>
          <t>Km</t>
        </is>
      </c>
      <c r="K540" s="637" t="n">
        <v>3830</v>
      </c>
      <c r="L540" s="642">
        <f>M540-K540</f>
        <v/>
      </c>
      <c r="M540" s="1799" t="n">
        <v>21616</v>
      </c>
      <c r="N540" s="1800" t="n">
        <v>13065</v>
      </c>
      <c r="O540" s="633" t="n">
        <v>0</v>
      </c>
      <c r="P540" s="643" t="n">
        <v>100</v>
      </c>
    </row>
    <row r="541" ht="15.75" customHeight="1">
      <c r="A541" s="625" t="inlineStr">
        <is>
          <t>FO23080043</t>
        </is>
      </c>
      <c r="B541" s="626" t="n">
        <v>45167</v>
      </c>
      <c r="C541" s="615" t="inlineStr">
        <is>
          <t>มัลติแบกซ์</t>
        </is>
      </c>
      <c r="D541" s="615" t="inlineStr">
        <is>
          <t>ท่าเรือแหลมฉบัง</t>
        </is>
      </c>
      <c r="E541" s="627" t="n">
        <v>7.1</v>
      </c>
      <c r="F541" s="625" t="inlineStr">
        <is>
          <t>Km</t>
        </is>
      </c>
      <c r="G541" s="625" t="inlineStr">
        <is>
          <t>รถเทรลเลอร์</t>
        </is>
      </c>
      <c r="H541" s="625" t="inlineStr">
        <is>
          <t>AUCKLAND, NEW ZEALAND</t>
        </is>
      </c>
      <c r="I541" s="625" t="n">
        <v>9486</v>
      </c>
      <c r="J541" s="628" t="inlineStr">
        <is>
          <t>Km</t>
        </is>
      </c>
      <c r="K541" s="630" t="n">
        <v>3890</v>
      </c>
      <c r="L541" s="640">
        <f>M541-K541</f>
        <v/>
      </c>
      <c r="M541" s="1797" t="n">
        <v>18615</v>
      </c>
      <c r="N541" s="1801" t="n">
        <v>14673</v>
      </c>
      <c r="O541" s="615" t="n">
        <v>0</v>
      </c>
      <c r="P541" s="641" t="n">
        <v>100</v>
      </c>
    </row>
    <row r="542" ht="15.75" customHeight="1">
      <c r="A542" s="631" t="inlineStr">
        <is>
          <t>FO23080044</t>
        </is>
      </c>
      <c r="B542" s="632" t="n">
        <v>45155</v>
      </c>
      <c r="C542" s="633" t="inlineStr">
        <is>
          <t>มัลติแบกซ์</t>
        </is>
      </c>
      <c r="D542" s="633" t="inlineStr">
        <is>
          <t>ท่าเรือแหลมฉบัง</t>
        </is>
      </c>
      <c r="E542" s="634" t="n">
        <v>7.1</v>
      </c>
      <c r="F542" s="631" t="inlineStr">
        <is>
          <t>Km</t>
        </is>
      </c>
      <c r="G542" s="631" t="inlineStr">
        <is>
          <t>รถเทรลเลอร์</t>
        </is>
      </c>
      <c r="H542" s="631" t="inlineStr">
        <is>
          <t>UNIVERSITY PARK IL, USA</t>
        </is>
      </c>
      <c r="I542" s="631" t="n">
        <v>13877</v>
      </c>
      <c r="J542" s="635" t="inlineStr">
        <is>
          <t>Km</t>
        </is>
      </c>
      <c r="K542" s="637" t="n">
        <v>3840</v>
      </c>
      <c r="L542" s="642">
        <f>M542-K542</f>
        <v/>
      </c>
      <c r="M542" s="1799" t="n">
        <v>15854</v>
      </c>
      <c r="N542" s="1800" t="n">
        <v>8988</v>
      </c>
      <c r="O542" s="633" t="n">
        <v>0</v>
      </c>
      <c r="P542" s="643" t="n">
        <v>100</v>
      </c>
    </row>
    <row r="543" ht="15.75" customHeight="1">
      <c r="A543" s="625" t="inlineStr">
        <is>
          <t>FO23080045</t>
        </is>
      </c>
      <c r="B543" s="626" t="n">
        <v>45155</v>
      </c>
      <c r="C543" s="615" t="inlineStr">
        <is>
          <t>มัลติแบกซ์</t>
        </is>
      </c>
      <c r="D543" s="615" t="inlineStr">
        <is>
          <t>ท่าเรือแหลมฉบัง</t>
        </is>
      </c>
      <c r="E543" s="627" t="n">
        <v>7.1</v>
      </c>
      <c r="F543" s="625" t="inlineStr">
        <is>
          <t>Km</t>
        </is>
      </c>
      <c r="G543" s="625" t="inlineStr">
        <is>
          <t>รถเทรลเลอร์</t>
        </is>
      </c>
      <c r="H543" s="625" t="inlineStr">
        <is>
          <t>UNIVERSITY PARK IL, USA</t>
        </is>
      </c>
      <c r="I543" s="625" t="n">
        <v>13877</v>
      </c>
      <c r="J543" s="628" t="inlineStr">
        <is>
          <t>Km</t>
        </is>
      </c>
      <c r="K543" s="630" t="n">
        <v>3810</v>
      </c>
      <c r="L543" s="640">
        <f>M543-K543</f>
        <v/>
      </c>
      <c r="M543" s="1797" t="n">
        <v>13999.8</v>
      </c>
      <c r="N543" s="1801" t="n">
        <v>7660</v>
      </c>
      <c r="O543" s="615" t="n">
        <v>0</v>
      </c>
      <c r="P543" s="641" t="n">
        <v>100</v>
      </c>
    </row>
    <row r="544" ht="15.75" customHeight="1">
      <c r="A544" s="631" t="inlineStr">
        <is>
          <t>FO23080046</t>
        </is>
      </c>
      <c r="B544" s="632" t="n">
        <v>45155</v>
      </c>
      <c r="C544" s="633" t="inlineStr">
        <is>
          <t>มัลติแบกซ์</t>
        </is>
      </c>
      <c r="D544" s="633" t="inlineStr">
        <is>
          <t>ท่าเรือแหลมฉบัง</t>
        </is>
      </c>
      <c r="E544" s="634" t="n">
        <v>6.5</v>
      </c>
      <c r="F544" s="631" t="inlineStr">
        <is>
          <t>Km</t>
        </is>
      </c>
      <c r="G544" s="631" t="inlineStr">
        <is>
          <t>รถเทรลเลอร์</t>
        </is>
      </c>
      <c r="H544" s="631" t="inlineStr">
        <is>
          <t>UK PORT</t>
        </is>
      </c>
      <c r="I544" s="631" t="n">
        <v>9687</v>
      </c>
      <c r="J544" s="635" t="inlineStr">
        <is>
          <t>Km</t>
        </is>
      </c>
      <c r="K544" s="637" t="n">
        <v>3570</v>
      </c>
      <c r="L544" s="642">
        <f>M544-K544</f>
        <v/>
      </c>
      <c r="M544" s="1799" t="n">
        <v>23290</v>
      </c>
      <c r="N544" s="1800" t="n">
        <v>18462</v>
      </c>
      <c r="O544" s="633" t="n">
        <v>0</v>
      </c>
      <c r="P544" s="643" t="n">
        <v>100</v>
      </c>
    </row>
    <row r="545" ht="15.75" customHeight="1">
      <c r="A545" s="625" t="inlineStr">
        <is>
          <t>FO23080047</t>
        </is>
      </c>
      <c r="B545" s="626" t="n">
        <v>45159</v>
      </c>
      <c r="C545" s="615" t="inlineStr">
        <is>
          <t>มัลติแบกซ์</t>
        </is>
      </c>
      <c r="D545" s="615" t="inlineStr">
        <is>
          <t>ท่าเรือแหลมฉบัง</t>
        </is>
      </c>
      <c r="E545" s="627" t="n">
        <v>3.6</v>
      </c>
      <c r="F545" s="625" t="inlineStr">
        <is>
          <t>Km</t>
        </is>
      </c>
      <c r="G545" s="625" t="inlineStr">
        <is>
          <t>รถเทรลเลอร์</t>
        </is>
      </c>
      <c r="H545" s="625" t="inlineStr">
        <is>
          <t>BUSAN, KOREA</t>
        </is>
      </c>
      <c r="I545" s="625" t="n">
        <v>3740</v>
      </c>
      <c r="J545" s="628" t="inlineStr">
        <is>
          <t>Km</t>
        </is>
      </c>
      <c r="K545" s="630" t="n">
        <v>3730</v>
      </c>
      <c r="L545" s="640">
        <f>M545-K545</f>
        <v/>
      </c>
      <c r="M545" s="1797" t="n">
        <v>8674.6</v>
      </c>
      <c r="N545" s="1801" t="n">
        <v>4585.6</v>
      </c>
      <c r="O545" s="615" t="n">
        <v>0</v>
      </c>
      <c r="P545" s="641" t="n">
        <v>100</v>
      </c>
    </row>
    <row r="546" ht="15.75" customHeight="1">
      <c r="A546" s="631" t="inlineStr">
        <is>
          <t>FO23080048</t>
        </is>
      </c>
      <c r="B546" s="632" t="n">
        <v>45162</v>
      </c>
      <c r="C546" s="633" t="inlineStr">
        <is>
          <t>มัลติแบกซ์</t>
        </is>
      </c>
      <c r="D546" s="633" t="inlineStr">
        <is>
          <t>ท่าเรือแหลมฉบัง</t>
        </is>
      </c>
      <c r="E546" s="634" t="n">
        <v>2.8</v>
      </c>
      <c r="F546" s="631" t="inlineStr">
        <is>
          <t>Km</t>
        </is>
      </c>
      <c r="G546" s="631" t="inlineStr">
        <is>
          <t>รถเทรลเลอร์</t>
        </is>
      </c>
      <c r="H546" s="631" t="inlineStr">
        <is>
          <t>NAGOYA, JAPAN</t>
        </is>
      </c>
      <c r="I546" s="631" t="n">
        <v>4358</v>
      </c>
      <c r="J546" s="635" t="inlineStr">
        <is>
          <t>Km</t>
        </is>
      </c>
      <c r="K546" s="637" t="n">
        <v>2210</v>
      </c>
      <c r="L546" s="642">
        <f>M546-K546</f>
        <v/>
      </c>
      <c r="M546" s="1799" t="n">
        <v>7593.35</v>
      </c>
      <c r="N546" s="1800" t="n">
        <v>4255.4</v>
      </c>
      <c r="O546" s="633" t="n">
        <v>0</v>
      </c>
      <c r="P546" s="643" t="n">
        <v>100</v>
      </c>
    </row>
    <row r="547" ht="15.75" customHeight="1">
      <c r="A547" s="625" t="inlineStr">
        <is>
          <t>FO23080049</t>
        </is>
      </c>
      <c r="B547" s="626" t="n">
        <v>45161</v>
      </c>
      <c r="C547" s="615" t="inlineStr">
        <is>
          <t>มัลติแบกซ์</t>
        </is>
      </c>
      <c r="D547" s="615" t="inlineStr">
        <is>
          <t>ท่าเรือแหลมฉบัง</t>
        </is>
      </c>
      <c r="E547" s="627" t="n">
        <v>7.1</v>
      </c>
      <c r="F547" s="625" t="inlineStr">
        <is>
          <t>Km</t>
        </is>
      </c>
      <c r="G547" s="625" t="inlineStr">
        <is>
          <t>รถเทรลเลอร์</t>
        </is>
      </c>
      <c r="H547" s="625" t="inlineStr">
        <is>
          <t>SYDNEY, AUSTRALIA</t>
        </is>
      </c>
      <c r="I547" s="625" t="n">
        <v>7448</v>
      </c>
      <c r="J547" s="628" t="inlineStr">
        <is>
          <t>Km</t>
        </is>
      </c>
      <c r="K547" s="630" t="n">
        <v>3700</v>
      </c>
      <c r="L547" s="640">
        <f>M547-K547</f>
        <v/>
      </c>
      <c r="M547" s="1797" t="n">
        <v>26177</v>
      </c>
      <c r="N547" s="1801" t="n">
        <v>18512</v>
      </c>
      <c r="O547" s="615" t="n">
        <v>0</v>
      </c>
      <c r="P547" s="641" t="n">
        <v>100</v>
      </c>
    </row>
    <row r="548" ht="15.75" customHeight="1">
      <c r="A548" s="631" t="inlineStr">
        <is>
          <t>FO23080050</t>
        </is>
      </c>
      <c r="B548" s="632" t="n">
        <v>45161</v>
      </c>
      <c r="C548" s="633" t="inlineStr">
        <is>
          <t>มัลติแบกซ์</t>
        </is>
      </c>
      <c r="D548" s="633" t="inlineStr">
        <is>
          <t>ท่าเรือแหลมฉบัง</t>
        </is>
      </c>
      <c r="E548" s="634" t="n">
        <v>7.1</v>
      </c>
      <c r="F548" s="631" t="inlineStr">
        <is>
          <t>Km</t>
        </is>
      </c>
      <c r="G548" s="631" t="inlineStr">
        <is>
          <t>รถเทรลเลอร์</t>
        </is>
      </c>
      <c r="H548" s="631" t="inlineStr">
        <is>
          <t>SYDNEY, AUSTRALIA</t>
        </is>
      </c>
      <c r="I548" s="631" t="n">
        <v>7448</v>
      </c>
      <c r="J548" s="635" t="inlineStr">
        <is>
          <t>Km</t>
        </is>
      </c>
      <c r="K548" s="637" t="n">
        <v>3770</v>
      </c>
      <c r="L548" s="642">
        <f>M548-K548</f>
        <v/>
      </c>
      <c r="M548" s="1799" t="n">
        <v>24472</v>
      </c>
      <c r="N548" s="1800" t="n">
        <v>16560</v>
      </c>
      <c r="O548" s="633" t="n">
        <v>0</v>
      </c>
      <c r="P548" s="643" t="n">
        <v>100</v>
      </c>
    </row>
    <row r="549" ht="15.75" customHeight="1">
      <c r="A549" s="625" t="inlineStr">
        <is>
          <t>FO23080051</t>
        </is>
      </c>
      <c r="B549" s="626" t="n">
        <v>45161</v>
      </c>
      <c r="C549" s="615" t="inlineStr">
        <is>
          <t>มัลติแบกซ์</t>
        </is>
      </c>
      <c r="D549" s="615" t="inlineStr">
        <is>
          <t>ท่าเรือแหลมฉบัง</t>
        </is>
      </c>
      <c r="E549" s="627" t="n">
        <v>7.1</v>
      </c>
      <c r="F549" s="625" t="inlineStr">
        <is>
          <t>Km</t>
        </is>
      </c>
      <c r="G549" s="625" t="inlineStr">
        <is>
          <t>รถเทรลเลอร์</t>
        </is>
      </c>
      <c r="H549" s="625" t="inlineStr">
        <is>
          <t>SYDNEY, AUSTRALIA</t>
        </is>
      </c>
      <c r="I549" s="625" t="n">
        <v>7448</v>
      </c>
      <c r="J549" s="628" t="inlineStr">
        <is>
          <t>Km</t>
        </is>
      </c>
      <c r="K549" s="630" t="n">
        <v>3580</v>
      </c>
      <c r="L549" s="640">
        <f>M549-K549</f>
        <v/>
      </c>
      <c r="M549" s="1797" t="n">
        <v>27707</v>
      </c>
      <c r="N549" s="1801" t="n">
        <v>21730</v>
      </c>
      <c r="O549" s="615" t="n">
        <v>0</v>
      </c>
      <c r="P549" s="641" t="n">
        <v>100</v>
      </c>
    </row>
    <row r="550" ht="15.75" customHeight="1">
      <c r="A550" s="631" t="inlineStr">
        <is>
          <t>FO23080052</t>
        </is>
      </c>
      <c r="B550" s="632" t="n">
        <v>45161</v>
      </c>
      <c r="C550" s="633" t="inlineStr">
        <is>
          <t>มัลติแบกซ์</t>
        </is>
      </c>
      <c r="D550" s="633" t="inlineStr">
        <is>
          <t>ท่าเรือแหลมฉบัง</t>
        </is>
      </c>
      <c r="E550" s="634" t="n">
        <v>7.1</v>
      </c>
      <c r="F550" s="631" t="inlineStr">
        <is>
          <t>Km</t>
        </is>
      </c>
      <c r="G550" s="631" t="inlineStr">
        <is>
          <t>รถเทรลเลอร์</t>
        </is>
      </c>
      <c r="H550" s="631" t="inlineStr">
        <is>
          <t>SYDNEY, AUSTRALIA</t>
        </is>
      </c>
      <c r="I550" s="631" t="n">
        <v>7448</v>
      </c>
      <c r="J550" s="635" t="inlineStr">
        <is>
          <t>Km</t>
        </is>
      </c>
      <c r="K550" s="637" t="n">
        <v>3610</v>
      </c>
      <c r="L550" s="642">
        <f>M550-K550</f>
        <v/>
      </c>
      <c r="M550" s="1799" t="n">
        <v>17836</v>
      </c>
      <c r="N550" s="1800" t="n">
        <v>7277.9</v>
      </c>
      <c r="O550" s="633" t="n">
        <v>0</v>
      </c>
      <c r="P550" s="643" t="n">
        <v>100</v>
      </c>
    </row>
    <row r="551" ht="15.75" customHeight="1">
      <c r="A551" s="625" t="inlineStr">
        <is>
          <t>FO23080053</t>
        </is>
      </c>
      <c r="B551" s="626" t="n">
        <v>45166</v>
      </c>
      <c r="C551" s="615" t="inlineStr">
        <is>
          <t>มัลติแบกซ์</t>
        </is>
      </c>
      <c r="D551" s="615" t="inlineStr">
        <is>
          <t>ท่าเรือแหลมฉบัง</t>
        </is>
      </c>
      <c r="E551" s="627" t="n">
        <v>7.1</v>
      </c>
      <c r="F551" s="625" t="inlineStr">
        <is>
          <t>Km</t>
        </is>
      </c>
      <c r="G551" s="625" t="inlineStr">
        <is>
          <t>รถเทรลเลอร์</t>
        </is>
      </c>
      <c r="H551" s="625" t="inlineStr">
        <is>
          <t>MELBOURNE, AUSTRALIA</t>
        </is>
      </c>
      <c r="I551" s="625" t="n">
        <v>7283</v>
      </c>
      <c r="J551" s="628" t="inlineStr">
        <is>
          <t>Km</t>
        </is>
      </c>
      <c r="K551" s="630" t="n">
        <v>3700</v>
      </c>
      <c r="L551" s="640">
        <f>M551-K551</f>
        <v/>
      </c>
      <c r="M551" s="1797" t="n">
        <v>27762</v>
      </c>
      <c r="N551" s="1801" t="n">
        <v>20162</v>
      </c>
      <c r="O551" s="615" t="n">
        <v>0</v>
      </c>
      <c r="P551" s="641" t="n">
        <v>100</v>
      </c>
    </row>
    <row r="552" ht="15.75" customHeight="1">
      <c r="A552" s="631" t="inlineStr">
        <is>
          <t>FO23080055</t>
        </is>
      </c>
      <c r="B552" s="632" t="n">
        <v>45166</v>
      </c>
      <c r="C552" s="633" t="inlineStr">
        <is>
          <t>มัลติแบกซ์</t>
        </is>
      </c>
      <c r="D552" s="633" t="inlineStr">
        <is>
          <t>ท่าเรือแหลมฉบัง</t>
        </is>
      </c>
      <c r="E552" s="634" t="n">
        <v>7.1</v>
      </c>
      <c r="F552" s="631" t="inlineStr">
        <is>
          <t>Km</t>
        </is>
      </c>
      <c r="G552" s="631" t="inlineStr">
        <is>
          <t>รถเทรลเลอร์</t>
        </is>
      </c>
      <c r="H552" s="631" t="inlineStr">
        <is>
          <t>MELBOURNE, AUSTRALIA</t>
        </is>
      </c>
      <c r="I552" s="631" t="n">
        <v>7283</v>
      </c>
      <c r="J552" s="635" t="inlineStr">
        <is>
          <t>Km</t>
        </is>
      </c>
      <c r="K552" s="637" t="n">
        <v>2200</v>
      </c>
      <c r="L552" s="642">
        <f>M552-K552</f>
        <v/>
      </c>
      <c r="M552" s="1799" t="n">
        <v>8627</v>
      </c>
      <c r="N552" s="1800" t="n">
        <v>3697</v>
      </c>
      <c r="O552" s="633" t="n">
        <v>0</v>
      </c>
      <c r="P552" s="643" t="n">
        <v>100</v>
      </c>
    </row>
    <row r="553" ht="15.75" customHeight="1">
      <c r="A553" s="625" t="inlineStr">
        <is>
          <t>FO23080056</t>
        </is>
      </c>
      <c r="B553" s="626" t="n">
        <v>45161</v>
      </c>
      <c r="C553" s="615" t="inlineStr">
        <is>
          <t>มัลติแบกซ์</t>
        </is>
      </c>
      <c r="D553" s="615" t="inlineStr">
        <is>
          <t>ท่าเรือแหลมฉบัง</t>
        </is>
      </c>
      <c r="E553" s="627" t="n">
        <v>7.1</v>
      </c>
      <c r="F553" s="625" t="inlineStr">
        <is>
          <t>Km</t>
        </is>
      </c>
      <c r="G553" s="625" t="inlineStr">
        <is>
          <t>รถเทรลเลอร์</t>
        </is>
      </c>
      <c r="H553" s="625" t="inlineStr">
        <is>
          <t>GUANGZHOU, CHINA</t>
        </is>
      </c>
      <c r="I553" s="625" t="n">
        <v>2597</v>
      </c>
      <c r="J553" s="628" t="inlineStr">
        <is>
          <t>Km</t>
        </is>
      </c>
      <c r="K553" s="630" t="n">
        <v>2100</v>
      </c>
      <c r="L553" s="640">
        <f>M553-K553</f>
        <v/>
      </c>
      <c r="M553" s="1797" t="n">
        <v>8918</v>
      </c>
      <c r="N553" s="1801" t="n">
        <v>5613</v>
      </c>
      <c r="O553" s="615" t="n">
        <v>0</v>
      </c>
      <c r="P553" s="641" t="n">
        <v>100</v>
      </c>
    </row>
    <row r="554" ht="15.75" customHeight="1">
      <c r="A554" s="631" t="inlineStr">
        <is>
          <t>FO23080057</t>
        </is>
      </c>
      <c r="B554" s="632" t="n">
        <v>45163</v>
      </c>
      <c r="C554" s="633" t="inlineStr">
        <is>
          <t>มัลติแบกซ์</t>
        </is>
      </c>
      <c r="D554" s="633" t="inlineStr">
        <is>
          <t>ท่าเรือแหลมฉบัง</t>
        </is>
      </c>
      <c r="E554" s="634" t="n">
        <v>5.3</v>
      </c>
      <c r="F554" s="631" t="inlineStr">
        <is>
          <t>Km</t>
        </is>
      </c>
      <c r="G554" s="631" t="inlineStr">
        <is>
          <t>รถเทรลเลอร์</t>
        </is>
      </c>
      <c r="H554" s="631" t="inlineStr">
        <is>
          <t>HONG KONG</t>
        </is>
      </c>
      <c r="I554" s="631" t="n">
        <v>1734</v>
      </c>
      <c r="J554" s="635" t="inlineStr">
        <is>
          <t>Km</t>
        </is>
      </c>
      <c r="K554" s="637" t="n">
        <v>3640</v>
      </c>
      <c r="L554" s="642">
        <f>M554-K554</f>
        <v/>
      </c>
      <c r="M554" s="1799" t="n">
        <v>16500.2</v>
      </c>
      <c r="N554" s="1800" t="n">
        <v>10106.6</v>
      </c>
      <c r="O554" s="633" t="n">
        <v>0</v>
      </c>
      <c r="P554" s="643" t="n">
        <v>100</v>
      </c>
    </row>
    <row r="555" ht="15.75" customHeight="1">
      <c r="A555" s="625" t="inlineStr">
        <is>
          <t>FO23080058</t>
        </is>
      </c>
      <c r="B555" s="626" t="n">
        <v>45162</v>
      </c>
      <c r="C555" s="615" t="inlineStr">
        <is>
          <t>มัลติแบกซ์</t>
        </is>
      </c>
      <c r="D555" s="615" t="inlineStr">
        <is>
          <t>ท่าเรือแหลมฉบัง</t>
        </is>
      </c>
      <c r="E555" s="627" t="n">
        <v>5.2</v>
      </c>
      <c r="F555" s="625" t="inlineStr">
        <is>
          <t>Km</t>
        </is>
      </c>
      <c r="G555" s="625" t="inlineStr">
        <is>
          <t>รถเทรลเลอร์</t>
        </is>
      </c>
      <c r="H555" s="625" t="inlineStr">
        <is>
          <t>APPLETON WI , USA</t>
        </is>
      </c>
      <c r="I555" s="625" t="n">
        <v>13558</v>
      </c>
      <c r="J555" s="628" t="inlineStr">
        <is>
          <t>Km</t>
        </is>
      </c>
      <c r="K555" s="630" t="n">
        <v>3760</v>
      </c>
      <c r="L555" s="640">
        <f>M555-K555</f>
        <v/>
      </c>
      <c r="M555" s="1797" t="n">
        <v>14708.4</v>
      </c>
      <c r="N555" s="1801" t="n">
        <v>7650.4</v>
      </c>
      <c r="O555" s="615" t="n">
        <v>0</v>
      </c>
      <c r="P555" s="641" t="n">
        <v>100</v>
      </c>
    </row>
    <row r="556" ht="15.75" customHeight="1">
      <c r="A556" s="631" t="inlineStr">
        <is>
          <t>FO23080059</t>
        </is>
      </c>
      <c r="B556" s="632" t="n">
        <v>45156</v>
      </c>
      <c r="C556" s="633" t="inlineStr">
        <is>
          <t>มัลติแบกซ์</t>
        </is>
      </c>
      <c r="D556" s="633" t="inlineStr">
        <is>
          <t>ท่าเรือแหลมฉบัง</t>
        </is>
      </c>
      <c r="E556" s="634" t="n">
        <v>7.1</v>
      </c>
      <c r="F556" s="631" t="inlineStr">
        <is>
          <t>Km</t>
        </is>
      </c>
      <c r="G556" s="631" t="inlineStr">
        <is>
          <t>รถเทรลเลอร์</t>
        </is>
      </c>
      <c r="H556" s="631" t="inlineStr">
        <is>
          <t>MANILA, PHILIPPINES</t>
        </is>
      </c>
      <c r="I556" s="631" t="n">
        <v>2167</v>
      </c>
      <c r="J556" s="635" t="inlineStr">
        <is>
          <t>Km</t>
        </is>
      </c>
      <c r="K556" s="637" t="n">
        <v>2180</v>
      </c>
      <c r="L556" s="642">
        <f>M556-K556</f>
        <v/>
      </c>
      <c r="M556" s="1799" t="n">
        <v>6578.66</v>
      </c>
      <c r="N556" s="1800" t="n">
        <v>3294.44</v>
      </c>
      <c r="O556" s="633" t="n">
        <v>0</v>
      </c>
      <c r="P556" s="643" t="n">
        <v>100</v>
      </c>
    </row>
    <row r="557" ht="15.75" customHeight="1">
      <c r="A557" s="625" t="inlineStr">
        <is>
          <t>FO23080060</t>
        </is>
      </c>
      <c r="B557" s="626" t="n">
        <v>45161</v>
      </c>
      <c r="C557" s="615" t="inlineStr">
        <is>
          <t>มัลติแบกซ์</t>
        </is>
      </c>
      <c r="D557" s="615" t="inlineStr">
        <is>
          <t>ท่าเรือแหลมฉบัง</t>
        </is>
      </c>
      <c r="E557" s="627" t="n">
        <v>11.7</v>
      </c>
      <c r="F557" s="625" t="inlineStr">
        <is>
          <t>Km</t>
        </is>
      </c>
      <c r="G557" s="625" t="inlineStr">
        <is>
          <t>รถเทรลเลอร์</t>
        </is>
      </c>
      <c r="H557" s="625" t="inlineStr">
        <is>
          <t>COLUMBUS OHIO, USA</t>
        </is>
      </c>
      <c r="I557" s="625" t="n">
        <v>14000</v>
      </c>
      <c r="J557" s="628" t="inlineStr">
        <is>
          <t>Km</t>
        </is>
      </c>
      <c r="K557" s="630" t="n">
        <v>3720</v>
      </c>
      <c r="L557" s="640">
        <f>M557-K557</f>
        <v/>
      </c>
      <c r="M557" s="1797" t="n">
        <v>21248.92</v>
      </c>
      <c r="N557" s="1801" t="n">
        <v>15277.46</v>
      </c>
      <c r="O557" s="615" t="n">
        <v>0</v>
      </c>
      <c r="P557" s="641" t="n">
        <v>100</v>
      </c>
    </row>
    <row r="558" ht="15.75" customHeight="1">
      <c r="A558" s="631" t="inlineStr">
        <is>
          <t>FO23080061</t>
        </is>
      </c>
      <c r="B558" s="632" t="n">
        <v>45162</v>
      </c>
      <c r="C558" s="633" t="inlineStr">
        <is>
          <t>มัลติแบกซ์</t>
        </is>
      </c>
      <c r="D558" s="633" t="inlineStr">
        <is>
          <t>ท่าเรือแหลมฉบัง</t>
        </is>
      </c>
      <c r="E558" s="634" t="n">
        <v>6.5</v>
      </c>
      <c r="F558" s="631" t="inlineStr">
        <is>
          <t>Km</t>
        </is>
      </c>
      <c r="G558" s="631" t="inlineStr">
        <is>
          <t>รถเทรลเลอร์</t>
        </is>
      </c>
      <c r="H558" s="631" t="inlineStr">
        <is>
          <t>SOUTH BOSTON VA, USA</t>
        </is>
      </c>
      <c r="I558" s="631" t="n">
        <v>13787</v>
      </c>
      <c r="J558" s="635" t="inlineStr">
        <is>
          <t>Km</t>
        </is>
      </c>
      <c r="K558" s="637" t="n">
        <v>3880</v>
      </c>
      <c r="L558" s="642">
        <f>M558-K558</f>
        <v/>
      </c>
      <c r="M558" s="1799" t="n">
        <v>22846</v>
      </c>
      <c r="N558" s="1800" t="n">
        <v>15477</v>
      </c>
      <c r="O558" s="633" t="n">
        <v>0</v>
      </c>
      <c r="P558" s="643" t="n">
        <v>100</v>
      </c>
    </row>
    <row r="559" ht="15.75" customHeight="1">
      <c r="A559" s="625" t="inlineStr">
        <is>
          <t>FO23080062</t>
        </is>
      </c>
      <c r="B559" s="626" t="n">
        <v>45159</v>
      </c>
      <c r="C559" s="615" t="inlineStr">
        <is>
          <t>มัลติแบกซ์</t>
        </is>
      </c>
      <c r="D559" s="615" t="inlineStr">
        <is>
          <t>ท่าเรือแหลมฉบัง</t>
        </is>
      </c>
      <c r="E559" s="627" t="n">
        <v>7.1</v>
      </c>
      <c r="F559" s="625" t="inlineStr">
        <is>
          <t>Km</t>
        </is>
      </c>
      <c r="G559" s="625" t="inlineStr">
        <is>
          <t>รถเทรลเลอร์</t>
        </is>
      </c>
      <c r="H559" s="625" t="inlineStr">
        <is>
          <t>APPLETON WI , USA</t>
        </is>
      </c>
      <c r="I559" s="625" t="n">
        <v>13558</v>
      </c>
      <c r="J559" s="628" t="inlineStr">
        <is>
          <t>Km</t>
        </is>
      </c>
      <c r="K559" s="630" t="n">
        <v>3830</v>
      </c>
      <c r="L559" s="640">
        <f>M559-K559</f>
        <v/>
      </c>
      <c r="M559" s="1797" t="n">
        <v>22291</v>
      </c>
      <c r="N559" s="1801" t="n">
        <v>15081</v>
      </c>
      <c r="O559" s="615" t="n">
        <v>0</v>
      </c>
      <c r="P559" s="641" t="n">
        <v>100</v>
      </c>
    </row>
    <row r="560" ht="15.75" customHeight="1">
      <c r="A560" s="631" t="inlineStr">
        <is>
          <t>FO23080063</t>
        </is>
      </c>
      <c r="B560" s="632" t="n">
        <v>45161</v>
      </c>
      <c r="C560" s="633" t="inlineStr">
        <is>
          <t>มัลติแบกซ์</t>
        </is>
      </c>
      <c r="D560" s="633" t="inlineStr">
        <is>
          <t>ท่าเรือแหลมฉบัง</t>
        </is>
      </c>
      <c r="E560" s="634" t="n">
        <v>6.2</v>
      </c>
      <c r="F560" s="631" t="inlineStr">
        <is>
          <t>Km</t>
        </is>
      </c>
      <c r="G560" s="631" t="inlineStr">
        <is>
          <t>รถเทรลเลอร์</t>
        </is>
      </c>
      <c r="H560" s="631" t="inlineStr">
        <is>
          <t>PERRIS CA, USA</t>
        </is>
      </c>
      <c r="I560" s="631" t="n">
        <v>13413</v>
      </c>
      <c r="J560" s="635" t="inlineStr">
        <is>
          <t>Km</t>
        </is>
      </c>
      <c r="K560" s="637" t="n">
        <v>3870</v>
      </c>
      <c r="L560" s="642">
        <f>M560-K560</f>
        <v/>
      </c>
      <c r="M560" s="1799" t="n">
        <v>19373</v>
      </c>
      <c r="N560" s="1800" t="n">
        <v>15501</v>
      </c>
      <c r="O560" s="633" t="n">
        <v>0</v>
      </c>
      <c r="P560" s="643" t="n">
        <v>100</v>
      </c>
    </row>
    <row r="561" ht="15.75" customHeight="1">
      <c r="A561" s="625" t="inlineStr">
        <is>
          <t>FO23080064</t>
        </is>
      </c>
      <c r="B561" s="626" t="n">
        <v>45166</v>
      </c>
      <c r="C561" s="615" t="inlineStr">
        <is>
          <t>มัลติแบกซ์</t>
        </is>
      </c>
      <c r="D561" s="615" t="inlineStr">
        <is>
          <t>ท่าเรือแหลมฉบัง</t>
        </is>
      </c>
      <c r="E561" s="627" t="n">
        <v>5.2</v>
      </c>
      <c r="F561" s="625" t="inlineStr">
        <is>
          <t>Km</t>
        </is>
      </c>
      <c r="G561" s="625" t="inlineStr">
        <is>
          <t>รถเทรลเลอร์</t>
        </is>
      </c>
      <c r="H561" s="625" t="inlineStr">
        <is>
          <t>MANILA, PHILIPPINES</t>
        </is>
      </c>
      <c r="I561" s="625" t="n">
        <v>2167</v>
      </c>
      <c r="J561" s="628" t="inlineStr">
        <is>
          <t>Km</t>
        </is>
      </c>
      <c r="K561" s="630" t="n">
        <v>2190</v>
      </c>
      <c r="L561" s="640">
        <f>M561-K561</f>
        <v/>
      </c>
      <c r="M561" s="1797" t="n">
        <v>6323.5</v>
      </c>
      <c r="N561" s="1801" t="n">
        <v>2706.5</v>
      </c>
      <c r="O561" s="615" t="n">
        <v>0</v>
      </c>
      <c r="P561" s="641" t="n">
        <v>100</v>
      </c>
    </row>
    <row r="562" ht="15.75" customHeight="1">
      <c r="A562" s="631" t="inlineStr">
        <is>
          <t>FO23080065</t>
        </is>
      </c>
      <c r="B562" s="632" t="n">
        <v>45162</v>
      </c>
      <c r="C562" s="633" t="inlineStr">
        <is>
          <t>มัลติแบกซ์</t>
        </is>
      </c>
      <c r="D562" s="633" t="inlineStr">
        <is>
          <t>ท่าเรือแหลมฉบัง</t>
        </is>
      </c>
      <c r="E562" s="634" t="n">
        <v>6.2</v>
      </c>
      <c r="F562" s="631" t="inlineStr">
        <is>
          <t>Km</t>
        </is>
      </c>
      <c r="G562" s="631" t="inlineStr">
        <is>
          <t>รถเทรลเลอร์</t>
        </is>
      </c>
      <c r="H562" s="631" t="inlineStr">
        <is>
          <t>APPLETON WI , USA</t>
        </is>
      </c>
      <c r="I562" s="631" t="n">
        <v>13558</v>
      </c>
      <c r="J562" s="635" t="inlineStr">
        <is>
          <t>Km</t>
        </is>
      </c>
      <c r="K562" s="637" t="n">
        <v>3900</v>
      </c>
      <c r="L562" s="642">
        <f>M562-K562</f>
        <v/>
      </c>
      <c r="M562" s="1799" t="n">
        <v>17839</v>
      </c>
      <c r="N562" s="1800" t="n">
        <v>10930.5</v>
      </c>
      <c r="O562" s="633" t="n">
        <v>0</v>
      </c>
      <c r="P562" s="643" t="n">
        <v>100</v>
      </c>
    </row>
    <row r="563" ht="15.75" customHeight="1">
      <c r="A563" s="625" t="inlineStr">
        <is>
          <t>FO23080066</t>
        </is>
      </c>
      <c r="B563" s="626" t="n">
        <v>45166</v>
      </c>
      <c r="C563" s="615" t="inlineStr">
        <is>
          <t>มัลติแบกซ์</t>
        </is>
      </c>
      <c r="D563" s="615" t="inlineStr">
        <is>
          <t>ท่าเรือแหลมฉบัง</t>
        </is>
      </c>
      <c r="E563" s="627" t="n">
        <v>7.1</v>
      </c>
      <c r="F563" s="625" t="inlineStr">
        <is>
          <t>Km</t>
        </is>
      </c>
      <c r="G563" s="625" t="inlineStr">
        <is>
          <t>รถเทรลเลอร์</t>
        </is>
      </c>
      <c r="H563" s="625" t="inlineStr">
        <is>
          <t>CARROLLTON TX, USA</t>
        </is>
      </c>
      <c r="I563" s="625" t="n">
        <v>14544</v>
      </c>
      <c r="J563" s="628" t="inlineStr">
        <is>
          <t>Km</t>
        </is>
      </c>
      <c r="K563" s="630" t="n">
        <v>3800</v>
      </c>
      <c r="L563" s="640">
        <f>M563-K563</f>
        <v/>
      </c>
      <c r="M563" s="1797" t="n">
        <v>16315</v>
      </c>
      <c r="N563" s="1801" t="n">
        <v>9835</v>
      </c>
      <c r="O563" s="615" t="n">
        <v>0</v>
      </c>
      <c r="P563" s="641" t="n">
        <v>100</v>
      </c>
    </row>
    <row r="564" ht="15.75" customHeight="1">
      <c r="A564" s="631" t="inlineStr">
        <is>
          <t>FO23080067</t>
        </is>
      </c>
      <c r="B564" s="632" t="n">
        <v>45167</v>
      </c>
      <c r="C564" s="617" t="inlineStr">
        <is>
          <t>มัลติแบกซ์</t>
        </is>
      </c>
      <c r="D564" s="617" t="inlineStr">
        <is>
          <t>ท่าเรือแหลมฉบัง</t>
        </is>
      </c>
      <c r="E564" s="619" t="n">
        <v>7.1</v>
      </c>
      <c r="F564" s="617" t="inlineStr">
        <is>
          <t>Km</t>
        </is>
      </c>
      <c r="G564" s="617" t="inlineStr">
        <is>
          <t>รถเทรลเลอร์</t>
        </is>
      </c>
      <c r="H564" s="631" t="inlineStr">
        <is>
          <t>SINGAPORE</t>
        </is>
      </c>
      <c r="I564" s="631" t="n">
        <v>1931</v>
      </c>
      <c r="J564" s="622" t="inlineStr">
        <is>
          <t>Km</t>
        </is>
      </c>
      <c r="K564" s="623" t="n">
        <v>5096.93</v>
      </c>
      <c r="L564" s="656" t="n">
        <v>1292.72</v>
      </c>
      <c r="M564" s="1795" t="n">
        <v>6389.65</v>
      </c>
      <c r="N564" s="1800" t="n">
        <v>5096.93</v>
      </c>
      <c r="O564" s="633" t="n">
        <v>0</v>
      </c>
      <c r="P564" s="643" t="n">
        <v>100</v>
      </c>
    </row>
    <row r="565" ht="15.75" customHeight="1">
      <c r="A565" s="625" t="inlineStr">
        <is>
          <t>FO23080068</t>
        </is>
      </c>
      <c r="B565" s="626" t="n">
        <v>45166</v>
      </c>
      <c r="C565" s="615" t="inlineStr">
        <is>
          <t>มัลติแบกซ์</t>
        </is>
      </c>
      <c r="D565" s="615" t="inlineStr">
        <is>
          <t>ท่าเรือแหลมฉบัง</t>
        </is>
      </c>
      <c r="E565" s="627" t="n">
        <v>6.5</v>
      </c>
      <c r="F565" s="625" t="inlineStr">
        <is>
          <t>Km</t>
        </is>
      </c>
      <c r="G565" s="625" t="inlineStr">
        <is>
          <t>รถเทรลเลอร์</t>
        </is>
      </c>
      <c r="H565" s="625" t="inlineStr">
        <is>
          <t>PERRIS CA, USA</t>
        </is>
      </c>
      <c r="I565" s="625" t="n">
        <v>13413</v>
      </c>
      <c r="J565" s="628" t="inlineStr">
        <is>
          <t>Km</t>
        </is>
      </c>
      <c r="K565" s="630" t="n">
        <v>3810</v>
      </c>
      <c r="L565" s="640">
        <f>M565-K565</f>
        <v/>
      </c>
      <c r="M565" s="1797" t="n">
        <v>18604.1</v>
      </c>
      <c r="N565" s="1801" t="n">
        <v>12135.55</v>
      </c>
      <c r="O565" s="615" t="n">
        <v>0</v>
      </c>
      <c r="P565" s="641" t="n">
        <v>100</v>
      </c>
    </row>
    <row r="566" ht="15.75" customHeight="1">
      <c r="A566" s="631" t="inlineStr">
        <is>
          <t>FO23080069</t>
        </is>
      </c>
      <c r="B566" s="632" t="n">
        <v>45167</v>
      </c>
      <c r="C566" s="633" t="inlineStr">
        <is>
          <t>มัลติแบกซ์</t>
        </is>
      </c>
      <c r="D566" s="633" t="inlineStr">
        <is>
          <t>ท่าเรือแหลมฉบัง</t>
        </is>
      </c>
      <c r="E566" s="634" t="n">
        <v>5.2</v>
      </c>
      <c r="F566" s="631" t="inlineStr">
        <is>
          <t>Km</t>
        </is>
      </c>
      <c r="G566" s="631" t="inlineStr">
        <is>
          <t>รถเทรลเลอร์</t>
        </is>
      </c>
      <c r="H566" s="631" t="inlineStr">
        <is>
          <t>APPLETON WI , USA</t>
        </is>
      </c>
      <c r="I566" s="631" t="n">
        <v>13558</v>
      </c>
      <c r="J566" s="635" t="inlineStr">
        <is>
          <t>Km</t>
        </is>
      </c>
      <c r="K566" s="637" t="n">
        <v>3890</v>
      </c>
      <c r="L566" s="642">
        <f>M566-K566</f>
        <v/>
      </c>
      <c r="M566" s="1799" t="n">
        <v>13604.5</v>
      </c>
      <c r="N566" s="1800" t="n">
        <v>6937.5</v>
      </c>
      <c r="O566" s="633" t="n">
        <v>0</v>
      </c>
      <c r="P566" s="643" t="n">
        <v>100</v>
      </c>
    </row>
    <row r="567" ht="15.75" customHeight="1">
      <c r="A567" s="625" t="inlineStr">
        <is>
          <t>FO23080070</t>
        </is>
      </c>
      <c r="B567" s="626" t="n">
        <v>45168</v>
      </c>
      <c r="C567" s="615" t="inlineStr">
        <is>
          <t>มัลติแบกซ์</t>
        </is>
      </c>
      <c r="D567" s="615" t="inlineStr">
        <is>
          <t>ท่าเรือแหลมฉบัง</t>
        </is>
      </c>
      <c r="E567" s="627" t="n">
        <v>6.2</v>
      </c>
      <c r="F567" s="625" t="inlineStr">
        <is>
          <t>Km</t>
        </is>
      </c>
      <c r="G567" s="625" t="inlineStr">
        <is>
          <t>รถเทรลเลอร์</t>
        </is>
      </c>
      <c r="H567" s="625" t="inlineStr">
        <is>
          <t>CARROLLTON TX, USA</t>
        </is>
      </c>
      <c r="I567" s="625" t="n">
        <v>14544</v>
      </c>
      <c r="J567" s="628" t="inlineStr">
        <is>
          <t>Km</t>
        </is>
      </c>
      <c r="K567" s="630" t="n">
        <v>3890</v>
      </c>
      <c r="L567" s="640">
        <f>M567-K567</f>
        <v/>
      </c>
      <c r="M567" s="1797" t="n">
        <v>13604.5</v>
      </c>
      <c r="N567" s="1801" t="n">
        <v>6937.5</v>
      </c>
      <c r="O567" s="615" t="n">
        <v>0</v>
      </c>
      <c r="P567" s="641" t="n">
        <v>100</v>
      </c>
    </row>
    <row r="568" ht="15.75" customHeight="1">
      <c r="A568" s="631" t="inlineStr">
        <is>
          <t>FO23080071</t>
        </is>
      </c>
      <c r="B568" s="632" t="n">
        <v>45166</v>
      </c>
      <c r="C568" s="633" t="inlineStr">
        <is>
          <t>มัลติแบกซ์</t>
        </is>
      </c>
      <c r="D568" s="633" t="inlineStr">
        <is>
          <t>ท่าเรือแหลมฉบัง</t>
        </is>
      </c>
      <c r="E568" s="634" t="n">
        <v>6.5</v>
      </c>
      <c r="F568" s="631" t="inlineStr">
        <is>
          <t>Km</t>
        </is>
      </c>
      <c r="G568" s="631" t="inlineStr">
        <is>
          <t>รถเทรลเลอร์</t>
        </is>
      </c>
      <c r="H568" s="631" t="inlineStr">
        <is>
          <t>UNIVERSITY PARK IL, USA</t>
        </is>
      </c>
      <c r="I568" s="631" t="n">
        <v>13877</v>
      </c>
      <c r="J568" s="635" t="inlineStr">
        <is>
          <t>Km</t>
        </is>
      </c>
      <c r="K568" s="637" t="n">
        <v>3900</v>
      </c>
      <c r="L568" s="642">
        <f>M568-K568</f>
        <v/>
      </c>
      <c r="M568" s="1799" t="n">
        <v>15914</v>
      </c>
      <c r="N568" s="1800" t="n">
        <v>8988</v>
      </c>
      <c r="O568" s="633" t="n">
        <v>0</v>
      </c>
      <c r="P568" s="643" t="n">
        <v>100</v>
      </c>
    </row>
    <row r="569" ht="15.75" customHeight="1">
      <c r="A569" s="625" t="inlineStr">
        <is>
          <t>FO23080072</t>
        </is>
      </c>
      <c r="B569" s="626" t="n">
        <v>45166</v>
      </c>
      <c r="C569" s="615" t="inlineStr">
        <is>
          <t>มัลติแบกซ์</t>
        </is>
      </c>
      <c r="D569" s="615" t="inlineStr">
        <is>
          <t>ท่าเรือแหลมฉบัง</t>
        </is>
      </c>
      <c r="E569" s="627" t="n">
        <v>6.5</v>
      </c>
      <c r="F569" s="625" t="inlineStr">
        <is>
          <t>Km</t>
        </is>
      </c>
      <c r="G569" s="625" t="inlineStr">
        <is>
          <t>รถเทรลเลอร์</t>
        </is>
      </c>
      <c r="H569" s="625" t="inlineStr">
        <is>
          <t>UNIVERSITY PARK IL, USA</t>
        </is>
      </c>
      <c r="I569" s="625" t="n">
        <v>13877</v>
      </c>
      <c r="J569" s="628" t="inlineStr">
        <is>
          <t>Km</t>
        </is>
      </c>
      <c r="K569" s="630" t="n">
        <v>3830</v>
      </c>
      <c r="L569" s="640">
        <f>M569-K569</f>
        <v/>
      </c>
      <c r="M569" s="1797" t="n">
        <v>14019.8</v>
      </c>
      <c r="N569" s="1801" t="n">
        <v>7660</v>
      </c>
      <c r="O569" s="615" t="n">
        <v>0</v>
      </c>
      <c r="P569" s="641" t="n">
        <v>100</v>
      </c>
    </row>
    <row r="570" ht="15.75" customHeight="1">
      <c r="A570" s="631" t="inlineStr">
        <is>
          <t>FO23080073</t>
        </is>
      </c>
      <c r="B570" s="632" t="n">
        <v>45166</v>
      </c>
      <c r="C570" s="633" t="inlineStr">
        <is>
          <t>มัลติแบกซ์</t>
        </is>
      </c>
      <c r="D570" s="633" t="inlineStr">
        <is>
          <t>ท่าเรือแหลมฉบัง</t>
        </is>
      </c>
      <c r="E570" s="634" t="n">
        <v>6.5</v>
      </c>
      <c r="F570" s="631" t="inlineStr">
        <is>
          <t>Km</t>
        </is>
      </c>
      <c r="G570" s="631" t="inlineStr">
        <is>
          <t>รถเทรลเลอร์</t>
        </is>
      </c>
      <c r="H570" s="631" t="inlineStr">
        <is>
          <t>UNIVERSITY PARK IL, USA</t>
        </is>
      </c>
      <c r="I570" s="631" t="n">
        <v>13877</v>
      </c>
      <c r="J570" s="635" t="inlineStr">
        <is>
          <t>Km</t>
        </is>
      </c>
      <c r="K570" s="637" t="n">
        <v>3830</v>
      </c>
      <c r="L570" s="642">
        <f>M570-K570</f>
        <v/>
      </c>
      <c r="M570" s="1799" t="n">
        <v>15844</v>
      </c>
      <c r="N570" s="1800" t="n">
        <v>8988</v>
      </c>
      <c r="O570" s="633" t="n">
        <v>0</v>
      </c>
      <c r="P570" s="643" t="n">
        <v>100</v>
      </c>
    </row>
    <row r="571" ht="15.75" customHeight="1">
      <c r="A571" s="625" t="inlineStr">
        <is>
          <t>FO23080074</t>
        </is>
      </c>
      <c r="B571" s="626" t="n">
        <v>45166</v>
      </c>
      <c r="C571" s="615" t="inlineStr">
        <is>
          <t>มัลติแบกซ์</t>
        </is>
      </c>
      <c r="D571" s="615" t="inlineStr">
        <is>
          <t>ท่าเรือแหลมฉบัง</t>
        </is>
      </c>
      <c r="E571" s="627" t="n">
        <v>6.5</v>
      </c>
      <c r="F571" s="625" t="inlineStr">
        <is>
          <t>Km</t>
        </is>
      </c>
      <c r="G571" s="625" t="inlineStr">
        <is>
          <t>รถเทรลเลอร์</t>
        </is>
      </c>
      <c r="H571" s="625" t="inlineStr">
        <is>
          <t>UNIVERSITY PARK IL, USA</t>
        </is>
      </c>
      <c r="I571" s="625" t="n">
        <v>13877</v>
      </c>
      <c r="J571" s="628" t="inlineStr">
        <is>
          <t>Km</t>
        </is>
      </c>
      <c r="K571" s="630" t="n">
        <v>3810</v>
      </c>
      <c r="L571" s="640">
        <f>M571-K571</f>
        <v/>
      </c>
      <c r="M571" s="1797" t="n">
        <v>13584.2</v>
      </c>
      <c r="N571" s="1801" t="n">
        <v>6917.4</v>
      </c>
      <c r="O571" s="615" t="n">
        <v>0</v>
      </c>
      <c r="P571" s="641" t="n">
        <v>100</v>
      </c>
    </row>
    <row r="572" ht="15.75" customHeight="1">
      <c r="A572" s="631" t="inlineStr">
        <is>
          <t>FO23080075</t>
        </is>
      </c>
      <c r="B572" s="632" t="n">
        <v>45166</v>
      </c>
      <c r="C572" s="633" t="inlineStr">
        <is>
          <t>มัลติแบกซ์</t>
        </is>
      </c>
      <c r="D572" s="633" t="inlineStr">
        <is>
          <t>ท่าเรือแหลมฉบัง</t>
        </is>
      </c>
      <c r="E572" s="634" t="n">
        <v>6.5</v>
      </c>
      <c r="F572" s="631" t="inlineStr">
        <is>
          <t>Km</t>
        </is>
      </c>
      <c r="G572" s="631" t="inlineStr">
        <is>
          <t>รถเทรลเลอร์</t>
        </is>
      </c>
      <c r="H572" s="631" t="inlineStr">
        <is>
          <t>UNIVERSITY PARK IL, USA</t>
        </is>
      </c>
      <c r="I572" s="631" t="n">
        <v>13877</v>
      </c>
      <c r="J572" s="635" t="inlineStr">
        <is>
          <t>Km</t>
        </is>
      </c>
      <c r="K572" s="637" t="n">
        <v>3840</v>
      </c>
      <c r="L572" s="642">
        <f>M572-K572</f>
        <v/>
      </c>
      <c r="M572" s="1799" t="n">
        <v>15854</v>
      </c>
      <c r="N572" s="1800" t="n">
        <v>10758.84</v>
      </c>
      <c r="O572" s="633" t="n">
        <v>0</v>
      </c>
      <c r="P572" s="643" t="n">
        <v>100</v>
      </c>
    </row>
    <row r="573" ht="15.75" customHeight="1">
      <c r="A573" s="625" t="inlineStr">
        <is>
          <t>FO23080076</t>
        </is>
      </c>
      <c r="B573" s="626" t="n">
        <v>45167</v>
      </c>
      <c r="C573" s="615" t="inlineStr">
        <is>
          <t>มัลติแบกซ์</t>
        </is>
      </c>
      <c r="D573" s="615" t="inlineStr">
        <is>
          <t>ท่าเรือแหลมฉบัง</t>
        </is>
      </c>
      <c r="E573" s="627" t="n">
        <v>7.1</v>
      </c>
      <c r="F573" s="625" t="inlineStr">
        <is>
          <t>Km</t>
        </is>
      </c>
      <c r="G573" s="625" t="inlineStr">
        <is>
          <t>รถเทรลเลอร์</t>
        </is>
      </c>
      <c r="H573" s="625" t="inlineStr">
        <is>
          <t>CARROLLTON TX, USA</t>
        </is>
      </c>
      <c r="I573" s="625" t="n">
        <v>14544</v>
      </c>
      <c r="J573" s="628" t="inlineStr">
        <is>
          <t>Km</t>
        </is>
      </c>
      <c r="K573" s="630" t="n">
        <v>3700</v>
      </c>
      <c r="L573" s="640">
        <f>M573-K573</f>
        <v/>
      </c>
      <c r="M573" s="1797" t="n">
        <v>21957.8</v>
      </c>
      <c r="N573" s="1801" t="n">
        <v>4481.9</v>
      </c>
      <c r="O573" s="615" t="n">
        <v>0</v>
      </c>
      <c r="P573" s="641" t="n">
        <v>100</v>
      </c>
    </row>
    <row r="574" ht="15.75" customHeight="1">
      <c r="A574" s="631" t="inlineStr">
        <is>
          <t>FO23080077</t>
        </is>
      </c>
      <c r="B574" s="632" t="n">
        <v>45169</v>
      </c>
      <c r="C574" s="633" t="inlineStr">
        <is>
          <t>มัลติแบกซ์</t>
        </is>
      </c>
      <c r="D574" s="633" t="inlineStr">
        <is>
          <t>ท่าเรือแหลมฉบัง</t>
        </is>
      </c>
      <c r="E574" s="634" t="n">
        <v>11.9</v>
      </c>
      <c r="F574" s="631" t="inlineStr">
        <is>
          <t>Km</t>
        </is>
      </c>
      <c r="G574" s="631" t="inlineStr">
        <is>
          <t>รถเทรลเลอร์</t>
        </is>
      </c>
      <c r="H574" s="631" t="inlineStr">
        <is>
          <t>AJMAN PORT, UAE</t>
        </is>
      </c>
      <c r="I574" s="631" t="n">
        <v>4929</v>
      </c>
      <c r="J574" s="635" t="inlineStr">
        <is>
          <t>Km</t>
        </is>
      </c>
      <c r="K574" s="637" t="n">
        <v>3745</v>
      </c>
      <c r="L574" s="642">
        <f>M574-K574</f>
        <v/>
      </c>
      <c r="M574" s="1799" t="n">
        <v>19951.15</v>
      </c>
      <c r="N574" s="1800" t="n">
        <v>14572.03</v>
      </c>
      <c r="O574" s="633" t="n">
        <v>0</v>
      </c>
      <c r="P574" s="643" t="n">
        <v>100</v>
      </c>
    </row>
    <row r="575" ht="15.75" customHeight="1">
      <c r="A575" s="625" t="inlineStr">
        <is>
          <t>FO23080078</t>
        </is>
      </c>
      <c r="B575" s="626" t="n">
        <v>45169</v>
      </c>
      <c r="C575" s="615" t="inlineStr">
        <is>
          <t>มัลติแบกซ์</t>
        </is>
      </c>
      <c r="D575" s="615" t="inlineStr">
        <is>
          <t>ท่าเรือแหลมฉบัง</t>
        </is>
      </c>
      <c r="E575" s="627" t="n">
        <v>11.9</v>
      </c>
      <c r="F575" s="625" t="inlineStr">
        <is>
          <t>Km</t>
        </is>
      </c>
      <c r="G575" s="625" t="inlineStr">
        <is>
          <t>รถเทรลเลอร์</t>
        </is>
      </c>
      <c r="H575" s="625" t="inlineStr">
        <is>
          <t>AJMAN PORT, UAE</t>
        </is>
      </c>
      <c r="I575" s="625" t="n">
        <v>4929</v>
      </c>
      <c r="J575" s="628" t="inlineStr">
        <is>
          <t>Km</t>
        </is>
      </c>
      <c r="K575" s="630" t="n">
        <v>3540</v>
      </c>
      <c r="L575" s="640">
        <f>M575-K575</f>
        <v/>
      </c>
      <c r="M575" s="1797" t="n">
        <v>15633.68</v>
      </c>
      <c r="N575" s="1801" t="n">
        <v>9764.120000000001</v>
      </c>
      <c r="O575" s="615" t="n">
        <v>0</v>
      </c>
      <c r="P575" s="641" t="n">
        <v>100</v>
      </c>
    </row>
    <row r="576" ht="15.75" customHeight="1">
      <c r="A576" s="631" t="inlineStr">
        <is>
          <t>FO23080079</t>
        </is>
      </c>
      <c r="B576" s="632" t="n">
        <v>45169</v>
      </c>
      <c r="C576" s="633" t="inlineStr">
        <is>
          <t>มัลติแบกซ์</t>
        </is>
      </c>
      <c r="D576" s="633" t="inlineStr">
        <is>
          <t>ท่าเรือแหลมฉบัง</t>
        </is>
      </c>
      <c r="E576" s="634" t="n">
        <v>11.9</v>
      </c>
      <c r="F576" s="631" t="inlineStr">
        <is>
          <t>Km</t>
        </is>
      </c>
      <c r="G576" s="631" t="inlineStr">
        <is>
          <t>รถเทรลเลอร์</t>
        </is>
      </c>
      <c r="H576" s="631" t="inlineStr">
        <is>
          <t>AJMAN PORT, UAE</t>
        </is>
      </c>
      <c r="I576" s="631" t="n">
        <v>4929</v>
      </c>
      <c r="J576" s="635" t="inlineStr">
        <is>
          <t>Km</t>
        </is>
      </c>
      <c r="K576" s="637" t="n">
        <v>2280</v>
      </c>
      <c r="L576" s="642">
        <f>M576-K576</f>
        <v/>
      </c>
      <c r="M576" s="1799" t="n">
        <v>8893.200000000001</v>
      </c>
      <c r="N576" s="1800" t="n">
        <v>5488</v>
      </c>
      <c r="O576" s="633" t="n">
        <v>0</v>
      </c>
      <c r="P576" s="643" t="n">
        <v>100</v>
      </c>
    </row>
    <row r="577" ht="15.75" customHeight="1">
      <c r="A577" s="657" t="inlineStr">
        <is>
          <t>FO23090001</t>
        </is>
      </c>
      <c r="B577" s="626" t="n">
        <v>45171</v>
      </c>
      <c r="C577" s="615" t="inlineStr">
        <is>
          <t>มัลติแบกซ์</t>
        </is>
      </c>
      <c r="D577" s="615" t="inlineStr">
        <is>
          <t>ท่าเรือแหลมฉบัง</t>
        </is>
      </c>
      <c r="E577" s="627" t="n">
        <v>4.1</v>
      </c>
      <c r="F577" s="615" t="inlineStr">
        <is>
          <t>Km</t>
        </is>
      </c>
      <c r="G577" s="615" t="inlineStr">
        <is>
          <t>รถเทรลเลอร์</t>
        </is>
      </c>
      <c r="H577" s="625" t="inlineStr">
        <is>
          <t>UK PORT</t>
        </is>
      </c>
      <c r="I577" s="629" t="n">
        <v>9687</v>
      </c>
      <c r="J577" s="651" t="inlineStr">
        <is>
          <t>Km</t>
        </is>
      </c>
      <c r="K577" s="630" t="n">
        <v>2200</v>
      </c>
      <c r="L577" s="640">
        <f>M577-K577</f>
        <v/>
      </c>
      <c r="M577" s="1797" t="n">
        <v>7977</v>
      </c>
      <c r="N577" s="1801" t="n">
        <v>4550</v>
      </c>
      <c r="O577" s="615" t="n">
        <v>0</v>
      </c>
      <c r="P577" s="641" t="n">
        <v>100</v>
      </c>
    </row>
    <row r="578" ht="15.75" customHeight="1">
      <c r="A578" s="658" t="inlineStr">
        <is>
          <t>FO23090002</t>
        </is>
      </c>
      <c r="B578" s="632" t="n">
        <v>45171</v>
      </c>
      <c r="C578" s="633" t="inlineStr">
        <is>
          <t>มัลติแบกซ์</t>
        </is>
      </c>
      <c r="D578" s="633" t="inlineStr">
        <is>
          <t>ท่าเรือแหลมฉบัง</t>
        </is>
      </c>
      <c r="E578" s="634" t="n">
        <v>4.1</v>
      </c>
      <c r="F578" s="631" t="inlineStr">
        <is>
          <t>Km</t>
        </is>
      </c>
      <c r="G578" s="631" t="inlineStr">
        <is>
          <t>รถเทรลเลอร์</t>
        </is>
      </c>
      <c r="H578" s="631" t="inlineStr">
        <is>
          <t>UK PORT</t>
        </is>
      </c>
      <c r="I578" s="636" t="n">
        <v>9687</v>
      </c>
      <c r="J578" s="635" t="inlineStr">
        <is>
          <t>Km</t>
        </is>
      </c>
      <c r="K578" s="637" t="n">
        <v>2220</v>
      </c>
      <c r="L578" s="642">
        <f>M578-K578</f>
        <v/>
      </c>
      <c r="M578" s="1799" t="n">
        <v>7977</v>
      </c>
      <c r="N578" s="1800" t="n">
        <v>4550</v>
      </c>
      <c r="O578" s="633" t="n">
        <v>0</v>
      </c>
      <c r="P578" s="643" t="n">
        <v>100</v>
      </c>
    </row>
    <row r="579" ht="15.75" customHeight="1">
      <c r="A579" s="657" t="inlineStr">
        <is>
          <t>FO23090003</t>
        </is>
      </c>
      <c r="B579" s="626" t="n">
        <v>45173</v>
      </c>
      <c r="C579" s="615" t="inlineStr">
        <is>
          <t>มัลติแบกซ์</t>
        </is>
      </c>
      <c r="D579" s="615" t="inlineStr">
        <is>
          <t>ท่าเรือแหลมฉบัง</t>
        </is>
      </c>
      <c r="E579" s="627" t="n">
        <v>7.1</v>
      </c>
      <c r="F579" s="625" t="inlineStr">
        <is>
          <t>Km</t>
        </is>
      </c>
      <c r="G579" s="625" t="inlineStr">
        <is>
          <t>รถเทรลเลอร์</t>
        </is>
      </c>
      <c r="H579" s="625" t="inlineStr">
        <is>
          <t>SYDNEY, AUSTRALIA</t>
        </is>
      </c>
      <c r="I579" s="629" t="n">
        <v>7448</v>
      </c>
      <c r="J579" s="628" t="inlineStr">
        <is>
          <t>Km</t>
        </is>
      </c>
      <c r="K579" s="630" t="n">
        <v>3700</v>
      </c>
      <c r="L579" s="640">
        <f>M579-K579</f>
        <v/>
      </c>
      <c r="M579" s="1797" t="n">
        <v>27852</v>
      </c>
      <c r="N579" s="1801" t="n">
        <v>20406</v>
      </c>
      <c r="O579" s="615" t="n">
        <v>0</v>
      </c>
      <c r="P579" s="641" t="n">
        <v>100</v>
      </c>
    </row>
    <row r="580" ht="15.75" customHeight="1">
      <c r="A580" s="658" t="inlineStr">
        <is>
          <t>FO23090004</t>
        </is>
      </c>
      <c r="B580" s="632" t="n">
        <v>45173</v>
      </c>
      <c r="C580" s="633" t="inlineStr">
        <is>
          <t>มัลติแบกซ์</t>
        </is>
      </c>
      <c r="D580" s="633" t="inlineStr">
        <is>
          <t>ท่าเรือแหลมฉบัง</t>
        </is>
      </c>
      <c r="E580" s="634" t="n">
        <v>5.3</v>
      </c>
      <c r="F580" s="631" t="inlineStr">
        <is>
          <t>Km</t>
        </is>
      </c>
      <c r="G580" s="631" t="inlineStr">
        <is>
          <t>รถเทรลเลอร์</t>
        </is>
      </c>
      <c r="H580" s="631" t="inlineStr">
        <is>
          <t>HONG KONG</t>
        </is>
      </c>
      <c r="I580" s="636" t="n">
        <v>1734</v>
      </c>
      <c r="J580" s="635" t="inlineStr">
        <is>
          <t>Km</t>
        </is>
      </c>
      <c r="K580" s="637" t="n">
        <v>3650</v>
      </c>
      <c r="L580" s="642">
        <f>M580-K580</f>
        <v/>
      </c>
      <c r="M580" s="1799" t="n">
        <v>15743</v>
      </c>
      <c r="N580" s="1800" t="n">
        <v>12091</v>
      </c>
      <c r="O580" s="633" t="n">
        <v>0</v>
      </c>
      <c r="P580" s="643" t="n">
        <v>100</v>
      </c>
    </row>
    <row r="581" ht="15.75" customHeight="1">
      <c r="A581" s="657" t="inlineStr">
        <is>
          <t>FO23090005</t>
        </is>
      </c>
      <c r="B581" s="626" t="n">
        <v>45174</v>
      </c>
      <c r="C581" s="615" t="inlineStr">
        <is>
          <t>มัลติแบกซ์</t>
        </is>
      </c>
      <c r="D581" s="615" t="inlineStr">
        <is>
          <t>ท่าเรือแหลมฉบัง</t>
        </is>
      </c>
      <c r="E581" s="627" t="n">
        <v>3.6</v>
      </c>
      <c r="F581" s="625" t="inlineStr">
        <is>
          <t>Km</t>
        </is>
      </c>
      <c r="G581" s="625" t="inlineStr">
        <is>
          <t>รถเทรลเลอร์</t>
        </is>
      </c>
      <c r="H581" s="625" t="inlineStr">
        <is>
          <t>TOMAKOMAI, JAPAN</t>
        </is>
      </c>
      <c r="I581" s="629" t="n">
        <v>5092</v>
      </c>
      <c r="J581" s="628" t="inlineStr">
        <is>
          <t>Km</t>
        </is>
      </c>
      <c r="K581" s="630" t="n">
        <v>3700</v>
      </c>
      <c r="L581" s="640">
        <f>M581-K581</f>
        <v/>
      </c>
      <c r="M581" s="1797" t="n">
        <v>15170.25</v>
      </c>
      <c r="N581" s="1801" t="n">
        <v>9167.51</v>
      </c>
      <c r="O581" s="615" t="n">
        <v>0</v>
      </c>
      <c r="P581" s="641" t="n">
        <v>100</v>
      </c>
    </row>
    <row r="582" ht="15.75" customHeight="1">
      <c r="A582" s="658" t="inlineStr">
        <is>
          <t>FO23090006</t>
        </is>
      </c>
      <c r="B582" s="632" t="n">
        <v>45175</v>
      </c>
      <c r="C582" s="633" t="inlineStr">
        <is>
          <t>มัลติแบกซ์</t>
        </is>
      </c>
      <c r="D582" s="633" t="inlineStr">
        <is>
          <t>ท่าเรือแหลมฉบัง</t>
        </is>
      </c>
      <c r="E582" s="634" t="n">
        <v>11.7</v>
      </c>
      <c r="F582" s="631" t="inlineStr">
        <is>
          <t>Km</t>
        </is>
      </c>
      <c r="G582" s="631" t="inlineStr">
        <is>
          <t>รถเทรลเลอร์</t>
        </is>
      </c>
      <c r="H582" s="631" t="inlineStr">
        <is>
          <t>SHIMIZU, JAPAN</t>
        </is>
      </c>
      <c r="I582" s="636" t="n">
        <v>4482</v>
      </c>
      <c r="J582" s="635" t="inlineStr">
        <is>
          <t>Km</t>
        </is>
      </c>
      <c r="K582" s="637" t="n">
        <v>2185</v>
      </c>
      <c r="L582" s="642">
        <f>M582-K582</f>
        <v/>
      </c>
      <c r="M582" s="1799" t="n">
        <v>7627.5</v>
      </c>
      <c r="N582" s="1800" t="n">
        <v>4321.54</v>
      </c>
      <c r="O582" s="633" t="n">
        <v>0</v>
      </c>
      <c r="P582" s="643" t="n">
        <v>100</v>
      </c>
    </row>
    <row r="583" ht="15.75" customHeight="1">
      <c r="A583" s="657" t="inlineStr">
        <is>
          <t>FO23090007</t>
        </is>
      </c>
      <c r="B583" s="626" t="n">
        <v>45173</v>
      </c>
      <c r="C583" s="615" t="inlineStr">
        <is>
          <t>มัลติแบกซ์</t>
        </is>
      </c>
      <c r="D583" s="615" t="inlineStr">
        <is>
          <t>ท่าเรือแหลมฉบัง</t>
        </is>
      </c>
      <c r="E583" s="627" t="n">
        <v>7.1</v>
      </c>
      <c r="F583" s="625" t="inlineStr">
        <is>
          <t>Km</t>
        </is>
      </c>
      <c r="G583" s="625" t="inlineStr">
        <is>
          <t>รถเทรลเลอร์</t>
        </is>
      </c>
      <c r="H583" s="625" t="inlineStr">
        <is>
          <t>UNIVERSITY PARK IL, USA</t>
        </is>
      </c>
      <c r="I583" s="629" t="n">
        <v>13877</v>
      </c>
      <c r="J583" s="628" t="inlineStr">
        <is>
          <t>Km</t>
        </is>
      </c>
      <c r="K583" s="630" t="n">
        <v>3800</v>
      </c>
      <c r="L583" s="640">
        <f>M583-K583</f>
        <v/>
      </c>
      <c r="M583" s="1797" t="n">
        <v>13989.8</v>
      </c>
      <c r="N583" s="1801" t="n">
        <v>7660</v>
      </c>
      <c r="O583" s="615" t="n">
        <v>0</v>
      </c>
      <c r="P583" s="641" t="n">
        <v>100</v>
      </c>
    </row>
    <row r="584" ht="15.75" customHeight="1">
      <c r="A584" s="658" t="inlineStr">
        <is>
          <t>FO23090008</t>
        </is>
      </c>
      <c r="B584" s="632" t="n">
        <v>45173</v>
      </c>
      <c r="C584" s="633" t="inlineStr">
        <is>
          <t>มัลติแบกซ์</t>
        </is>
      </c>
      <c r="D584" s="633" t="inlineStr">
        <is>
          <t>ท่าเรือแหลมฉบัง</t>
        </is>
      </c>
      <c r="E584" s="634" t="n">
        <v>7.1</v>
      </c>
      <c r="F584" s="631" t="inlineStr">
        <is>
          <t>Km</t>
        </is>
      </c>
      <c r="G584" s="631" t="inlineStr">
        <is>
          <t>รถเทรลเลอร์</t>
        </is>
      </c>
      <c r="H584" s="631" t="inlineStr">
        <is>
          <t>UNIVERSITY PARK IL, USA</t>
        </is>
      </c>
      <c r="I584" s="636" t="n">
        <v>13877</v>
      </c>
      <c r="J584" s="635" t="inlineStr">
        <is>
          <t>Km</t>
        </is>
      </c>
      <c r="K584" s="637" t="n">
        <v>3700</v>
      </c>
      <c r="L584" s="642">
        <f>M584-K584</f>
        <v/>
      </c>
      <c r="M584" s="1799" t="n">
        <v>23299.5</v>
      </c>
      <c r="N584" s="1800" t="n">
        <v>15795</v>
      </c>
      <c r="O584" s="633" t="n">
        <v>0</v>
      </c>
      <c r="P584" s="643" t="n">
        <v>100</v>
      </c>
    </row>
    <row r="585" ht="15.75" customHeight="1">
      <c r="A585" s="657" t="inlineStr">
        <is>
          <t>FO23090009</t>
        </is>
      </c>
      <c r="B585" s="626" t="n">
        <v>45173</v>
      </c>
      <c r="C585" s="615" t="inlineStr">
        <is>
          <t>มัลติแบกซ์</t>
        </is>
      </c>
      <c r="D585" s="615" t="inlineStr">
        <is>
          <t>ท่าเรือแหลมฉบัง</t>
        </is>
      </c>
      <c r="E585" s="627" t="n">
        <v>7.1</v>
      </c>
      <c r="F585" s="625" t="inlineStr">
        <is>
          <t>Km</t>
        </is>
      </c>
      <c r="G585" s="625" t="inlineStr">
        <is>
          <t>รถเทรลเลอร์</t>
        </is>
      </c>
      <c r="H585" s="625" t="inlineStr">
        <is>
          <t>UNIVERSITY PARK IL, USA</t>
        </is>
      </c>
      <c r="I585" s="629" t="n">
        <v>13877</v>
      </c>
      <c r="J585" s="628" t="inlineStr">
        <is>
          <t>Km</t>
        </is>
      </c>
      <c r="K585" s="630" t="n">
        <v>3810</v>
      </c>
      <c r="L585" s="640">
        <f>M585-K585</f>
        <v/>
      </c>
      <c r="M585" s="1797" t="n">
        <v>15824</v>
      </c>
      <c r="N585" s="1801" t="n">
        <v>8988</v>
      </c>
      <c r="O585" s="615" t="n">
        <v>0</v>
      </c>
      <c r="P585" s="641" t="n">
        <v>100</v>
      </c>
    </row>
    <row r="586" ht="15.75" customHeight="1">
      <c r="A586" s="658" t="inlineStr">
        <is>
          <t>FO23090010</t>
        </is>
      </c>
      <c r="B586" s="632" t="n">
        <v>45175</v>
      </c>
      <c r="C586" s="633" t="inlineStr">
        <is>
          <t>มัลติแบกซ์</t>
        </is>
      </c>
      <c r="D586" s="633" t="inlineStr">
        <is>
          <t>ท่าเรือแหลมฉบัง</t>
        </is>
      </c>
      <c r="E586" s="634" t="n">
        <v>7.1</v>
      </c>
      <c r="F586" s="631" t="inlineStr">
        <is>
          <t>Km</t>
        </is>
      </c>
      <c r="G586" s="631" t="inlineStr">
        <is>
          <t>รถเทรลเลอร์</t>
        </is>
      </c>
      <c r="H586" s="631" t="inlineStr">
        <is>
          <t>UNIVERSITY PARK IL, USA</t>
        </is>
      </c>
      <c r="I586" s="636" t="n">
        <v>13877</v>
      </c>
      <c r="J586" s="635" t="inlineStr">
        <is>
          <t>Km</t>
        </is>
      </c>
      <c r="K586" s="637" t="n">
        <v>3830</v>
      </c>
      <c r="L586" s="642">
        <f>M586-K586</f>
        <v/>
      </c>
      <c r="M586" s="1799" t="n">
        <v>14019.8</v>
      </c>
      <c r="N586" s="1800" t="n">
        <v>7660</v>
      </c>
      <c r="O586" s="633" t="n">
        <v>0</v>
      </c>
      <c r="P586" s="643" t="n">
        <v>100</v>
      </c>
    </row>
    <row r="587" ht="15.75" customHeight="1">
      <c r="A587" s="657" t="inlineStr">
        <is>
          <t>FO23090011</t>
        </is>
      </c>
      <c r="B587" s="626" t="n">
        <v>45176</v>
      </c>
      <c r="C587" s="615" t="inlineStr">
        <is>
          <t>มัลติแบกซ์</t>
        </is>
      </c>
      <c r="D587" s="615" t="inlineStr">
        <is>
          <t>ท่าเรือแหลมฉบัง</t>
        </is>
      </c>
      <c r="E587" s="627" t="n">
        <v>7.1</v>
      </c>
      <c r="F587" s="625" t="inlineStr">
        <is>
          <t>Km</t>
        </is>
      </c>
      <c r="G587" s="625" t="inlineStr">
        <is>
          <t>รถเทรลเลอร์</t>
        </is>
      </c>
      <c r="H587" s="625" t="inlineStr">
        <is>
          <t>UNIVERSITY PARK IL, USA</t>
        </is>
      </c>
      <c r="I587" s="629" t="n">
        <v>13877</v>
      </c>
      <c r="J587" s="628" t="inlineStr">
        <is>
          <t>Km</t>
        </is>
      </c>
      <c r="K587" s="630" t="n">
        <v>3830</v>
      </c>
      <c r="L587" s="640">
        <f>M587-K587</f>
        <v/>
      </c>
      <c r="M587" s="1797" t="n">
        <v>13604.2</v>
      </c>
      <c r="N587" s="1801" t="n">
        <v>6917.4</v>
      </c>
      <c r="O587" s="615" t="n">
        <v>0</v>
      </c>
      <c r="P587" s="641" t="n">
        <v>100</v>
      </c>
    </row>
    <row r="588" ht="15.75" customHeight="1">
      <c r="A588" s="658" t="inlineStr">
        <is>
          <t>FO23090012</t>
        </is>
      </c>
      <c r="B588" s="632" t="n">
        <v>45175</v>
      </c>
      <c r="C588" s="633" t="inlineStr">
        <is>
          <t>มัลติแบกซ์</t>
        </is>
      </c>
      <c r="D588" s="633" t="inlineStr">
        <is>
          <t>ท่าเรือแหลมฉบัง</t>
        </is>
      </c>
      <c r="E588" s="634" t="n">
        <v>11.9</v>
      </c>
      <c r="F588" s="631" t="inlineStr">
        <is>
          <t>Km</t>
        </is>
      </c>
      <c r="G588" s="631" t="inlineStr">
        <is>
          <t>รถเทรลเลอร์</t>
        </is>
      </c>
      <c r="H588" s="631" t="inlineStr">
        <is>
          <t>HONG KONG</t>
        </is>
      </c>
      <c r="I588" s="636" t="n">
        <v>1734</v>
      </c>
      <c r="J588" s="635" t="inlineStr">
        <is>
          <t>Km</t>
        </is>
      </c>
      <c r="K588" s="637" t="n">
        <v>3820</v>
      </c>
      <c r="L588" s="642">
        <f>M588-K588</f>
        <v/>
      </c>
      <c r="M588" s="1799" t="n">
        <v>15517.3</v>
      </c>
      <c r="N588" s="1800" t="n">
        <v>8899.299999999999</v>
      </c>
      <c r="O588" s="633" t="n">
        <v>0</v>
      </c>
      <c r="P588" s="643" t="n">
        <v>100</v>
      </c>
    </row>
    <row r="589" ht="15.75" customHeight="1">
      <c r="A589" s="657" t="inlineStr">
        <is>
          <t>FO23090013</t>
        </is>
      </c>
      <c r="B589" s="626" t="n">
        <v>45177</v>
      </c>
      <c r="C589" s="615" t="inlineStr">
        <is>
          <t>มัลติแบกซ์</t>
        </is>
      </c>
      <c r="D589" s="615" t="inlineStr">
        <is>
          <t>ท่าเรือแหลมฉบัง</t>
        </is>
      </c>
      <c r="E589" s="627" t="n">
        <v>6.3</v>
      </c>
      <c r="F589" s="625" t="inlineStr">
        <is>
          <t>Km</t>
        </is>
      </c>
      <c r="G589" s="625" t="inlineStr">
        <is>
          <t>รถเทรลเลอร์</t>
        </is>
      </c>
      <c r="H589" s="625" t="inlineStr">
        <is>
          <t>UK PORT</t>
        </is>
      </c>
      <c r="I589" s="629" t="n">
        <v>9687</v>
      </c>
      <c r="J589" s="628" t="inlineStr">
        <is>
          <t>Km</t>
        </is>
      </c>
      <c r="K589" s="630" t="n">
        <v>3630</v>
      </c>
      <c r="L589" s="640">
        <f>M589-K589</f>
        <v/>
      </c>
      <c r="M589" s="1797" t="n">
        <v>28657</v>
      </c>
      <c r="N589" s="1801" t="n">
        <v>23842</v>
      </c>
      <c r="O589" s="615" t="n">
        <v>0</v>
      </c>
      <c r="P589" s="641" t="n">
        <v>100</v>
      </c>
    </row>
    <row r="590" ht="15.75" customHeight="1">
      <c r="A590" s="658" t="inlineStr">
        <is>
          <t>FO23090014</t>
        </is>
      </c>
      <c r="B590" s="632" t="n">
        <v>45174</v>
      </c>
      <c r="C590" s="633" t="inlineStr">
        <is>
          <t>มัลติแบกซ์</t>
        </is>
      </c>
      <c r="D590" s="633" t="inlineStr">
        <is>
          <t>ท่าเรือแหลมฉบัง</t>
        </is>
      </c>
      <c r="E590" s="634" t="n">
        <v>11.9</v>
      </c>
      <c r="F590" s="631" t="inlineStr">
        <is>
          <t>Km</t>
        </is>
      </c>
      <c r="G590" s="631" t="inlineStr">
        <is>
          <t>รถเทรลเลอร์</t>
        </is>
      </c>
      <c r="H590" s="631" t="inlineStr">
        <is>
          <t>HAMAD, QATAR</t>
        </is>
      </c>
      <c r="I590" s="636" t="n">
        <v>5317</v>
      </c>
      <c r="J590" s="635" t="inlineStr">
        <is>
          <t>Km</t>
        </is>
      </c>
      <c r="K590" s="637" t="n">
        <v>3640</v>
      </c>
      <c r="L590" s="642">
        <f>M590-K590</f>
        <v/>
      </c>
      <c r="M590" s="1799" t="n">
        <v>17659.36</v>
      </c>
      <c r="N590" s="1800" t="n">
        <v>11742.08</v>
      </c>
      <c r="O590" s="633" t="n">
        <v>0</v>
      </c>
      <c r="P590" s="643" t="n">
        <v>100</v>
      </c>
    </row>
    <row r="591" ht="15.75" customHeight="1">
      <c r="A591" s="657" t="inlineStr">
        <is>
          <t>FO23090015</t>
        </is>
      </c>
      <c r="B591" s="626" t="n">
        <v>45177</v>
      </c>
      <c r="C591" s="615" t="inlineStr">
        <is>
          <t>มัลติแบกซ์</t>
        </is>
      </c>
      <c r="D591" s="615" t="inlineStr">
        <is>
          <t>ท่าเรือแหลมฉบัง</t>
        </is>
      </c>
      <c r="E591" s="627" t="n">
        <v>6</v>
      </c>
      <c r="F591" s="625" t="inlineStr">
        <is>
          <t>Km</t>
        </is>
      </c>
      <c r="G591" s="625" t="inlineStr">
        <is>
          <t>รถเทรลเลอร์</t>
        </is>
      </c>
      <c r="H591" s="625" t="inlineStr">
        <is>
          <t>HAMAD, QATAR</t>
        </is>
      </c>
      <c r="I591" s="629" t="n">
        <v>5317</v>
      </c>
      <c r="J591" s="628" t="inlineStr">
        <is>
          <t>Km</t>
        </is>
      </c>
      <c r="K591" s="630" t="n">
        <v>2200</v>
      </c>
      <c r="L591" s="640">
        <f>M591-K591</f>
        <v/>
      </c>
      <c r="M591" s="1797" t="n">
        <v>6239.93</v>
      </c>
      <c r="N591" s="1801" t="n">
        <v>3003.57</v>
      </c>
      <c r="O591" s="615" t="n">
        <v>0</v>
      </c>
      <c r="P591" s="641" t="n">
        <v>100</v>
      </c>
    </row>
    <row r="592" ht="15.75" customHeight="1">
      <c r="A592" s="385" t="inlineStr">
        <is>
          <t>FO23090016</t>
        </is>
      </c>
      <c r="B592" s="649" t="n">
        <v>45173</v>
      </c>
      <c r="C592" s="309" t="inlineStr">
        <is>
          <t>มัลติแบกซ์</t>
        </is>
      </c>
      <c r="D592" s="309" t="n"/>
      <c r="E592" s="652" t="n"/>
      <c r="F592" s="385" t="n"/>
      <c r="G592" s="385" t="inlineStr">
        <is>
          <t>รถเทรลเลอร์</t>
        </is>
      </c>
      <c r="H592" s="385" t="inlineStr">
        <is>
          <t>SINGAPORE</t>
        </is>
      </c>
      <c r="I592" s="650" t="n">
        <v>1931</v>
      </c>
      <c r="J592" s="228" t="n"/>
      <c r="K592" s="653" t="n">
        <v>3876.1</v>
      </c>
      <c r="L592" s="654" t="n">
        <v>1445</v>
      </c>
      <c r="M592" s="1804" t="n">
        <v>5321.1</v>
      </c>
      <c r="N592" s="1805" t="n">
        <v>3876.1</v>
      </c>
      <c r="O592" s="309" t="n">
        <v>0</v>
      </c>
      <c r="P592" s="655" t="n">
        <v>100</v>
      </c>
    </row>
    <row r="593" ht="15.75" customHeight="1">
      <c r="A593" s="657" t="inlineStr">
        <is>
          <t>FO23090017</t>
        </is>
      </c>
      <c r="B593" s="626" t="n">
        <v>45184</v>
      </c>
      <c r="C593" s="615" t="inlineStr">
        <is>
          <t>มัลติแบกซ์</t>
        </is>
      </c>
      <c r="D593" s="615" t="inlineStr">
        <is>
          <t>ท่าเรือแหลมฉบัง</t>
        </is>
      </c>
      <c r="E593" s="627" t="n">
        <v>5.3</v>
      </c>
      <c r="F593" s="625" t="inlineStr">
        <is>
          <t>Km</t>
        </is>
      </c>
      <c r="G593" s="625" t="inlineStr">
        <is>
          <t>รถเทรลเลอร์</t>
        </is>
      </c>
      <c r="H593" s="625" t="inlineStr">
        <is>
          <t>HONG KONG</t>
        </is>
      </c>
      <c r="I593" s="629" t="n">
        <v>1734</v>
      </c>
      <c r="J593" s="628" t="inlineStr">
        <is>
          <t>Km</t>
        </is>
      </c>
      <c r="K593" s="630" t="n">
        <v>3650</v>
      </c>
      <c r="L593" s="640">
        <f>M593-K593</f>
        <v/>
      </c>
      <c r="M593" s="1797" t="n">
        <v>15101.6</v>
      </c>
      <c r="N593" s="1801" t="n">
        <v>8805.5</v>
      </c>
      <c r="O593" s="615" t="n">
        <v>0</v>
      </c>
      <c r="P593" s="641" t="n">
        <v>100</v>
      </c>
    </row>
    <row r="594" ht="15.75" customHeight="1">
      <c r="A594" s="658" t="inlineStr">
        <is>
          <t>FO23090018</t>
        </is>
      </c>
      <c r="B594" s="632" t="n">
        <v>45176</v>
      </c>
      <c r="C594" s="633" t="inlineStr">
        <is>
          <t>มัลติแบกซ์</t>
        </is>
      </c>
      <c r="D594" s="633" t="inlineStr">
        <is>
          <t>ท่าเรือแหลมฉบัง</t>
        </is>
      </c>
      <c r="E594" s="634" t="n">
        <v>11.9</v>
      </c>
      <c r="F594" s="631" t="inlineStr">
        <is>
          <t>Km</t>
        </is>
      </c>
      <c r="G594" s="631" t="inlineStr">
        <is>
          <t>รถเทรลเลอร์</t>
        </is>
      </c>
      <c r="H594" s="631" t="inlineStr">
        <is>
          <t>SINGAPORE</t>
        </is>
      </c>
      <c r="I594" s="636" t="n">
        <v>1931</v>
      </c>
      <c r="J594" s="635" t="inlineStr">
        <is>
          <t>Km</t>
        </is>
      </c>
      <c r="K594" s="637" t="n">
        <v>5239.8</v>
      </c>
      <c r="L594" s="642" t="n">
        <v>1007.6</v>
      </c>
      <c r="M594" s="1799" t="n">
        <v>6247.4</v>
      </c>
      <c r="N594" s="1800" t="n">
        <v>5239.8</v>
      </c>
      <c r="O594" s="633" t="n">
        <v>0</v>
      </c>
      <c r="P594" s="643" t="n">
        <v>100</v>
      </c>
    </row>
    <row r="595" ht="15.75" customHeight="1">
      <c r="A595" s="657" t="inlineStr">
        <is>
          <t>FO23090019</t>
        </is>
      </c>
      <c r="B595" s="626" t="n">
        <v>45183</v>
      </c>
      <c r="C595" s="615" t="inlineStr">
        <is>
          <t>มัลติแบกซ์</t>
        </is>
      </c>
      <c r="D595" s="615" t="inlineStr">
        <is>
          <t>ท่าเรือแหลมฉบัง</t>
        </is>
      </c>
      <c r="E595" s="627" t="n">
        <v>6.2</v>
      </c>
      <c r="F595" s="625" t="inlineStr">
        <is>
          <t>Km</t>
        </is>
      </c>
      <c r="G595" s="625" t="inlineStr">
        <is>
          <t>รถเทรลเลอร์</t>
        </is>
      </c>
      <c r="H595" s="625" t="inlineStr">
        <is>
          <t>SANTA TERESA, NM USA</t>
        </is>
      </c>
      <c r="I595" s="629" t="n">
        <v>17387</v>
      </c>
      <c r="J595" s="628" t="inlineStr">
        <is>
          <t>Km</t>
        </is>
      </c>
      <c r="K595" s="630" t="n">
        <v>3700</v>
      </c>
      <c r="L595" s="640">
        <f>M595-K595</f>
        <v/>
      </c>
      <c r="M595" s="1797" t="n">
        <v>22054.6</v>
      </c>
      <c r="N595" s="1801" t="n">
        <v>15910.16</v>
      </c>
      <c r="O595" s="615" t="n">
        <v>0</v>
      </c>
      <c r="P595" s="641" t="n">
        <v>100</v>
      </c>
    </row>
    <row r="596" ht="15.75" customHeight="1">
      <c r="A596" s="658" t="inlineStr">
        <is>
          <t>FO23090020</t>
        </is>
      </c>
      <c r="B596" s="632" t="n">
        <v>45183</v>
      </c>
      <c r="C596" s="633" t="inlineStr">
        <is>
          <t>มัลติแบกซ์</t>
        </is>
      </c>
      <c r="D596" s="633" t="inlineStr">
        <is>
          <t>ท่าเรือแหลมฉบัง</t>
        </is>
      </c>
      <c r="E596" s="634" t="n">
        <v>6.2</v>
      </c>
      <c r="F596" s="631" t="inlineStr">
        <is>
          <t>Km</t>
        </is>
      </c>
      <c r="G596" s="631" t="inlineStr">
        <is>
          <t>รถเทรลเลอร์</t>
        </is>
      </c>
      <c r="H596" s="631" t="inlineStr">
        <is>
          <t>SANTA TERESA, NM USA</t>
        </is>
      </c>
      <c r="I596" s="636" t="n">
        <v>17387</v>
      </c>
      <c r="J596" s="635" t="inlineStr">
        <is>
          <t>Km</t>
        </is>
      </c>
      <c r="K596" s="637" t="n">
        <v>3870</v>
      </c>
      <c r="L596" s="642">
        <f>M596-K596</f>
        <v/>
      </c>
      <c r="M596" s="1799" t="n">
        <v>21455.66</v>
      </c>
      <c r="N596" s="1800" t="n">
        <v>15099.2</v>
      </c>
      <c r="O596" s="633" t="n">
        <v>0</v>
      </c>
      <c r="P596" s="643" t="n">
        <v>100</v>
      </c>
    </row>
    <row r="597" ht="15.75" customHeight="1">
      <c r="A597" s="657" t="inlineStr">
        <is>
          <t>FO23090021</t>
        </is>
      </c>
      <c r="B597" s="626" t="n">
        <v>45183</v>
      </c>
      <c r="C597" s="615" t="inlineStr">
        <is>
          <t>มัลติแบกซ์</t>
        </is>
      </c>
      <c r="D597" s="615" t="inlineStr">
        <is>
          <t>ท่าเรือแหลมฉบัง</t>
        </is>
      </c>
      <c r="E597" s="627" t="n">
        <v>6.2</v>
      </c>
      <c r="F597" s="625" t="inlineStr">
        <is>
          <t>Km</t>
        </is>
      </c>
      <c r="G597" s="625" t="inlineStr">
        <is>
          <t>รถเทรลเลอร์</t>
        </is>
      </c>
      <c r="H597" s="625" t="inlineStr">
        <is>
          <t>SANTA TERESA, NM USA</t>
        </is>
      </c>
      <c r="I597" s="629" t="n">
        <v>17387</v>
      </c>
      <c r="J597" s="628" t="inlineStr">
        <is>
          <t>Km</t>
        </is>
      </c>
      <c r="K597" s="630" t="n">
        <v>3820</v>
      </c>
      <c r="L597" s="640">
        <f>M597-K597</f>
        <v/>
      </c>
      <c r="M597" s="1797" t="n">
        <v>22096.4</v>
      </c>
      <c r="N597" s="1801" t="n">
        <v>15834.67</v>
      </c>
      <c r="O597" s="615" t="n">
        <v>0</v>
      </c>
      <c r="P597" s="641" t="n">
        <v>100</v>
      </c>
    </row>
    <row r="598" ht="15.75" customHeight="1">
      <c r="A598" s="658" t="inlineStr">
        <is>
          <t>FO23090022</t>
        </is>
      </c>
      <c r="B598" s="632" t="n">
        <v>45183</v>
      </c>
      <c r="C598" s="633" t="inlineStr">
        <is>
          <t>มัลติแบกซ์</t>
        </is>
      </c>
      <c r="D598" s="633" t="inlineStr">
        <is>
          <t>ท่าเรือแหลมฉบัง</t>
        </is>
      </c>
      <c r="E598" s="634" t="n">
        <v>6.2</v>
      </c>
      <c r="F598" s="631" t="inlineStr">
        <is>
          <t>Km</t>
        </is>
      </c>
      <c r="G598" s="631" t="inlineStr">
        <is>
          <t>รถเทรลเลอร์</t>
        </is>
      </c>
      <c r="H598" s="631" t="inlineStr">
        <is>
          <t>APPLETON WI , USA</t>
        </is>
      </c>
      <c r="I598" s="636" t="n">
        <v>13558</v>
      </c>
      <c r="J598" s="635" t="inlineStr">
        <is>
          <t>Km</t>
        </is>
      </c>
      <c r="K598" s="637" t="n">
        <v>3900</v>
      </c>
      <c r="L598" s="642">
        <f>M598-K598</f>
        <v/>
      </c>
      <c r="M598" s="1799" t="n">
        <v>18378.85</v>
      </c>
      <c r="N598" s="1800" t="n">
        <v>12306.45</v>
      </c>
      <c r="O598" s="633" t="n">
        <v>0</v>
      </c>
      <c r="P598" s="643" t="n">
        <v>100</v>
      </c>
    </row>
    <row r="599" ht="15.75" customHeight="1">
      <c r="A599" s="657" t="inlineStr">
        <is>
          <t>FO23090023</t>
        </is>
      </c>
      <c r="B599" s="626" t="n">
        <v>45181</v>
      </c>
      <c r="C599" s="615" t="inlineStr">
        <is>
          <t>มัลติแบกซ์</t>
        </is>
      </c>
      <c r="D599" s="615" t="inlineStr">
        <is>
          <t>ท่าเรือแหลมฉบัง</t>
        </is>
      </c>
      <c r="E599" s="627" t="n">
        <v>7.1</v>
      </c>
      <c r="F599" s="625" t="inlineStr">
        <is>
          <t>Km</t>
        </is>
      </c>
      <c r="G599" s="625" t="inlineStr">
        <is>
          <t>รถเทรลเลอร์</t>
        </is>
      </c>
      <c r="H599" s="625" t="inlineStr">
        <is>
          <t>UNIVERSITY PARK IL, USA</t>
        </is>
      </c>
      <c r="I599" s="629" t="n">
        <v>13877</v>
      </c>
      <c r="J599" s="628" t="inlineStr">
        <is>
          <t>Km</t>
        </is>
      </c>
      <c r="K599" s="630" t="n">
        <v>3830</v>
      </c>
      <c r="L599" s="640">
        <f>M599-K599</f>
        <v/>
      </c>
      <c r="M599" s="1797" t="n">
        <v>154844</v>
      </c>
      <c r="N599" s="1801" t="n">
        <v>8988</v>
      </c>
      <c r="O599" s="615" t="n">
        <v>0</v>
      </c>
      <c r="P599" s="641" t="n">
        <v>100</v>
      </c>
    </row>
    <row r="600" ht="15.75" customHeight="1">
      <c r="A600" s="658" t="inlineStr">
        <is>
          <t>FO23090024</t>
        </is>
      </c>
      <c r="B600" s="632" t="n">
        <v>45182</v>
      </c>
      <c r="C600" s="633" t="inlineStr">
        <is>
          <t>มัลติแบกซ์</t>
        </is>
      </c>
      <c r="D600" s="633" t="inlineStr">
        <is>
          <t>ท่าเรือแหลมฉบัง</t>
        </is>
      </c>
      <c r="E600" s="634" t="n">
        <v>7.1</v>
      </c>
      <c r="F600" s="631" t="inlineStr">
        <is>
          <t>Km</t>
        </is>
      </c>
      <c r="G600" s="631" t="inlineStr">
        <is>
          <t>รถเทรลเลอร์</t>
        </is>
      </c>
      <c r="H600" s="631" t="inlineStr">
        <is>
          <t>UNIVERSITY PARK IL, USA</t>
        </is>
      </c>
      <c r="I600" s="636" t="n">
        <v>13877</v>
      </c>
      <c r="J600" s="635" t="inlineStr">
        <is>
          <t>Km</t>
        </is>
      </c>
      <c r="K600" s="637" t="n">
        <v>3840</v>
      </c>
      <c r="L600" s="642">
        <f>M600-K600</f>
        <v/>
      </c>
      <c r="M600" s="1799" t="n">
        <v>14029.8</v>
      </c>
      <c r="N600" s="1800" t="n">
        <v>7660</v>
      </c>
      <c r="O600" s="633" t="n">
        <v>0</v>
      </c>
      <c r="P600" s="643" t="n">
        <v>100</v>
      </c>
    </row>
    <row r="601" ht="15.75" customHeight="1">
      <c r="A601" s="657" t="inlineStr">
        <is>
          <t>FO23090025</t>
        </is>
      </c>
      <c r="B601" s="626" t="n">
        <v>45182</v>
      </c>
      <c r="C601" s="615" t="inlineStr">
        <is>
          <t>มัลติแบกซ์</t>
        </is>
      </c>
      <c r="D601" s="615" t="inlineStr">
        <is>
          <t>ท่าเรือแหลมฉบัง</t>
        </is>
      </c>
      <c r="E601" s="627" t="n">
        <v>7.1</v>
      </c>
      <c r="F601" s="625" t="inlineStr">
        <is>
          <t>Km</t>
        </is>
      </c>
      <c r="G601" s="625" t="inlineStr">
        <is>
          <t>รถเทรลเลอร์</t>
        </is>
      </c>
      <c r="H601" s="625" t="inlineStr">
        <is>
          <t>UNIVERSITY PARK IL, USA</t>
        </is>
      </c>
      <c r="I601" s="629" t="n">
        <v>13877</v>
      </c>
      <c r="J601" s="628" t="inlineStr">
        <is>
          <t>Km</t>
        </is>
      </c>
      <c r="K601" s="630" t="n">
        <v>3830</v>
      </c>
      <c r="L601" s="640">
        <f>M601-K601</f>
        <v/>
      </c>
      <c r="M601" s="1797" t="n">
        <v>15844</v>
      </c>
      <c r="N601" s="1801" t="n">
        <v>8988</v>
      </c>
      <c r="O601" s="615" t="n">
        <v>0</v>
      </c>
      <c r="P601" s="641" t="n">
        <v>100</v>
      </c>
    </row>
    <row r="602" ht="15.75" customHeight="1">
      <c r="A602" s="659" t="inlineStr">
        <is>
          <t>FO23090026</t>
        </is>
      </c>
      <c r="B602" s="660" t="n">
        <v>45183</v>
      </c>
      <c r="C602" s="661" t="inlineStr">
        <is>
          <t>มัลติแบกซ์</t>
        </is>
      </c>
      <c r="D602" s="661" t="inlineStr">
        <is>
          <t>ท่าเรือแหลมฉบัง</t>
        </is>
      </c>
      <c r="E602" s="662" t="n">
        <v>7.1</v>
      </c>
      <c r="F602" s="659" t="n"/>
      <c r="G602" s="659" t="inlineStr">
        <is>
          <t>รถเทรลเลอร์</t>
        </is>
      </c>
      <c r="H602" s="659" t="inlineStr">
        <is>
          <t>SOUTH BOSTON VA, USA</t>
        </is>
      </c>
      <c r="I602" s="663" t="n">
        <v>13787</v>
      </c>
      <c r="J602" s="664" t="n"/>
      <c r="K602" s="665" t="n">
        <v>14556</v>
      </c>
      <c r="L602" s="666" t="n">
        <v>3176</v>
      </c>
      <c r="M602" s="1806" t="n">
        <v>17732</v>
      </c>
      <c r="N602" s="1807" t="n">
        <v>14556</v>
      </c>
      <c r="O602" s="661" t="n">
        <v>0</v>
      </c>
      <c r="P602" s="667" t="n">
        <v>100</v>
      </c>
    </row>
    <row r="603" ht="15.75" customHeight="1">
      <c r="A603" s="657" t="inlineStr">
        <is>
          <t>FO23090027</t>
        </is>
      </c>
      <c r="B603" s="626" t="n">
        <v>45189</v>
      </c>
      <c r="C603" s="615" t="inlineStr">
        <is>
          <t>มัลติแบกซ์</t>
        </is>
      </c>
      <c r="D603" s="615" t="inlineStr">
        <is>
          <t>ท่าเรือแหลมฉบัง</t>
        </is>
      </c>
      <c r="E603" s="627" t="n">
        <v>11.9</v>
      </c>
      <c r="F603" s="625" t="inlineStr">
        <is>
          <t>Km</t>
        </is>
      </c>
      <c r="G603" s="625" t="inlineStr">
        <is>
          <t>รถเทรลเลอร์</t>
        </is>
      </c>
      <c r="H603" s="625" t="inlineStr">
        <is>
          <t>MELBOURNE, AUSTRALIA</t>
        </is>
      </c>
      <c r="I603" s="629" t="n">
        <v>7283</v>
      </c>
      <c r="J603" s="628" t="inlineStr">
        <is>
          <t>Km</t>
        </is>
      </c>
      <c r="K603" s="630" t="n">
        <v>3640</v>
      </c>
      <c r="L603" s="640">
        <f>M603-K603</f>
        <v/>
      </c>
      <c r="M603" s="1797" t="n">
        <v>27669.5</v>
      </c>
      <c r="N603" s="1801" t="n">
        <v>19566.2</v>
      </c>
      <c r="O603" s="615" t="n">
        <v>0</v>
      </c>
      <c r="P603" s="641" t="n">
        <v>100</v>
      </c>
    </row>
    <row r="604" ht="15.75" customHeight="1">
      <c r="A604" s="658" t="inlineStr">
        <is>
          <t>FO23090028</t>
        </is>
      </c>
      <c r="B604" s="632" t="n">
        <v>45189</v>
      </c>
      <c r="C604" s="633" t="inlineStr">
        <is>
          <t>มัลติแบกซ์</t>
        </is>
      </c>
      <c r="D604" s="633" t="inlineStr">
        <is>
          <t>ท่าเรือแหลมฉบัง</t>
        </is>
      </c>
      <c r="E604" s="634" t="n">
        <v>11.9</v>
      </c>
      <c r="F604" s="631" t="inlineStr">
        <is>
          <t>Km</t>
        </is>
      </c>
      <c r="G604" s="631" t="inlineStr">
        <is>
          <t>รถเทรลเลอร์</t>
        </is>
      </c>
      <c r="H604" s="631" t="inlineStr">
        <is>
          <t>SYDNEY, AUSTRALIA</t>
        </is>
      </c>
      <c r="I604" s="636" t="n">
        <v>7448</v>
      </c>
      <c r="J604" s="635" t="inlineStr">
        <is>
          <t>Km</t>
        </is>
      </c>
      <c r="K604" s="637" t="n">
        <v>3890</v>
      </c>
      <c r="L604" s="642">
        <f>M604-K604</f>
        <v/>
      </c>
      <c r="M604" s="1799" t="n">
        <v>25367</v>
      </c>
      <c r="N604" s="1800" t="n">
        <v>17318</v>
      </c>
      <c r="O604" s="633" t="n">
        <v>0</v>
      </c>
      <c r="P604" s="643" t="n">
        <v>100</v>
      </c>
    </row>
    <row r="605" ht="15.75" customHeight="1">
      <c r="A605" s="657" t="inlineStr">
        <is>
          <t>FO23090029</t>
        </is>
      </c>
      <c r="B605" s="626" t="n">
        <v>45189</v>
      </c>
      <c r="C605" s="615" t="inlineStr">
        <is>
          <t>มัลติแบกซ์</t>
        </is>
      </c>
      <c r="D605" s="615" t="inlineStr">
        <is>
          <t>ท่าเรือแหลมฉบัง</t>
        </is>
      </c>
      <c r="E605" s="627" t="n">
        <v>11.9</v>
      </c>
      <c r="F605" s="625" t="inlineStr">
        <is>
          <t>Km</t>
        </is>
      </c>
      <c r="G605" s="625" t="inlineStr">
        <is>
          <t>รถเทรลเลอร์</t>
        </is>
      </c>
      <c r="H605" s="625" t="inlineStr">
        <is>
          <t>SYDNEY, AUSTRALIA</t>
        </is>
      </c>
      <c r="I605" s="629" t="n">
        <v>7448</v>
      </c>
      <c r="J605" s="628" t="inlineStr">
        <is>
          <t>Km</t>
        </is>
      </c>
      <c r="K605" s="630" t="n">
        <v>3890</v>
      </c>
      <c r="L605" s="640">
        <f>M605-K605</f>
        <v/>
      </c>
      <c r="M605" s="1797" t="n">
        <v>27872</v>
      </c>
      <c r="N605" s="1801" t="n">
        <v>18607.5</v>
      </c>
      <c r="O605" s="615" t="n">
        <v>0</v>
      </c>
      <c r="P605" s="641" t="n">
        <v>100</v>
      </c>
    </row>
    <row r="606" ht="15.75" customHeight="1">
      <c r="A606" s="658" t="inlineStr">
        <is>
          <t>FO23090030</t>
        </is>
      </c>
      <c r="B606" s="632" t="n">
        <v>45191</v>
      </c>
      <c r="C606" s="633" t="inlineStr">
        <is>
          <t>มัลติแบกซ์</t>
        </is>
      </c>
      <c r="D606" s="633" t="inlineStr">
        <is>
          <t>ท่าเรือแหลมฉบัง</t>
        </is>
      </c>
      <c r="E606" s="634" t="n">
        <v>11.9</v>
      </c>
      <c r="F606" s="631" t="inlineStr">
        <is>
          <t>Km</t>
        </is>
      </c>
      <c r="G606" s="631" t="inlineStr">
        <is>
          <t>รถเทรลเลอร์</t>
        </is>
      </c>
      <c r="H606" s="631" t="inlineStr">
        <is>
          <t>SYDNEY, AUSTRALIA</t>
        </is>
      </c>
      <c r="I606" s="636" t="n">
        <v>7448</v>
      </c>
      <c r="J606" s="635" t="inlineStr">
        <is>
          <t>Km</t>
        </is>
      </c>
      <c r="K606" s="637" t="n">
        <v>3640</v>
      </c>
      <c r="L606" s="642">
        <f>M606-K606</f>
        <v/>
      </c>
      <c r="M606" s="1799" t="n">
        <v>37642</v>
      </c>
      <c r="N606" s="1800" t="n">
        <v>21280</v>
      </c>
      <c r="O606" s="633" t="n">
        <v>0</v>
      </c>
      <c r="P606" s="643" t="n">
        <v>100</v>
      </c>
    </row>
    <row r="607" ht="15.75" customHeight="1">
      <c r="A607" s="657" t="inlineStr">
        <is>
          <t>FO23090031</t>
        </is>
      </c>
      <c r="B607" s="626" t="n">
        <v>45189</v>
      </c>
      <c r="C607" s="615" t="inlineStr">
        <is>
          <t>มัลติแบกซ์</t>
        </is>
      </c>
      <c r="D607" s="615" t="inlineStr">
        <is>
          <t>ท่าเรือแหลมฉบัง</t>
        </is>
      </c>
      <c r="E607" s="627" t="n">
        <v>11.9</v>
      </c>
      <c r="F607" s="625" t="inlineStr">
        <is>
          <t>Km</t>
        </is>
      </c>
      <c r="G607" s="625" t="inlineStr">
        <is>
          <t>รถเทรลเลอร์</t>
        </is>
      </c>
      <c r="H607" s="625" t="inlineStr">
        <is>
          <t>SYDNEY, AUSTRALIA</t>
        </is>
      </c>
      <c r="I607" s="629" t="n">
        <v>7448</v>
      </c>
      <c r="J607" s="628" t="inlineStr">
        <is>
          <t>Km</t>
        </is>
      </c>
      <c r="K607" s="630" t="n">
        <v>3780</v>
      </c>
      <c r="L607" s="640">
        <f>M607-K607</f>
        <v/>
      </c>
      <c r="M607" s="1797" t="n">
        <v>27732</v>
      </c>
      <c r="N607" s="1801" t="n">
        <v>18378</v>
      </c>
      <c r="O607" s="615" t="n">
        <v>0</v>
      </c>
      <c r="P607" s="641" t="n">
        <v>100</v>
      </c>
    </row>
    <row r="608" ht="15.75" customHeight="1">
      <c r="A608" s="658" t="inlineStr">
        <is>
          <t>FO23090032</t>
        </is>
      </c>
      <c r="B608" s="632" t="n">
        <v>45184</v>
      </c>
      <c r="C608" s="633" t="inlineStr">
        <is>
          <t>มัลติแบกซ์</t>
        </is>
      </c>
      <c r="D608" s="633" t="inlineStr">
        <is>
          <t>ท่าเรือแหลมฉบัง</t>
        </is>
      </c>
      <c r="E608" s="634" t="n">
        <v>4.1</v>
      </c>
      <c r="F608" s="631" t="inlineStr">
        <is>
          <t>Km</t>
        </is>
      </c>
      <c r="G608" s="631" t="inlineStr">
        <is>
          <t>รถเทรลเลอร์</t>
        </is>
      </c>
      <c r="H608" s="631" t="inlineStr">
        <is>
          <t>SOUTH BOSTON VA, USA</t>
        </is>
      </c>
      <c r="I608" s="636" t="n">
        <v>13787</v>
      </c>
      <c r="J608" s="635" t="inlineStr">
        <is>
          <t>Km</t>
        </is>
      </c>
      <c r="K608" s="637" t="n">
        <v>7815.5</v>
      </c>
      <c r="L608" s="642">
        <f>M608-K608</f>
        <v/>
      </c>
      <c r="M608" s="1799" t="n">
        <v>11546.5</v>
      </c>
      <c r="N608" s="1800" t="n">
        <v>7815.5</v>
      </c>
      <c r="O608" s="633" t="n">
        <v>0</v>
      </c>
      <c r="P608" s="643" t="n">
        <v>100</v>
      </c>
    </row>
    <row r="609" ht="15.75" customHeight="1">
      <c r="A609" s="657" t="inlineStr">
        <is>
          <t>FO23090033</t>
        </is>
      </c>
      <c r="B609" s="626" t="n">
        <v>45184</v>
      </c>
      <c r="C609" s="615" t="inlineStr">
        <is>
          <t>มัลติแบกซ์</t>
        </is>
      </c>
      <c r="D609" s="615" t="inlineStr">
        <is>
          <t>ท่าเรือแหลมฉบัง</t>
        </is>
      </c>
      <c r="E609" s="627" t="n">
        <v>7.1</v>
      </c>
      <c r="F609" s="625" t="inlineStr">
        <is>
          <t>Km</t>
        </is>
      </c>
      <c r="G609" s="625" t="inlineStr">
        <is>
          <t>รถเทรลเลอร์</t>
        </is>
      </c>
      <c r="H609" s="625" t="inlineStr">
        <is>
          <t>CARROLLTON TX, USA</t>
        </is>
      </c>
      <c r="I609" s="629" t="n">
        <v>14544</v>
      </c>
      <c r="J609" s="628" t="inlineStr">
        <is>
          <t>Km</t>
        </is>
      </c>
      <c r="K609" s="630" t="n">
        <v>3840</v>
      </c>
      <c r="L609" s="640">
        <f>M609-K609</f>
        <v/>
      </c>
      <c r="M609" s="1797" t="n">
        <v>22911.6</v>
      </c>
      <c r="N609" s="1801" t="n">
        <v>15602.4</v>
      </c>
      <c r="O609" s="615" t="n">
        <v>0</v>
      </c>
      <c r="P609" s="641" t="n">
        <v>100</v>
      </c>
    </row>
    <row r="610" ht="15.75" customHeight="1">
      <c r="A610" s="658" t="inlineStr">
        <is>
          <t>FO23090034</t>
        </is>
      </c>
      <c r="B610" s="632" t="n">
        <v>45196</v>
      </c>
      <c r="C610" s="633" t="inlineStr">
        <is>
          <t>มัลติแบกซ์</t>
        </is>
      </c>
      <c r="D610" s="633" t="inlineStr">
        <is>
          <t>ท่าเรือแหลมฉบัง</t>
        </is>
      </c>
      <c r="E610" s="634" t="n">
        <v>6.5</v>
      </c>
      <c r="F610" s="631" t="inlineStr">
        <is>
          <t>Km</t>
        </is>
      </c>
      <c r="G610" s="631" t="inlineStr">
        <is>
          <t>รถเทรลเลอร์</t>
        </is>
      </c>
      <c r="H610" s="631" t="inlineStr">
        <is>
          <t>HELSINGBORG, SWEDEN</t>
        </is>
      </c>
      <c r="I610" s="636" t="n">
        <v>8687</v>
      </c>
      <c r="J610" s="635" t="inlineStr">
        <is>
          <t>Km</t>
        </is>
      </c>
      <c r="K610" s="637" t="n">
        <v>3660</v>
      </c>
      <c r="L610" s="642">
        <f>M610-K610</f>
        <v/>
      </c>
      <c r="M610" s="1799" t="n">
        <v>17377.9</v>
      </c>
      <c r="N610" s="1800" t="n">
        <v>11188.4</v>
      </c>
      <c r="O610" s="633" t="n">
        <v>0</v>
      </c>
      <c r="P610" s="643" t="n">
        <v>100</v>
      </c>
    </row>
    <row r="611" ht="15.75" customHeight="1">
      <c r="A611" s="657" t="inlineStr">
        <is>
          <t>FO23090035</t>
        </is>
      </c>
      <c r="B611" s="626" t="n">
        <v>45197</v>
      </c>
      <c r="C611" s="615" t="inlineStr">
        <is>
          <t>มัลติแบกซ์</t>
        </is>
      </c>
      <c r="D611" s="615" t="inlineStr">
        <is>
          <t>ท่าเรือแหลมฉบัง</t>
        </is>
      </c>
      <c r="E611" s="627" t="n">
        <v>6.5</v>
      </c>
      <c r="F611" s="625" t="inlineStr">
        <is>
          <t>Km</t>
        </is>
      </c>
      <c r="G611" s="625" t="inlineStr">
        <is>
          <t>รถเทรลเลอร์</t>
        </is>
      </c>
      <c r="H611" s="625" t="inlineStr">
        <is>
          <t>ROTTERDAM, NETHERLANDS</t>
        </is>
      </c>
      <c r="I611" s="629" t="n">
        <v>9292</v>
      </c>
      <c r="J611" s="628" t="inlineStr">
        <is>
          <t>Km</t>
        </is>
      </c>
      <c r="K611" s="630" t="n">
        <v>2080</v>
      </c>
      <c r="L611" s="640">
        <f>M611-K611</f>
        <v/>
      </c>
      <c r="M611" s="1797" t="n">
        <v>16885</v>
      </c>
      <c r="N611" s="1801" t="n">
        <v>14226.6</v>
      </c>
      <c r="O611" s="615" t="n">
        <v>0</v>
      </c>
      <c r="P611" s="641" t="n">
        <v>100</v>
      </c>
    </row>
    <row r="612" ht="15.75" customHeight="1">
      <c r="A612" s="658" t="inlineStr">
        <is>
          <t>FO23090036</t>
        </is>
      </c>
      <c r="B612" s="632" t="n">
        <v>45197</v>
      </c>
      <c r="C612" s="633" t="inlineStr">
        <is>
          <t>มัลติแบกซ์</t>
        </is>
      </c>
      <c r="D612" s="633" t="inlineStr">
        <is>
          <t>ท่าเรือแหลมฉบัง</t>
        </is>
      </c>
      <c r="E612" s="634" t="n">
        <v>6.5</v>
      </c>
      <c r="F612" s="631" t="inlineStr">
        <is>
          <t>Km</t>
        </is>
      </c>
      <c r="G612" s="631" t="inlineStr">
        <is>
          <t>รถเทรลเลอร์</t>
        </is>
      </c>
      <c r="H612" s="631" t="inlineStr">
        <is>
          <t>UK PORT</t>
        </is>
      </c>
      <c r="I612" s="636" t="n">
        <v>9687</v>
      </c>
      <c r="J612" s="635" t="inlineStr">
        <is>
          <t>Km</t>
        </is>
      </c>
      <c r="K612" s="637" t="n">
        <v>2190</v>
      </c>
      <c r="L612" s="642">
        <f>M612-K612</f>
        <v/>
      </c>
      <c r="M612" s="1799" t="n">
        <v>6342</v>
      </c>
      <c r="N612" s="1800" t="n">
        <v>3280</v>
      </c>
      <c r="O612" s="633" t="n">
        <v>0</v>
      </c>
      <c r="P612" s="643" t="n">
        <v>100</v>
      </c>
    </row>
    <row r="613" ht="15.75" customHeight="1">
      <c r="A613" s="657" t="inlineStr">
        <is>
          <t>FO23090037</t>
        </is>
      </c>
      <c r="B613" s="626" t="n">
        <v>45189</v>
      </c>
      <c r="C613" s="615" t="inlineStr">
        <is>
          <t>มัลติแบกซ์</t>
        </is>
      </c>
      <c r="D613" s="615" t="inlineStr">
        <is>
          <t>ท่าเรือแหลมฉบัง</t>
        </is>
      </c>
      <c r="E613" s="627" t="n">
        <v>6.2</v>
      </c>
      <c r="F613" s="625" t="inlineStr">
        <is>
          <t>Km</t>
        </is>
      </c>
      <c r="G613" s="625" t="inlineStr">
        <is>
          <t>รถเทรลเลอร์</t>
        </is>
      </c>
      <c r="H613" s="625" t="inlineStr">
        <is>
          <t>SANTA TERESA, NM USA</t>
        </is>
      </c>
      <c r="I613" s="629" t="n">
        <v>17387</v>
      </c>
      <c r="J613" s="628" t="inlineStr">
        <is>
          <t>Km</t>
        </is>
      </c>
      <c r="K613" s="630" t="n">
        <v>3700</v>
      </c>
      <c r="L613" s="640">
        <f>M613-K613</f>
        <v/>
      </c>
      <c r="M613" s="1797" t="n">
        <v>21830.4</v>
      </c>
      <c r="N613" s="1801" t="n">
        <v>15851.52</v>
      </c>
      <c r="O613" s="615" t="n">
        <v>0</v>
      </c>
      <c r="P613" s="641" t="n">
        <v>100</v>
      </c>
    </row>
    <row r="614" ht="15.75" customHeight="1">
      <c r="A614" s="658" t="inlineStr">
        <is>
          <t>FO23090038</t>
        </is>
      </c>
      <c r="B614" s="632" t="n">
        <v>45187</v>
      </c>
      <c r="C614" s="633" t="inlineStr">
        <is>
          <t>มัลติแบกซ์</t>
        </is>
      </c>
      <c r="D614" s="633" t="inlineStr">
        <is>
          <t>ท่าเรือแหลมฉบัง</t>
        </is>
      </c>
      <c r="E614" s="634" t="n">
        <v>7.1</v>
      </c>
      <c r="F614" s="631" t="inlineStr">
        <is>
          <t>Km</t>
        </is>
      </c>
      <c r="G614" s="631" t="inlineStr">
        <is>
          <t>รถเทรลเลอร์</t>
        </is>
      </c>
      <c r="H614" s="631" t="inlineStr">
        <is>
          <t>APPLETON WI , USA</t>
        </is>
      </c>
      <c r="I614" s="636" t="n">
        <v>13558</v>
      </c>
      <c r="J614" s="635" t="inlineStr">
        <is>
          <t>Km</t>
        </is>
      </c>
      <c r="K614" s="637" t="n">
        <v>3780</v>
      </c>
      <c r="L614" s="642">
        <f>M614-K614</f>
        <v/>
      </c>
      <c r="M614" s="1799" t="n">
        <v>18655.2</v>
      </c>
      <c r="N614" s="1800" t="n">
        <v>12262.6</v>
      </c>
      <c r="O614" s="633" t="n">
        <v>0</v>
      </c>
      <c r="P614" s="643" t="n">
        <v>100</v>
      </c>
    </row>
    <row r="615" ht="15.75" customHeight="1">
      <c r="A615" s="657" t="inlineStr">
        <is>
          <t>FO23090039</t>
        </is>
      </c>
      <c r="B615" s="626" t="n">
        <v>45190</v>
      </c>
      <c r="C615" s="615" t="inlineStr">
        <is>
          <t>มัลติแบกซ์</t>
        </is>
      </c>
      <c r="D615" s="615" t="inlineStr">
        <is>
          <t>ท่าเรือแหลมฉบัง</t>
        </is>
      </c>
      <c r="E615" s="627" t="n">
        <v>6.5</v>
      </c>
      <c r="F615" s="625" t="inlineStr">
        <is>
          <t>Km</t>
        </is>
      </c>
      <c r="G615" s="625" t="inlineStr">
        <is>
          <t>รถเทรลเลอร์</t>
        </is>
      </c>
      <c r="H615" s="625" t="inlineStr">
        <is>
          <t>PERRIS CA, USA</t>
        </is>
      </c>
      <c r="I615" s="629" t="n">
        <v>13413</v>
      </c>
      <c r="J615" s="628" t="inlineStr">
        <is>
          <t>Km</t>
        </is>
      </c>
      <c r="K615" s="630" t="n">
        <v>3820</v>
      </c>
      <c r="L615" s="640">
        <f>M615-K615</f>
        <v/>
      </c>
      <c r="M615" s="1797" t="n">
        <v>17922</v>
      </c>
      <c r="N615" s="1801" t="n">
        <v>11242</v>
      </c>
      <c r="O615" s="615" t="n">
        <v>0</v>
      </c>
      <c r="P615" s="641" t="n">
        <v>100</v>
      </c>
    </row>
    <row r="616" ht="15.75" customHeight="1">
      <c r="A616" s="658" t="inlineStr">
        <is>
          <t>FO23090040</t>
        </is>
      </c>
      <c r="B616" s="632" t="n">
        <v>45190</v>
      </c>
      <c r="C616" s="633" t="inlineStr">
        <is>
          <t>มัลติแบกซ์</t>
        </is>
      </c>
      <c r="D616" s="633" t="inlineStr">
        <is>
          <t>ท่าเรือแหลมฉบัง</t>
        </is>
      </c>
      <c r="E616" s="634" t="n">
        <v>6</v>
      </c>
      <c r="F616" s="631" t="inlineStr">
        <is>
          <t>Km</t>
        </is>
      </c>
      <c r="G616" s="631" t="inlineStr">
        <is>
          <t>รถเทรลเลอร์</t>
        </is>
      </c>
      <c r="H616" s="631" t="inlineStr">
        <is>
          <t>COLUMBUS OHIO, USA</t>
        </is>
      </c>
      <c r="I616" s="636" t="n">
        <v>14000</v>
      </c>
      <c r="J616" s="635" t="inlineStr">
        <is>
          <t>Km</t>
        </is>
      </c>
      <c r="K616" s="637" t="n">
        <v>3900</v>
      </c>
      <c r="L616" s="642">
        <f>M616-K616</f>
        <v/>
      </c>
      <c r="M616" s="1799" t="n">
        <v>20535.46</v>
      </c>
      <c r="N616" s="1800" t="n">
        <v>14384.18</v>
      </c>
      <c r="O616" s="633" t="n">
        <v>0</v>
      </c>
      <c r="P616" s="643" t="n">
        <v>100</v>
      </c>
    </row>
    <row r="617" ht="15.75" customHeight="1">
      <c r="A617" s="657" t="inlineStr">
        <is>
          <t>FO23090041</t>
        </is>
      </c>
      <c r="B617" s="626" t="n">
        <v>45190</v>
      </c>
      <c r="C617" s="615" t="inlineStr">
        <is>
          <t>มัลติแบกซ์</t>
        </is>
      </c>
      <c r="D617" s="615" t="inlineStr">
        <is>
          <t>ท่าเรือแหลมฉบัง</t>
        </is>
      </c>
      <c r="E617" s="627" t="n">
        <v>6</v>
      </c>
      <c r="F617" s="625" t="inlineStr">
        <is>
          <t>Km</t>
        </is>
      </c>
      <c r="G617" s="625" t="inlineStr">
        <is>
          <t>รถเทรลเลอร์</t>
        </is>
      </c>
      <c r="H617" s="625" t="inlineStr">
        <is>
          <t>COLUMBUS OHIO, USA</t>
        </is>
      </c>
      <c r="I617" s="629" t="n">
        <v>14000</v>
      </c>
      <c r="J617" s="628" t="inlineStr">
        <is>
          <t>Km</t>
        </is>
      </c>
      <c r="K617" s="630" t="n">
        <v>3830</v>
      </c>
      <c r="L617" s="640">
        <f>M617-K617</f>
        <v/>
      </c>
      <c r="M617" s="1797" t="n">
        <v>21655.22</v>
      </c>
      <c r="N617" s="1801" t="n">
        <v>15572.34</v>
      </c>
      <c r="O617" s="615" t="n">
        <v>0</v>
      </c>
      <c r="P617" s="641" t="n">
        <v>100</v>
      </c>
    </row>
    <row r="618" ht="15.75" customHeight="1">
      <c r="A618" s="658" t="inlineStr">
        <is>
          <t>FO23090042</t>
        </is>
      </c>
      <c r="B618" s="632" t="n">
        <v>45190</v>
      </c>
      <c r="C618" s="633" t="inlineStr">
        <is>
          <t>มัลติแบกซ์</t>
        </is>
      </c>
      <c r="D618" s="633" t="inlineStr">
        <is>
          <t>ท่าเรือแหลมฉบัง</t>
        </is>
      </c>
      <c r="E618" s="634" t="n">
        <v>6</v>
      </c>
      <c r="F618" s="631" t="inlineStr">
        <is>
          <t>Km</t>
        </is>
      </c>
      <c r="G618" s="631" t="inlineStr">
        <is>
          <t>รถเทรลเลอร์</t>
        </is>
      </c>
      <c r="H618" s="631" t="inlineStr">
        <is>
          <t>COLUMBUS OHIO, USA</t>
        </is>
      </c>
      <c r="I618" s="636" t="n">
        <v>14000</v>
      </c>
      <c r="J618" s="635" t="inlineStr">
        <is>
          <t>Km</t>
        </is>
      </c>
      <c r="K618" s="637" t="n">
        <v>3820</v>
      </c>
      <c r="L618" s="642">
        <f>M618-K618</f>
        <v/>
      </c>
      <c r="M618" s="1799" t="n">
        <v>22109.38</v>
      </c>
      <c r="N618" s="1800" t="n">
        <v>16058.02</v>
      </c>
      <c r="O618" s="633" t="n">
        <v>0</v>
      </c>
      <c r="P618" s="643" t="n">
        <v>100</v>
      </c>
    </row>
    <row r="619" ht="15.75" customHeight="1">
      <c r="A619" s="657" t="inlineStr">
        <is>
          <t>FO23090043</t>
        </is>
      </c>
      <c r="B619" s="626" t="n">
        <v>45194</v>
      </c>
      <c r="C619" s="615" t="inlineStr">
        <is>
          <t>มัลติแบกซ์</t>
        </is>
      </c>
      <c r="D619" s="615" t="inlineStr">
        <is>
          <t>ท่าเรือแหลมฉบัง</t>
        </is>
      </c>
      <c r="E619" s="627" t="n">
        <v>11.9</v>
      </c>
      <c r="F619" s="625" t="inlineStr">
        <is>
          <t>Km</t>
        </is>
      </c>
      <c r="G619" s="625" t="inlineStr">
        <is>
          <t>รถเทรลเลอร์</t>
        </is>
      </c>
      <c r="H619" s="625" t="inlineStr">
        <is>
          <t>GUANGZHOU, CHINA</t>
        </is>
      </c>
      <c r="I619" s="629" t="n">
        <v>2597</v>
      </c>
      <c r="J619" s="628" t="inlineStr">
        <is>
          <t>Km</t>
        </is>
      </c>
      <c r="K619" s="630" t="n">
        <v>2100</v>
      </c>
      <c r="L619" s="640">
        <f>M619-K619</f>
        <v/>
      </c>
      <c r="M619" s="1797" t="n">
        <v>8271</v>
      </c>
      <c r="N619" s="1801" t="n">
        <v>5029</v>
      </c>
      <c r="O619" s="615" t="n">
        <v>0</v>
      </c>
      <c r="P619" s="641" t="n">
        <v>100</v>
      </c>
    </row>
    <row r="620" ht="15.75" customHeight="1">
      <c r="A620" s="658" t="inlineStr">
        <is>
          <t>FO23090044</t>
        </is>
      </c>
      <c r="B620" s="632" t="n">
        <v>45188</v>
      </c>
      <c r="C620" s="633" t="inlineStr">
        <is>
          <t>มัลติแบกซ์</t>
        </is>
      </c>
      <c r="D620" s="633" t="inlineStr">
        <is>
          <t>ท่าเรือแหลมฉบัง</t>
        </is>
      </c>
      <c r="E620" s="634" t="n">
        <v>7.1</v>
      </c>
      <c r="F620" s="631" t="inlineStr">
        <is>
          <t>Km</t>
        </is>
      </c>
      <c r="G620" s="631" t="inlineStr">
        <is>
          <t>รถเทรลเลอร์</t>
        </is>
      </c>
      <c r="H620" s="631" t="inlineStr">
        <is>
          <t>UNIVERSITY PARK IL, USA</t>
        </is>
      </c>
      <c r="I620" s="636" t="n">
        <v>13877</v>
      </c>
      <c r="J620" s="635" t="inlineStr">
        <is>
          <t>Km</t>
        </is>
      </c>
      <c r="K620" s="637" t="n">
        <v>3840</v>
      </c>
      <c r="L620" s="642">
        <f>M620-K620</f>
        <v/>
      </c>
      <c r="M620" s="1799" t="n">
        <v>23439.5</v>
      </c>
      <c r="N620" s="1800" t="n">
        <v>15795</v>
      </c>
      <c r="O620" s="633" t="n">
        <v>0</v>
      </c>
      <c r="P620" s="643" t="n">
        <v>100</v>
      </c>
    </row>
    <row r="621" ht="15.75" customHeight="1">
      <c r="A621" s="657" t="inlineStr">
        <is>
          <t>FO23090045</t>
        </is>
      </c>
      <c r="B621" s="626" t="n">
        <v>45188</v>
      </c>
      <c r="C621" s="615" t="inlineStr">
        <is>
          <t>มัลติแบกซ์</t>
        </is>
      </c>
      <c r="D621" s="615" t="inlineStr">
        <is>
          <t>ท่าเรือแหลมฉบัง</t>
        </is>
      </c>
      <c r="E621" s="627" t="n">
        <v>7.1</v>
      </c>
      <c r="F621" s="625" t="inlineStr">
        <is>
          <t>Km</t>
        </is>
      </c>
      <c r="G621" s="625" t="inlineStr">
        <is>
          <t>รถเทรลเลอร์</t>
        </is>
      </c>
      <c r="H621" s="625" t="inlineStr">
        <is>
          <t>UNIVERSITY PARK IL, USA</t>
        </is>
      </c>
      <c r="I621" s="629" t="n">
        <v>13877</v>
      </c>
      <c r="J621" s="628" t="inlineStr">
        <is>
          <t>Km</t>
        </is>
      </c>
      <c r="K621" s="630" t="n">
        <v>3830</v>
      </c>
      <c r="L621" s="640">
        <f>M621-K621</f>
        <v/>
      </c>
      <c r="M621" s="1797" t="n">
        <v>13604.2</v>
      </c>
      <c r="N621" s="1801" t="n">
        <v>6917.4</v>
      </c>
      <c r="O621" s="615" t="n">
        <v>0</v>
      </c>
      <c r="P621" s="641" t="n">
        <v>100</v>
      </c>
    </row>
    <row r="622" ht="15.75" customHeight="1">
      <c r="A622" s="658" t="inlineStr">
        <is>
          <t>FO23090046</t>
        </is>
      </c>
      <c r="B622" s="632" t="n">
        <v>45188</v>
      </c>
      <c r="C622" s="633" t="inlineStr">
        <is>
          <t>มัลติแบกซ์</t>
        </is>
      </c>
      <c r="D622" s="633" t="inlineStr">
        <is>
          <t>ท่าเรือแหลมฉบัง</t>
        </is>
      </c>
      <c r="E622" s="634" t="n">
        <v>7.1</v>
      </c>
      <c r="F622" s="631" t="inlineStr">
        <is>
          <t>Km</t>
        </is>
      </c>
      <c r="G622" s="631" t="inlineStr">
        <is>
          <t>รถเทรลเลอร์</t>
        </is>
      </c>
      <c r="H622" s="631" t="inlineStr">
        <is>
          <t>UNIVERSITY PARK IL, USA</t>
        </is>
      </c>
      <c r="I622" s="636" t="n">
        <v>13877</v>
      </c>
      <c r="J622" s="635" t="inlineStr">
        <is>
          <t>Km</t>
        </is>
      </c>
      <c r="K622" s="637" t="n">
        <v>3700</v>
      </c>
      <c r="L622" s="642">
        <f>M622-K622</f>
        <v/>
      </c>
      <c r="M622" s="1799" t="n">
        <v>15714</v>
      </c>
      <c r="N622" s="1800" t="n">
        <v>8988</v>
      </c>
      <c r="O622" s="633" t="n">
        <v>0</v>
      </c>
      <c r="P622" s="643" t="n">
        <v>100</v>
      </c>
    </row>
    <row r="623" ht="15.75" customHeight="1">
      <c r="A623" s="657" t="inlineStr">
        <is>
          <t>FO23090047</t>
        </is>
      </c>
      <c r="B623" s="626" t="n">
        <v>45191</v>
      </c>
      <c r="C623" s="615" t="inlineStr">
        <is>
          <t>มัลติแบกซ์</t>
        </is>
      </c>
      <c r="D623" s="615" t="inlineStr">
        <is>
          <t>ท่าเรือแหลมฉบัง</t>
        </is>
      </c>
      <c r="E623" s="627" t="n">
        <v>7.1</v>
      </c>
      <c r="F623" s="625" t="inlineStr">
        <is>
          <t>Km</t>
        </is>
      </c>
      <c r="G623" s="625" t="inlineStr">
        <is>
          <t>รถเทรลเลอร์</t>
        </is>
      </c>
      <c r="H623" s="625" t="inlineStr">
        <is>
          <t>UNIVERSITY PARK IL, USA</t>
        </is>
      </c>
      <c r="I623" s="629" t="n">
        <v>13877</v>
      </c>
      <c r="J623" s="628" t="inlineStr">
        <is>
          <t>Km</t>
        </is>
      </c>
      <c r="K623" s="630" t="n">
        <v>3830</v>
      </c>
      <c r="L623" s="640">
        <f>M623-K623</f>
        <v/>
      </c>
      <c r="M623" s="1797" t="n">
        <v>15844</v>
      </c>
      <c r="N623" s="1801" t="n">
        <v>8988</v>
      </c>
      <c r="O623" s="615" t="n">
        <v>0</v>
      </c>
      <c r="P623" s="641" t="n">
        <v>100</v>
      </c>
    </row>
    <row r="624" ht="15.75" customHeight="1">
      <c r="A624" s="658" t="inlineStr">
        <is>
          <t>FO23090048</t>
        </is>
      </c>
      <c r="B624" s="632" t="n">
        <v>45190</v>
      </c>
      <c r="C624" s="633" t="inlineStr">
        <is>
          <t>มัลติแบกซ์</t>
        </is>
      </c>
      <c r="D624" s="633" t="inlineStr">
        <is>
          <t>ท่าเรือแหลมฉบัง</t>
        </is>
      </c>
      <c r="E624" s="634" t="n">
        <v>7.1</v>
      </c>
      <c r="F624" s="631" t="inlineStr">
        <is>
          <t>Km</t>
        </is>
      </c>
      <c r="G624" s="631" t="inlineStr">
        <is>
          <t>รถเทรลเลอร์</t>
        </is>
      </c>
      <c r="H624" s="631" t="inlineStr">
        <is>
          <t>KLANG, MALAYSIA</t>
        </is>
      </c>
      <c r="I624" s="636" t="n">
        <v>1588</v>
      </c>
      <c r="J624" s="635" t="inlineStr">
        <is>
          <t>Km</t>
        </is>
      </c>
      <c r="K624" s="637" t="n">
        <v>2180</v>
      </c>
      <c r="L624" s="642">
        <f>M624-K624</f>
        <v/>
      </c>
      <c r="M624" s="1799" t="n">
        <v>6205.72</v>
      </c>
      <c r="N624" s="1800" t="n">
        <v>2998.74</v>
      </c>
      <c r="O624" s="633" t="n">
        <v>0</v>
      </c>
      <c r="P624" s="643" t="n">
        <v>100</v>
      </c>
    </row>
    <row r="625" ht="15.75" customHeight="1">
      <c r="A625" s="657" t="inlineStr">
        <is>
          <t>FO23090049</t>
        </is>
      </c>
      <c r="B625" s="626" t="n">
        <v>45189</v>
      </c>
      <c r="C625" s="615" t="inlineStr">
        <is>
          <t>มัลติแบกซ์</t>
        </is>
      </c>
      <c r="D625" s="615" t="inlineStr">
        <is>
          <t>ท่าเรือแหลมฉบัง</t>
        </is>
      </c>
      <c r="E625" s="627" t="n">
        <v>6.5</v>
      </c>
      <c r="F625" s="625" t="inlineStr">
        <is>
          <t>Km</t>
        </is>
      </c>
      <c r="G625" s="625" t="inlineStr">
        <is>
          <t>รถเทรลเลอร์</t>
        </is>
      </c>
      <c r="H625" s="625" t="inlineStr">
        <is>
          <t>LOUISVILLE KY, USA</t>
        </is>
      </c>
      <c r="I625" s="629" t="n">
        <v>14253</v>
      </c>
      <c r="J625" s="628" t="inlineStr">
        <is>
          <t>Km</t>
        </is>
      </c>
      <c r="K625" s="630" t="n">
        <v>3700</v>
      </c>
      <c r="L625" s="640">
        <f>M625-K625</f>
        <v/>
      </c>
      <c r="M625" s="1797" t="n">
        <v>15255.03</v>
      </c>
      <c r="N625" s="1801" t="n">
        <v>8234.73</v>
      </c>
      <c r="O625" s="615" t="n">
        <v>0</v>
      </c>
      <c r="P625" s="641" t="n">
        <v>100</v>
      </c>
    </row>
    <row r="626" ht="15.75" customHeight="1">
      <c r="A626" s="658" t="inlineStr">
        <is>
          <t>FO23090050</t>
        </is>
      </c>
      <c r="B626" s="632" t="n">
        <v>45189</v>
      </c>
      <c r="C626" s="633" t="inlineStr">
        <is>
          <t>มัลติแบกซ์</t>
        </is>
      </c>
      <c r="D626" s="633" t="inlineStr">
        <is>
          <t>ท่าเรือแหลมฉบัง</t>
        </is>
      </c>
      <c r="E626" s="634" t="n">
        <v>6.5</v>
      </c>
      <c r="F626" s="631" t="inlineStr">
        <is>
          <t>Km</t>
        </is>
      </c>
      <c r="G626" s="631" t="inlineStr">
        <is>
          <t>รถเทรลเลอร์</t>
        </is>
      </c>
      <c r="H626" s="631" t="inlineStr">
        <is>
          <t>SOUTH BOSTON VA, USA</t>
        </is>
      </c>
      <c r="I626" s="636" t="n">
        <v>13787</v>
      </c>
      <c r="J626" s="635" t="inlineStr">
        <is>
          <t>Km</t>
        </is>
      </c>
      <c r="K626" s="637" t="n">
        <v>8943.5</v>
      </c>
      <c r="L626" s="642">
        <f>M626-K626</f>
        <v/>
      </c>
      <c r="M626" s="1799" t="n">
        <v>12218.5</v>
      </c>
      <c r="N626" s="1800" t="n">
        <v>8943.5</v>
      </c>
      <c r="O626" s="633" t="n">
        <v>0</v>
      </c>
      <c r="P626" s="643" t="n">
        <v>100</v>
      </c>
    </row>
    <row r="627" ht="15.75" customHeight="1">
      <c r="A627" s="385" t="inlineStr">
        <is>
          <t>FO23090051</t>
        </is>
      </c>
      <c r="B627" s="649" t="n">
        <v>45202</v>
      </c>
      <c r="C627" s="309" t="inlineStr">
        <is>
          <t>มัลติแบกซ์</t>
        </is>
      </c>
      <c r="D627" s="309" t="inlineStr">
        <is>
          <t>ท่าเรือแหลมฉบัง</t>
        </is>
      </c>
      <c r="E627" s="652" t="n">
        <v>5.8</v>
      </c>
      <c r="F627" s="385" t="inlineStr">
        <is>
          <t>Km</t>
        </is>
      </c>
      <c r="G627" s="385" t="inlineStr">
        <is>
          <t>รถเทรลเลอร์</t>
        </is>
      </c>
      <c r="H627" s="385" t="inlineStr">
        <is>
          <t>AUCKLAND, NEW ZEALAND</t>
        </is>
      </c>
      <c r="I627" s="650" t="n">
        <v>9486</v>
      </c>
      <c r="J627" s="228" t="inlineStr">
        <is>
          <t>Km</t>
        </is>
      </c>
      <c r="K627" s="653" t="n">
        <v>3770</v>
      </c>
      <c r="L627" s="654" t="n">
        <v>16726.45</v>
      </c>
      <c r="M627" s="1804" t="n">
        <v>20496.45</v>
      </c>
      <c r="N627" s="1805" t="n">
        <v>13407.1</v>
      </c>
      <c r="O627" s="309" t="n">
        <v>0</v>
      </c>
      <c r="P627" s="655" t="n">
        <v>100</v>
      </c>
    </row>
    <row r="628" ht="15.75" customHeight="1">
      <c r="A628" s="668" t="inlineStr">
        <is>
          <t>FO23090052</t>
        </is>
      </c>
      <c r="B628" s="649" t="n">
        <v>45189</v>
      </c>
      <c r="C628" s="309" t="inlineStr">
        <is>
          <t>มัลติแบกซ์</t>
        </is>
      </c>
      <c r="D628" s="309" t="inlineStr">
        <is>
          <t>ท่าเรือแหลมฉบัง</t>
        </is>
      </c>
      <c r="E628" s="652" t="n">
        <v>6.2</v>
      </c>
      <c r="F628" s="385" t="inlineStr">
        <is>
          <t>Km</t>
        </is>
      </c>
      <c r="G628" s="385" t="inlineStr">
        <is>
          <t>รถเทรลเลอร์</t>
        </is>
      </c>
      <c r="H628" s="385" t="inlineStr">
        <is>
          <t>CARROLLTON TX, USA</t>
        </is>
      </c>
      <c r="I628" s="650" t="n">
        <v>14544</v>
      </c>
      <c r="J628" s="228" t="inlineStr">
        <is>
          <t>Km</t>
        </is>
      </c>
      <c r="K628" s="653" t="n">
        <v>3840</v>
      </c>
      <c r="L628" s="654">
        <f>M628-K628</f>
        <v/>
      </c>
      <c r="M628" s="1804" t="n">
        <v>17626</v>
      </c>
      <c r="N628" s="1805" t="n">
        <v>11230</v>
      </c>
      <c r="O628" s="309" t="n">
        <v>0</v>
      </c>
      <c r="P628" s="655" t="n">
        <v>100</v>
      </c>
    </row>
    <row r="629" ht="15.75" customHeight="1">
      <c r="A629" s="385" t="inlineStr">
        <is>
          <t>FO23090053</t>
        </is>
      </c>
      <c r="B629" s="649" t="n">
        <v>45202</v>
      </c>
      <c r="C629" s="309" t="inlineStr">
        <is>
          <t>มัลติแบกซ์</t>
        </is>
      </c>
      <c r="D629" s="309" t="inlineStr">
        <is>
          <t>ท่าเรือแหลมฉบัง</t>
        </is>
      </c>
      <c r="E629" s="652" t="n">
        <v>5.8</v>
      </c>
      <c r="F629" s="385" t="inlineStr">
        <is>
          <t>Km</t>
        </is>
      </c>
      <c r="G629" s="385" t="inlineStr">
        <is>
          <t>รถเทรลเลอร์</t>
        </is>
      </c>
      <c r="H629" s="385" t="inlineStr">
        <is>
          <t>AUCKLAND, NEW ZEALAND</t>
        </is>
      </c>
      <c r="I629" s="650" t="n">
        <v>9486</v>
      </c>
      <c r="J629" s="228" t="inlineStr">
        <is>
          <t>Km</t>
        </is>
      </c>
      <c r="K629" s="653" t="n">
        <v>3840</v>
      </c>
      <c r="L629" s="654" t="n">
        <v>15770.55</v>
      </c>
      <c r="M629" s="1804" t="n">
        <v>19610.55</v>
      </c>
      <c r="N629" s="1805" t="n">
        <v>10973.5</v>
      </c>
      <c r="O629" s="309" t="n">
        <v>0</v>
      </c>
      <c r="P629" s="655" t="n">
        <v>100</v>
      </c>
    </row>
    <row r="630" ht="15.75" customHeight="1">
      <c r="A630" s="658" t="inlineStr">
        <is>
          <t>FO23090054</t>
        </is>
      </c>
      <c r="B630" s="632" t="n">
        <v>45189</v>
      </c>
      <c r="C630" s="633" t="inlineStr">
        <is>
          <t>มัลติแบกซ์</t>
        </is>
      </c>
      <c r="D630" s="633" t="inlineStr">
        <is>
          <t>ท่าเรือแหลมฉบัง</t>
        </is>
      </c>
      <c r="E630" s="634" t="n">
        <v>7.5</v>
      </c>
      <c r="F630" s="631" t="inlineStr">
        <is>
          <t>Km</t>
        </is>
      </c>
      <c r="G630" s="631" t="inlineStr">
        <is>
          <t>รถเทรลเลอร์</t>
        </is>
      </c>
      <c r="H630" s="631" t="inlineStr">
        <is>
          <t>KLANG, MALAYSIA</t>
        </is>
      </c>
      <c r="I630" s="636" t="n">
        <v>1588</v>
      </c>
      <c r="J630" s="635" t="inlineStr">
        <is>
          <t>Km</t>
        </is>
      </c>
      <c r="K630" s="637" t="n">
        <v>2120</v>
      </c>
      <c r="L630" s="642">
        <f>M630-K630</f>
        <v/>
      </c>
      <c r="M630" s="1799" t="n">
        <v>6114.9</v>
      </c>
      <c r="N630" s="1800" t="n">
        <v>2748.9</v>
      </c>
      <c r="O630" s="633" t="n">
        <v>0</v>
      </c>
      <c r="P630" s="643" t="n">
        <v>100</v>
      </c>
    </row>
    <row r="631" ht="15.75" customHeight="1">
      <c r="A631" s="657" t="inlineStr">
        <is>
          <t>FO23090055</t>
        </is>
      </c>
      <c r="B631" s="626" t="n">
        <v>45197</v>
      </c>
      <c r="C631" s="615" t="inlineStr">
        <is>
          <t>มัลติแบกซ์</t>
        </is>
      </c>
      <c r="D631" s="615" t="inlineStr">
        <is>
          <t>ท่าเรือแหลมฉบัง</t>
        </is>
      </c>
      <c r="E631" s="627" t="n">
        <v>11.9</v>
      </c>
      <c r="F631" s="625" t="inlineStr">
        <is>
          <t>Km</t>
        </is>
      </c>
      <c r="G631" s="625" t="inlineStr">
        <is>
          <t>รถเทรลเลอร์</t>
        </is>
      </c>
      <c r="H631" s="625" t="inlineStr">
        <is>
          <t>SAN JUAN, PUERTO RICO</t>
        </is>
      </c>
      <c r="I631" s="629" t="n">
        <v>9292</v>
      </c>
      <c r="J631" s="628" t="inlineStr">
        <is>
          <t>Km</t>
        </is>
      </c>
      <c r="K631" s="630" t="n">
        <v>3750</v>
      </c>
      <c r="L631" s="640">
        <f>M631-K631</f>
        <v/>
      </c>
      <c r="M631" s="1797" t="n">
        <v>15168</v>
      </c>
      <c r="N631" s="1801" t="n">
        <v>7386</v>
      </c>
      <c r="O631" s="615" t="n">
        <v>0</v>
      </c>
      <c r="P631" s="641" t="n">
        <v>100</v>
      </c>
    </row>
    <row r="632" ht="15.75" customHeight="1">
      <c r="A632" s="658" t="inlineStr">
        <is>
          <t>FO23090056</t>
        </is>
      </c>
      <c r="B632" s="632" t="n">
        <v>45194</v>
      </c>
      <c r="C632" s="633" t="inlineStr">
        <is>
          <t>มัลติแบกซ์</t>
        </is>
      </c>
      <c r="D632" s="633" t="inlineStr">
        <is>
          <t>ท่าเรือแหลมฉบัง</t>
        </is>
      </c>
      <c r="E632" s="634" t="n">
        <v>11.9</v>
      </c>
      <c r="F632" s="631" t="inlineStr">
        <is>
          <t>Km</t>
        </is>
      </c>
      <c r="G632" s="631" t="inlineStr">
        <is>
          <t>รถเทรลเลอร์</t>
        </is>
      </c>
      <c r="H632" s="631" t="inlineStr">
        <is>
          <t>HONG KONG</t>
        </is>
      </c>
      <c r="I632" s="636" t="n">
        <v>1734</v>
      </c>
      <c r="J632" s="635" t="inlineStr">
        <is>
          <t>Km</t>
        </is>
      </c>
      <c r="K632" s="637" t="n">
        <v>3600</v>
      </c>
      <c r="L632" s="642">
        <f>M632-K632</f>
        <v/>
      </c>
      <c r="M632" s="1799" t="n">
        <v>15998.5</v>
      </c>
      <c r="N632" s="1800" t="n">
        <v>9594</v>
      </c>
      <c r="O632" s="633" t="n">
        <v>0</v>
      </c>
      <c r="P632" s="643" t="n">
        <v>100</v>
      </c>
    </row>
    <row r="633" ht="15.75" customHeight="1">
      <c r="A633" s="657" t="inlineStr">
        <is>
          <t>FO23090057</t>
        </is>
      </c>
      <c r="B633" s="626" t="n">
        <v>45195</v>
      </c>
      <c r="C633" s="615" t="inlineStr">
        <is>
          <t>มัลติแบกซ์</t>
        </is>
      </c>
      <c r="D633" s="615" t="inlineStr">
        <is>
          <t>ท่าเรือแหลมฉบัง</t>
        </is>
      </c>
      <c r="E633" s="627" t="n">
        <v>7.5</v>
      </c>
      <c r="F633" s="625" t="inlineStr">
        <is>
          <t>Km</t>
        </is>
      </c>
      <c r="G633" s="625" t="inlineStr">
        <is>
          <t>รถเทรลเลอร์</t>
        </is>
      </c>
      <c r="H633" s="625" t="inlineStr">
        <is>
          <t>SINGAPORE</t>
        </is>
      </c>
      <c r="I633" s="629" t="n">
        <v>1931</v>
      </c>
      <c r="J633" s="628" t="inlineStr">
        <is>
          <t>Km</t>
        </is>
      </c>
      <c r="K633" s="630" t="n">
        <v>5214</v>
      </c>
      <c r="L633" s="640">
        <f>M633-K633</f>
        <v/>
      </c>
      <c r="M633" s="1797" t="n">
        <v>6126</v>
      </c>
      <c r="N633" s="1801" t="n">
        <v>5214</v>
      </c>
      <c r="O633" s="615" t="n">
        <v>0</v>
      </c>
      <c r="P633" s="641" t="n">
        <v>100</v>
      </c>
    </row>
    <row r="634" ht="15.75" customHeight="1">
      <c r="A634" s="658" t="inlineStr">
        <is>
          <t>FO23090058</t>
        </is>
      </c>
      <c r="B634" s="632" t="n">
        <v>45195</v>
      </c>
      <c r="C634" s="633" t="inlineStr">
        <is>
          <t>มัลติแบกซ์</t>
        </is>
      </c>
      <c r="D634" s="633" t="inlineStr">
        <is>
          <t>ท่าเรือแหลมฉบัง</t>
        </is>
      </c>
      <c r="E634" s="634" t="n">
        <v>11.9</v>
      </c>
      <c r="F634" s="631" t="inlineStr">
        <is>
          <t>Km</t>
        </is>
      </c>
      <c r="G634" s="631" t="inlineStr">
        <is>
          <t>รถเทรลเลอร์</t>
        </is>
      </c>
      <c r="H634" s="631" t="inlineStr">
        <is>
          <t>SHUWAIKH, KUWAIT</t>
        </is>
      </c>
      <c r="I634" s="636" t="n">
        <v>5727</v>
      </c>
      <c r="J634" s="635" t="inlineStr">
        <is>
          <t>Km</t>
        </is>
      </c>
      <c r="K634" s="637" t="n">
        <v>2280</v>
      </c>
      <c r="L634" s="642">
        <f>M634-K634</f>
        <v/>
      </c>
      <c r="M634" s="1799" t="n">
        <v>9036.780000000001</v>
      </c>
      <c r="N634" s="1800" t="n">
        <v>5815.21</v>
      </c>
      <c r="O634" s="633" t="n">
        <v>0</v>
      </c>
      <c r="P634" s="643" t="n">
        <v>100</v>
      </c>
    </row>
    <row r="635" ht="15.75" customHeight="1">
      <c r="A635" s="657" t="inlineStr">
        <is>
          <t>FO23090059</t>
        </is>
      </c>
      <c r="B635" s="626" t="n">
        <v>45195</v>
      </c>
      <c r="C635" s="615" t="inlineStr">
        <is>
          <t>มัลติแบกซ์</t>
        </is>
      </c>
      <c r="D635" s="615" t="inlineStr">
        <is>
          <t>ท่าเรือแหลมฉบัง</t>
        </is>
      </c>
      <c r="E635" s="627" t="n">
        <v>11.9</v>
      </c>
      <c r="F635" s="625" t="inlineStr">
        <is>
          <t>Km</t>
        </is>
      </c>
      <c r="G635" s="625" t="inlineStr">
        <is>
          <t>รถเทรลเลอร์</t>
        </is>
      </c>
      <c r="H635" s="625" t="inlineStr">
        <is>
          <t>HAMAD, QATAR</t>
        </is>
      </c>
      <c r="I635" s="629" t="n">
        <v>5317</v>
      </c>
      <c r="J635" s="628" t="inlineStr">
        <is>
          <t>Km</t>
        </is>
      </c>
      <c r="K635" s="630" t="n">
        <v>2180</v>
      </c>
      <c r="L635" s="640">
        <f>M635-K635</f>
        <v/>
      </c>
      <c r="M635" s="1797" t="n">
        <v>8897.799999999999</v>
      </c>
      <c r="N635" s="1801" t="n">
        <v>5665.63</v>
      </c>
      <c r="O635" s="615" t="n">
        <v>0</v>
      </c>
      <c r="P635" s="641" t="n">
        <v>100</v>
      </c>
    </row>
    <row r="636" ht="15.75" customHeight="1">
      <c r="A636" s="658" t="inlineStr">
        <is>
          <t>FO23090060</t>
        </is>
      </c>
      <c r="B636" s="632" t="n">
        <v>45194</v>
      </c>
      <c r="C636" s="633" t="inlineStr">
        <is>
          <t>มัลติแบกซ์</t>
        </is>
      </c>
      <c r="D636" s="633" t="inlineStr">
        <is>
          <t>ท่าเรือแหลมฉบัง</t>
        </is>
      </c>
      <c r="E636" s="634" t="n">
        <v>11.9</v>
      </c>
      <c r="F636" s="631" t="inlineStr">
        <is>
          <t>Km</t>
        </is>
      </c>
      <c r="G636" s="631" t="inlineStr">
        <is>
          <t>รถเทรลเลอร์</t>
        </is>
      </c>
      <c r="H636" s="631" t="inlineStr">
        <is>
          <t>AJMAN PORT, UAE</t>
        </is>
      </c>
      <c r="I636" s="636" t="n">
        <v>4929</v>
      </c>
      <c r="J636" s="635" t="inlineStr">
        <is>
          <t>Km</t>
        </is>
      </c>
      <c r="K636" s="637" t="n">
        <v>2220</v>
      </c>
      <c r="L636" s="642">
        <f>M636-K636</f>
        <v/>
      </c>
      <c r="M636" s="1799" t="n">
        <v>9980.18</v>
      </c>
      <c r="N636" s="1800" t="n">
        <v>6845.63</v>
      </c>
      <c r="O636" s="633" t="n">
        <v>0</v>
      </c>
      <c r="P636" s="643" t="n">
        <v>100</v>
      </c>
    </row>
    <row r="637" ht="15.75" customHeight="1">
      <c r="A637" s="657" t="inlineStr">
        <is>
          <t>FO23090061</t>
        </is>
      </c>
      <c r="B637" s="626" t="n">
        <v>45197</v>
      </c>
      <c r="C637" s="615" t="inlineStr">
        <is>
          <t>มัลติแบกซ์</t>
        </is>
      </c>
      <c r="D637" s="615" t="inlineStr">
        <is>
          <t>ท่าเรือแหลมฉบัง</t>
        </is>
      </c>
      <c r="E637" s="627" t="n">
        <v>11.9</v>
      </c>
      <c r="F637" s="625" t="inlineStr">
        <is>
          <t>Km</t>
        </is>
      </c>
      <c r="G637" s="625" t="inlineStr">
        <is>
          <t>รถเทรลเลอร์</t>
        </is>
      </c>
      <c r="H637" s="625" t="inlineStr">
        <is>
          <t>AJMAN PORT, UAE</t>
        </is>
      </c>
      <c r="I637" s="629" t="n">
        <v>4929</v>
      </c>
      <c r="J637" s="628" t="inlineStr">
        <is>
          <t>Km</t>
        </is>
      </c>
      <c r="K637" s="630" t="n">
        <v>3690</v>
      </c>
      <c r="L637" s="640">
        <f>M637-K637</f>
        <v/>
      </c>
      <c r="M637" s="1797" t="n">
        <v>17824.9</v>
      </c>
      <c r="N637" s="1801" t="n">
        <v>13767.9</v>
      </c>
      <c r="O637" s="615" t="n">
        <v>0</v>
      </c>
      <c r="P637" s="641" t="n">
        <v>100</v>
      </c>
    </row>
    <row r="638" ht="15.75" customHeight="1">
      <c r="A638" s="658" t="inlineStr">
        <is>
          <t>FO23090063</t>
        </is>
      </c>
      <c r="B638" s="632" t="n">
        <v>45197</v>
      </c>
      <c r="C638" s="633" t="inlineStr">
        <is>
          <t>มัลติแบกซ์</t>
        </is>
      </c>
      <c r="D638" s="633" t="inlineStr">
        <is>
          <t>ท่าเรือแหลมฉบัง</t>
        </is>
      </c>
      <c r="E638" s="634" t="n">
        <v>6</v>
      </c>
      <c r="F638" s="631" t="inlineStr">
        <is>
          <t>Km</t>
        </is>
      </c>
      <c r="G638" s="631" t="inlineStr">
        <is>
          <t>รถเทรลเลอร์</t>
        </is>
      </c>
      <c r="H638" s="631" t="inlineStr">
        <is>
          <t>COLUMBUS OHIO, USA</t>
        </is>
      </c>
      <c r="I638" s="636" t="n">
        <v>14000</v>
      </c>
      <c r="J638" s="635" t="inlineStr">
        <is>
          <t>Km</t>
        </is>
      </c>
      <c r="K638" s="637" t="n">
        <v>3820</v>
      </c>
      <c r="L638" s="642">
        <f>M638-K638</f>
        <v/>
      </c>
      <c r="M638" s="1799" t="n">
        <v>21758.44</v>
      </c>
      <c r="N638" s="1800" t="n">
        <v>15296.18</v>
      </c>
      <c r="O638" s="633" t="n">
        <v>0</v>
      </c>
      <c r="P638" s="643" t="n">
        <v>100</v>
      </c>
    </row>
    <row r="639" ht="15.75" customHeight="1">
      <c r="A639" s="657" t="inlineStr">
        <is>
          <t>FO23090064</t>
        </is>
      </c>
      <c r="B639" s="626" t="n">
        <v>45196</v>
      </c>
      <c r="C639" s="615" t="inlineStr">
        <is>
          <t>มัลติแบกซ์</t>
        </is>
      </c>
      <c r="D639" s="615" t="inlineStr">
        <is>
          <t>ท่าเรือแหลมฉบัง</t>
        </is>
      </c>
      <c r="E639" s="627" t="n">
        <v>6.2</v>
      </c>
      <c r="F639" s="625" t="inlineStr">
        <is>
          <t>Km</t>
        </is>
      </c>
      <c r="G639" s="625" t="inlineStr">
        <is>
          <t>รถเทรลเลอร์</t>
        </is>
      </c>
      <c r="H639" s="625" t="inlineStr">
        <is>
          <t>PERRIS CA, USA</t>
        </is>
      </c>
      <c r="I639" s="629" t="n">
        <v>13413</v>
      </c>
      <c r="J639" s="628" t="inlineStr">
        <is>
          <t>Km</t>
        </is>
      </c>
      <c r="K639" s="630" t="n">
        <v>3860</v>
      </c>
      <c r="L639" s="640">
        <f>M639-K639</f>
        <v/>
      </c>
      <c r="M639" s="1797" t="n">
        <v>15839</v>
      </c>
      <c r="N639" s="1801" t="n">
        <v>11977</v>
      </c>
      <c r="O639" s="615" t="n">
        <v>0</v>
      </c>
      <c r="P639" s="641" t="n">
        <v>100</v>
      </c>
    </row>
    <row r="640" ht="15.75" customHeight="1">
      <c r="A640" s="658" t="inlineStr">
        <is>
          <t>FO23090065</t>
        </is>
      </c>
      <c r="B640" s="632" t="n">
        <v>45197</v>
      </c>
      <c r="C640" s="633" t="inlineStr">
        <is>
          <t>มัลติแบกซ์</t>
        </is>
      </c>
      <c r="D640" s="633" t="inlineStr">
        <is>
          <t>ท่าเรือแหลมฉบัง</t>
        </is>
      </c>
      <c r="E640" s="634" t="n">
        <v>11.9</v>
      </c>
      <c r="F640" s="631" t="inlineStr">
        <is>
          <t>Km</t>
        </is>
      </c>
      <c r="G640" s="631" t="inlineStr">
        <is>
          <t>รถเทรลเลอร์</t>
        </is>
      </c>
      <c r="H640" s="631" t="inlineStr">
        <is>
          <t>SYDNEY, AUSTRALIA</t>
        </is>
      </c>
      <c r="I640" s="636" t="n">
        <v>7448</v>
      </c>
      <c r="J640" s="635" t="inlineStr">
        <is>
          <t>Km</t>
        </is>
      </c>
      <c r="K640" s="637" t="n">
        <v>3660</v>
      </c>
      <c r="L640" s="642">
        <f>M640-K640</f>
        <v/>
      </c>
      <c r="M640" s="1799" t="n">
        <v>24437</v>
      </c>
      <c r="N640" s="1800" t="n">
        <v>18485</v>
      </c>
      <c r="O640" s="633" t="n">
        <v>0</v>
      </c>
      <c r="P640" s="643" t="n">
        <v>100</v>
      </c>
    </row>
    <row r="641" ht="15.75" customHeight="1">
      <c r="A641" s="657" t="inlineStr">
        <is>
          <t>FO23090066</t>
        </is>
      </c>
      <c r="B641" s="626" t="n">
        <v>45195</v>
      </c>
      <c r="C641" s="615" t="inlineStr">
        <is>
          <t>มัลติแบกซ์</t>
        </is>
      </c>
      <c r="D641" s="615" t="inlineStr">
        <is>
          <t>ท่าเรือแหลมฉบัง</t>
        </is>
      </c>
      <c r="E641" s="627" t="n">
        <v>7.1</v>
      </c>
      <c r="F641" s="625" t="inlineStr">
        <is>
          <t>Km</t>
        </is>
      </c>
      <c r="G641" s="625" t="inlineStr">
        <is>
          <t>รถเทรลเลอร์</t>
        </is>
      </c>
      <c r="H641" s="625" t="inlineStr">
        <is>
          <t>UNIVERSITY PARK IL, USA</t>
        </is>
      </c>
      <c r="I641" s="629" t="n">
        <v>13877</v>
      </c>
      <c r="J641" s="628" t="inlineStr">
        <is>
          <t>Km</t>
        </is>
      </c>
      <c r="K641" s="630" t="n">
        <v>3840</v>
      </c>
      <c r="L641" s="640">
        <f>M641-K641</f>
        <v/>
      </c>
      <c r="M641" s="1797" t="n">
        <v>14029.8</v>
      </c>
      <c r="N641" s="1801" t="n">
        <v>7660</v>
      </c>
      <c r="O641" s="615" t="n">
        <v>0</v>
      </c>
      <c r="P641" s="641" t="n">
        <v>100</v>
      </c>
    </row>
    <row r="642" ht="15.75" customHeight="1">
      <c r="A642" s="658" t="inlineStr">
        <is>
          <t>FO23090067</t>
        </is>
      </c>
      <c r="B642" s="632" t="n">
        <v>45195</v>
      </c>
      <c r="C642" s="633" t="inlineStr">
        <is>
          <t>มัลติแบกซ์</t>
        </is>
      </c>
      <c r="D642" s="633" t="inlineStr">
        <is>
          <t>ท่าเรือแหลมฉบัง</t>
        </is>
      </c>
      <c r="E642" s="634" t="n">
        <v>7.1</v>
      </c>
      <c r="F642" s="631" t="inlineStr">
        <is>
          <t>Km</t>
        </is>
      </c>
      <c r="G642" s="631" t="inlineStr">
        <is>
          <t>รถเทรลเลอร์</t>
        </is>
      </c>
      <c r="H642" s="631" t="inlineStr">
        <is>
          <t>UNIVERSITY PARK IL, USA</t>
        </is>
      </c>
      <c r="I642" s="636" t="n">
        <v>13877</v>
      </c>
      <c r="J642" s="635" t="inlineStr">
        <is>
          <t>Km</t>
        </is>
      </c>
      <c r="K642" s="637" t="n">
        <v>3700</v>
      </c>
      <c r="L642" s="642">
        <f>M642-K642</f>
        <v/>
      </c>
      <c r="M642" s="1799" t="n">
        <v>13474.2</v>
      </c>
      <c r="N642" s="1800" t="n">
        <v>6917.4</v>
      </c>
      <c r="O642" s="633" t="n">
        <v>0</v>
      </c>
      <c r="P642" s="643" t="n">
        <v>100</v>
      </c>
    </row>
    <row r="643" ht="15.75" customHeight="1">
      <c r="A643" s="657" t="inlineStr">
        <is>
          <t>FO23090068</t>
        </is>
      </c>
      <c r="B643" s="626" t="n">
        <v>45197</v>
      </c>
      <c r="C643" s="615" t="inlineStr">
        <is>
          <t>มัลติแบกซ์</t>
        </is>
      </c>
      <c r="D643" s="615" t="inlineStr">
        <is>
          <t>ท่าเรือแหลมฉบัง</t>
        </is>
      </c>
      <c r="E643" s="627" t="n">
        <v>7.1</v>
      </c>
      <c r="F643" s="625" t="inlineStr">
        <is>
          <t>Km</t>
        </is>
      </c>
      <c r="G643" s="625" t="inlineStr">
        <is>
          <t>รถเทรลเลอร์</t>
        </is>
      </c>
      <c r="H643" s="625" t="inlineStr">
        <is>
          <t>UNIVERSITY PARK IL, USA</t>
        </is>
      </c>
      <c r="I643" s="629" t="n">
        <v>13877</v>
      </c>
      <c r="J643" s="628" t="inlineStr">
        <is>
          <t>Km</t>
        </is>
      </c>
      <c r="K643" s="630" t="n">
        <v>3760</v>
      </c>
      <c r="L643" s="640">
        <f>M643-K643</f>
        <v/>
      </c>
      <c r="M643" s="1797" t="n">
        <v>14486</v>
      </c>
      <c r="N643" s="1801" t="n">
        <v>8196.200000000001</v>
      </c>
      <c r="O643" s="615" t="n">
        <v>0</v>
      </c>
      <c r="P643" s="641" t="n">
        <v>100</v>
      </c>
    </row>
    <row r="644" ht="15.75" customHeight="1">
      <c r="A644" s="658" t="inlineStr">
        <is>
          <t>FO23090069</t>
        </is>
      </c>
      <c r="B644" s="632" t="n">
        <v>45195</v>
      </c>
      <c r="C644" s="633" t="inlineStr">
        <is>
          <t>มัลติแบกซ์</t>
        </is>
      </c>
      <c r="D644" s="633" t="inlineStr">
        <is>
          <t>ท่าเรือแหลมฉบัง</t>
        </is>
      </c>
      <c r="E644" s="634" t="n">
        <v>7.1</v>
      </c>
      <c r="F644" s="631" t="inlineStr">
        <is>
          <t>Km</t>
        </is>
      </c>
      <c r="G644" s="631" t="inlineStr">
        <is>
          <t>รถเทรลเลอร์</t>
        </is>
      </c>
      <c r="H644" s="631" t="inlineStr">
        <is>
          <t>UNIVERSITY PARK IL, USA</t>
        </is>
      </c>
      <c r="I644" s="636" t="n">
        <v>13877</v>
      </c>
      <c r="J644" s="635" t="inlineStr">
        <is>
          <t>Km</t>
        </is>
      </c>
      <c r="K644" s="637" t="n">
        <v>3900</v>
      </c>
      <c r="L644" s="642">
        <f>M644-K644</f>
        <v/>
      </c>
      <c r="M644" s="1799" t="n">
        <v>15194</v>
      </c>
      <c r="N644" s="1800" t="n">
        <v>8988</v>
      </c>
      <c r="O644" s="633" t="n">
        <v>0</v>
      </c>
      <c r="P644" s="643" t="n">
        <v>100</v>
      </c>
    </row>
    <row r="645" ht="15.75" customHeight="1">
      <c r="A645" s="657" t="inlineStr">
        <is>
          <t>FO23090070</t>
        </is>
      </c>
      <c r="B645" s="626" t="n">
        <v>45195</v>
      </c>
      <c r="C645" s="615" t="inlineStr">
        <is>
          <t>มัลติแบกซ์</t>
        </is>
      </c>
      <c r="D645" s="615" t="inlineStr">
        <is>
          <t>ท่าเรือแหลมฉบัง</t>
        </is>
      </c>
      <c r="E645" s="627" t="n">
        <v>7.1</v>
      </c>
      <c r="F645" s="625" t="inlineStr">
        <is>
          <t>Km</t>
        </is>
      </c>
      <c r="G645" s="625" t="inlineStr">
        <is>
          <t>รถเทรลเลอร์</t>
        </is>
      </c>
      <c r="H645" s="625" t="inlineStr">
        <is>
          <t>UNIVERSITY PARK IL, USA</t>
        </is>
      </c>
      <c r="I645" s="629" t="n">
        <v>13877</v>
      </c>
      <c r="J645" s="628" t="inlineStr">
        <is>
          <t>Km</t>
        </is>
      </c>
      <c r="K645" s="630" t="n">
        <v>3770</v>
      </c>
      <c r="L645" s="640">
        <f>M645-K645</f>
        <v/>
      </c>
      <c r="M645" s="1797" t="n">
        <v>13959.8</v>
      </c>
      <c r="N645" s="1801" t="n">
        <v>7660</v>
      </c>
      <c r="O645" s="615" t="n">
        <v>0</v>
      </c>
      <c r="P645" s="641" t="n">
        <v>100</v>
      </c>
    </row>
    <row r="646" ht="15.75" customHeight="1">
      <c r="A646" s="658" t="inlineStr">
        <is>
          <t>FO23090071</t>
        </is>
      </c>
      <c r="B646" s="632" t="n">
        <v>45196</v>
      </c>
      <c r="C646" s="633" t="inlineStr">
        <is>
          <t>มัลติแบกซ์</t>
        </is>
      </c>
      <c r="D646" s="633" t="inlineStr">
        <is>
          <t>ท่าเรือแหลมฉบัง</t>
        </is>
      </c>
      <c r="E646" s="634" t="n">
        <v>11.9</v>
      </c>
      <c r="F646" s="631" t="inlineStr">
        <is>
          <t>Km</t>
        </is>
      </c>
      <c r="G646" s="631" t="inlineStr">
        <is>
          <t>รถเทรลเลอร์</t>
        </is>
      </c>
      <c r="H646" s="631" t="inlineStr">
        <is>
          <t>MANZANILLO, MEXICO</t>
        </is>
      </c>
      <c r="I646" s="636" t="n">
        <v>15486</v>
      </c>
      <c r="J646" s="635" t="inlineStr">
        <is>
          <t>Km</t>
        </is>
      </c>
      <c r="K646" s="637" t="n">
        <v>3800</v>
      </c>
      <c r="L646" s="642">
        <f>M646-K646</f>
        <v/>
      </c>
      <c r="M646" s="1799" t="n">
        <v>15162</v>
      </c>
      <c r="N646" s="1800" t="n">
        <v>8658</v>
      </c>
      <c r="O646" s="633" t="n">
        <v>0</v>
      </c>
      <c r="P646" s="643" t="n">
        <v>100</v>
      </c>
    </row>
    <row r="647" ht="15.75" customHeight="1">
      <c r="A647" s="657" t="inlineStr">
        <is>
          <t>FO23090072</t>
        </is>
      </c>
      <c r="B647" s="626" t="n">
        <v>45197</v>
      </c>
      <c r="C647" s="615" t="inlineStr">
        <is>
          <t>มัลติแบกซ์</t>
        </is>
      </c>
      <c r="D647" s="615" t="inlineStr">
        <is>
          <t>ท่าเรือแหลมฉบัง</t>
        </is>
      </c>
      <c r="E647" s="627" t="n">
        <v>6.2</v>
      </c>
      <c r="F647" s="625" t="inlineStr">
        <is>
          <t>Km</t>
        </is>
      </c>
      <c r="G647" s="625" t="inlineStr">
        <is>
          <t>รถเทรลเลอร์</t>
        </is>
      </c>
      <c r="H647" s="625" t="inlineStr">
        <is>
          <t>APPLETON WI , USA</t>
        </is>
      </c>
      <c r="I647" s="629" t="n">
        <v>13558</v>
      </c>
      <c r="J647" s="628" t="inlineStr">
        <is>
          <t>Km</t>
        </is>
      </c>
      <c r="K647" s="630" t="n">
        <v>3870</v>
      </c>
      <c r="L647" s="640">
        <f>M647-K647</f>
        <v/>
      </c>
      <c r="M647" s="1797" t="n">
        <v>18384</v>
      </c>
      <c r="N647" s="1801" t="n">
        <v>10844</v>
      </c>
      <c r="O647" s="615" t="n">
        <v>0</v>
      </c>
      <c r="P647" s="641" t="n">
        <v>100</v>
      </c>
    </row>
    <row r="648" ht="15.75" customHeight="1">
      <c r="A648" s="658" t="inlineStr">
        <is>
          <t>FO23090073</t>
        </is>
      </c>
      <c r="B648" s="632" t="n">
        <v>45196</v>
      </c>
      <c r="C648" s="633" t="inlineStr">
        <is>
          <t>มัลติแบกซ์</t>
        </is>
      </c>
      <c r="D648" s="633" t="inlineStr">
        <is>
          <t>ท่าเรือแหลมฉบัง</t>
        </is>
      </c>
      <c r="E648" s="634" t="n">
        <v>6.5</v>
      </c>
      <c r="F648" s="631" t="inlineStr">
        <is>
          <t>Km</t>
        </is>
      </c>
      <c r="G648" s="631" t="inlineStr">
        <is>
          <t>รถเทรลเลอร์</t>
        </is>
      </c>
      <c r="H648" s="631" t="inlineStr">
        <is>
          <t>UK PORT</t>
        </is>
      </c>
      <c r="I648" s="636" t="n">
        <v>9687</v>
      </c>
      <c r="J648" s="635" t="inlineStr">
        <is>
          <t>Km</t>
        </is>
      </c>
      <c r="K648" s="637" t="n">
        <v>3570</v>
      </c>
      <c r="L648" s="642">
        <f>M648-K648</f>
        <v/>
      </c>
      <c r="M648" s="1799" t="n">
        <v>23447.3</v>
      </c>
      <c r="N648" s="1800" t="n">
        <v>18582.3</v>
      </c>
      <c r="O648" s="633" t="n">
        <v>0</v>
      </c>
      <c r="P648" s="643" t="n">
        <v>100</v>
      </c>
    </row>
    <row r="649" ht="15.75" customHeight="1">
      <c r="A649" s="657" t="inlineStr">
        <is>
          <t>FO23090074</t>
        </is>
      </c>
      <c r="B649" s="626" t="n">
        <v>45196</v>
      </c>
      <c r="C649" s="615" t="inlineStr">
        <is>
          <t>มัลติแบกซ์</t>
        </is>
      </c>
      <c r="D649" s="615" t="inlineStr">
        <is>
          <t>ท่าเรือแหลมฉบัง</t>
        </is>
      </c>
      <c r="E649" s="627" t="n">
        <v>6.5</v>
      </c>
      <c r="F649" s="625" t="inlineStr">
        <is>
          <t>Km</t>
        </is>
      </c>
      <c r="G649" s="625" t="inlineStr">
        <is>
          <t>รถเทรลเลอร์</t>
        </is>
      </c>
      <c r="H649" s="625" t="inlineStr">
        <is>
          <t>UK PORT</t>
        </is>
      </c>
      <c r="I649" s="629" t="n">
        <v>9687</v>
      </c>
      <c r="J649" s="628" t="inlineStr">
        <is>
          <t>Km</t>
        </is>
      </c>
      <c r="K649" s="630" t="n">
        <v>3570</v>
      </c>
      <c r="L649" s="640">
        <f>M649-K649</f>
        <v/>
      </c>
      <c r="M649" s="1797" t="n">
        <v>23467</v>
      </c>
      <c r="N649" s="1801" t="n">
        <v>18561</v>
      </c>
      <c r="O649" s="615" t="n">
        <v>0</v>
      </c>
      <c r="P649" s="641" t="n">
        <v>100</v>
      </c>
    </row>
    <row r="650" ht="15.75" customHeight="1">
      <c r="A650" s="658" t="inlineStr">
        <is>
          <t>FO23090075</t>
        </is>
      </c>
      <c r="B650" s="632" t="n">
        <v>45196</v>
      </c>
      <c r="C650" s="633" t="inlineStr">
        <is>
          <t>มัลติแบกซ์</t>
        </is>
      </c>
      <c r="D650" s="633" t="inlineStr">
        <is>
          <t>ท่าเรือแหลมฉบัง</t>
        </is>
      </c>
      <c r="E650" s="634" t="n">
        <v>6.5</v>
      </c>
      <c r="F650" s="631" t="inlineStr">
        <is>
          <t>Km</t>
        </is>
      </c>
      <c r="G650" s="631" t="inlineStr">
        <is>
          <t>รถเทรลเลอร์</t>
        </is>
      </c>
      <c r="H650" s="631" t="inlineStr">
        <is>
          <t>UK PORT</t>
        </is>
      </c>
      <c r="I650" s="636" t="n">
        <v>9687</v>
      </c>
      <c r="J650" s="635" t="inlineStr">
        <is>
          <t>Km</t>
        </is>
      </c>
      <c r="K650" s="637" t="n">
        <v>3640</v>
      </c>
      <c r="L650" s="642">
        <f>M650-K650</f>
        <v/>
      </c>
      <c r="M650" s="1799" t="n">
        <v>23537</v>
      </c>
      <c r="N650" s="1800" t="n">
        <v>18561</v>
      </c>
      <c r="O650" s="633" t="n">
        <v>0</v>
      </c>
      <c r="P650" s="643" t="n">
        <v>100</v>
      </c>
    </row>
    <row r="651" ht="15.75" customHeight="1">
      <c r="A651" s="625" t="inlineStr">
        <is>
          <t>FO23100001</t>
        </is>
      </c>
      <c r="B651" s="626" t="n">
        <v>45204</v>
      </c>
      <c r="C651" s="615" t="inlineStr">
        <is>
          <t>มัลติแบกซ์</t>
        </is>
      </c>
      <c r="D651" s="615" t="inlineStr">
        <is>
          <t>ท่าเรือแหลมฉบัง</t>
        </is>
      </c>
      <c r="E651" s="627" t="n">
        <v>11.9</v>
      </c>
      <c r="F651" s="625" t="inlineStr">
        <is>
          <t>Km</t>
        </is>
      </c>
      <c r="G651" s="625" t="inlineStr">
        <is>
          <t>รถเทรลเลอร์</t>
        </is>
      </c>
      <c r="H651" s="625" t="inlineStr">
        <is>
          <t>MELBOURNE, AUSTRALIA</t>
        </is>
      </c>
      <c r="I651" s="629" t="n">
        <v>7283</v>
      </c>
      <c r="J651" s="628" t="inlineStr">
        <is>
          <t>Km</t>
        </is>
      </c>
      <c r="K651" s="630" t="n">
        <v>3540</v>
      </c>
      <c r="L651" s="640">
        <f>M651-K651</f>
        <v/>
      </c>
      <c r="M651" s="1797" t="n">
        <v>27442</v>
      </c>
      <c r="N651" s="1801" t="n">
        <v>20473</v>
      </c>
      <c r="O651" s="615" t="n">
        <v>0</v>
      </c>
      <c r="P651" s="641" t="n">
        <v>100</v>
      </c>
    </row>
    <row r="652" ht="15.75" customHeight="1">
      <c r="A652" s="631" t="inlineStr">
        <is>
          <t>FO23100002</t>
        </is>
      </c>
      <c r="B652" s="632" t="n">
        <v>45204</v>
      </c>
      <c r="C652" s="633" t="inlineStr">
        <is>
          <t>มัลติแบกซ์</t>
        </is>
      </c>
      <c r="D652" s="633" t="inlineStr">
        <is>
          <t>ท่าเรือแหลมฉบัง</t>
        </is>
      </c>
      <c r="E652" s="634" t="n">
        <v>11.9</v>
      </c>
      <c r="F652" s="631" t="inlineStr">
        <is>
          <t>Km</t>
        </is>
      </c>
      <c r="G652" s="631" t="inlineStr">
        <is>
          <t>รถเทรลเลอร์</t>
        </is>
      </c>
      <c r="H652" s="631" t="inlineStr">
        <is>
          <t>MELBOURNE, AUSTRALIA</t>
        </is>
      </c>
      <c r="I652" s="636" t="n">
        <v>7283</v>
      </c>
      <c r="J652" s="635" t="inlineStr">
        <is>
          <t>Km</t>
        </is>
      </c>
      <c r="K652" s="637" t="n">
        <v>3640</v>
      </c>
      <c r="L652" s="642">
        <f>M652-K652</f>
        <v/>
      </c>
      <c r="M652" s="1799" t="n">
        <v>27592</v>
      </c>
      <c r="N652" s="1800" t="n">
        <v>19071</v>
      </c>
      <c r="O652" s="633" t="n">
        <v>0</v>
      </c>
      <c r="P652" s="643" t="n">
        <v>100</v>
      </c>
    </row>
    <row r="653" ht="15.75" customHeight="1">
      <c r="A653" s="625" t="inlineStr">
        <is>
          <t>FO23100003</t>
        </is>
      </c>
      <c r="B653" s="626" t="n">
        <v>45204</v>
      </c>
      <c r="C653" s="615" t="inlineStr">
        <is>
          <t>มัลติแบกซ์</t>
        </is>
      </c>
      <c r="D653" s="615" t="inlineStr">
        <is>
          <t>ท่าเรือแหลมฉบัง</t>
        </is>
      </c>
      <c r="E653" s="627" t="n">
        <v>11.9</v>
      </c>
      <c r="F653" s="625" t="inlineStr">
        <is>
          <t>Km</t>
        </is>
      </c>
      <c r="G653" s="625" t="inlineStr">
        <is>
          <t>รถเทรลเลอร์</t>
        </is>
      </c>
      <c r="H653" s="625" t="inlineStr">
        <is>
          <t>MELBOURNE, AUSTRALIA</t>
        </is>
      </c>
      <c r="I653" s="629" t="n">
        <v>7283</v>
      </c>
      <c r="J653" s="628" t="inlineStr">
        <is>
          <t>Km</t>
        </is>
      </c>
      <c r="K653" s="630" t="n">
        <v>3540</v>
      </c>
      <c r="L653" s="640">
        <f>M653-K653</f>
        <v/>
      </c>
      <c r="M653" s="1797" t="n">
        <v>27492</v>
      </c>
      <c r="N653" s="1801" t="n">
        <v>20286</v>
      </c>
      <c r="O653" s="615" t="n">
        <v>0</v>
      </c>
      <c r="P653" s="641" t="n">
        <v>100</v>
      </c>
    </row>
    <row r="654" ht="15.75" customHeight="1">
      <c r="A654" s="631" t="inlineStr">
        <is>
          <t>FO23100004</t>
        </is>
      </c>
      <c r="B654" s="632" t="n">
        <v>45201</v>
      </c>
      <c r="C654" s="633" t="inlineStr">
        <is>
          <t>มัลติแบกซ์</t>
        </is>
      </c>
      <c r="D654" s="633" t="inlineStr">
        <is>
          <t>ท่าเรือแหลมฉบัง</t>
        </is>
      </c>
      <c r="E654" s="634" t="n">
        <v>7.1</v>
      </c>
      <c r="F654" s="631" t="inlineStr">
        <is>
          <t>Km</t>
        </is>
      </c>
      <c r="G654" s="631" t="inlineStr">
        <is>
          <t>รถเทรลเลอร์</t>
        </is>
      </c>
      <c r="H654" s="631" t="inlineStr">
        <is>
          <t>UNIVERSITY PARK IL, USA</t>
        </is>
      </c>
      <c r="I654" s="636" t="n">
        <v>13877</v>
      </c>
      <c r="J654" s="635" t="inlineStr">
        <is>
          <t>Km</t>
        </is>
      </c>
      <c r="K654" s="637" t="n">
        <v>3770</v>
      </c>
      <c r="L654" s="642">
        <f>M654-K654</f>
        <v/>
      </c>
      <c r="M654" s="1799" t="n">
        <v>13544.2</v>
      </c>
      <c r="N654" s="1800" t="n">
        <v>6917.4</v>
      </c>
      <c r="O654" s="633" t="n">
        <v>0</v>
      </c>
      <c r="P654" s="643" t="n">
        <v>100</v>
      </c>
    </row>
    <row r="655" ht="15.75" customHeight="1">
      <c r="A655" s="625" t="inlineStr">
        <is>
          <t>FO23100005</t>
        </is>
      </c>
      <c r="B655" s="626" t="n">
        <v>45201</v>
      </c>
      <c r="C655" s="615" t="inlineStr">
        <is>
          <t>มัลติแบกซ์</t>
        </is>
      </c>
      <c r="D655" s="615" t="inlineStr">
        <is>
          <t>ท่าเรือแหลมฉบัง</t>
        </is>
      </c>
      <c r="E655" s="627" t="n">
        <v>7.1</v>
      </c>
      <c r="F655" s="625" t="inlineStr">
        <is>
          <t>Km</t>
        </is>
      </c>
      <c r="G655" s="625" t="inlineStr">
        <is>
          <t>รถเทรลเลอร์</t>
        </is>
      </c>
      <c r="H655" s="625" t="inlineStr">
        <is>
          <t>UNIVERSITY PARK IL, USA</t>
        </is>
      </c>
      <c r="I655" s="629" t="n">
        <v>13877</v>
      </c>
      <c r="J655" s="628" t="inlineStr">
        <is>
          <t>Km</t>
        </is>
      </c>
      <c r="K655" s="630" t="n">
        <v>3820</v>
      </c>
      <c r="L655" s="640">
        <f>M655-K655</f>
        <v/>
      </c>
      <c r="M655" s="1797" t="n">
        <v>15834</v>
      </c>
      <c r="N655" s="1801" t="n">
        <v>8988</v>
      </c>
      <c r="O655" s="615" t="n">
        <v>0</v>
      </c>
      <c r="P655" s="641" t="n">
        <v>100</v>
      </c>
    </row>
    <row r="656" ht="15.75" customHeight="1">
      <c r="A656" s="631" t="inlineStr">
        <is>
          <t>FO23100006</t>
        </is>
      </c>
      <c r="B656" s="632" t="n">
        <v>45201</v>
      </c>
      <c r="C656" s="633" t="inlineStr">
        <is>
          <t>มัลติแบกซ์</t>
        </is>
      </c>
      <c r="D656" s="633" t="inlineStr">
        <is>
          <t>ท่าเรือแหลมฉบัง</t>
        </is>
      </c>
      <c r="E656" s="634" t="n">
        <v>6.5</v>
      </c>
      <c r="F656" s="631" t="inlineStr">
        <is>
          <t>Km</t>
        </is>
      </c>
      <c r="G656" s="631" t="inlineStr">
        <is>
          <t>รถเทรลเลอร์</t>
        </is>
      </c>
      <c r="H656" s="631" t="inlineStr">
        <is>
          <t>PERRIS CA, USA</t>
        </is>
      </c>
      <c r="I656" s="636" t="n">
        <v>13413</v>
      </c>
      <c r="J656" s="635" t="inlineStr">
        <is>
          <t>Km</t>
        </is>
      </c>
      <c r="K656" s="637" t="n">
        <v>3910</v>
      </c>
      <c r="L656" s="642">
        <f>M656-K656</f>
        <v/>
      </c>
      <c r="M656" s="1799" t="n">
        <v>16393</v>
      </c>
      <c r="N656" s="1800" t="n">
        <v>9027</v>
      </c>
      <c r="O656" s="633" t="n">
        <v>0</v>
      </c>
      <c r="P656" s="643" t="n">
        <v>100</v>
      </c>
    </row>
    <row r="657" ht="15.75" customHeight="1">
      <c r="A657" s="625" t="inlineStr">
        <is>
          <t>FO23100007</t>
        </is>
      </c>
      <c r="B657" s="626" t="n">
        <v>45201</v>
      </c>
      <c r="C657" s="615" t="inlineStr">
        <is>
          <t>มัลติแบกซ์</t>
        </is>
      </c>
      <c r="D657" s="615" t="inlineStr">
        <is>
          <t>ท่าเรือแหลมฉบัง</t>
        </is>
      </c>
      <c r="E657" s="627" t="n">
        <v>11.9</v>
      </c>
      <c r="F657" s="615" t="inlineStr">
        <is>
          <t>Km</t>
        </is>
      </c>
      <c r="G657" s="615" t="inlineStr">
        <is>
          <t>รถเทรลเลอร์</t>
        </is>
      </c>
      <c r="H657" s="625" t="inlineStr">
        <is>
          <t>HONG KONG</t>
        </is>
      </c>
      <c r="I657" s="629" t="n">
        <v>1734</v>
      </c>
      <c r="J657" s="651" t="inlineStr">
        <is>
          <t>Km</t>
        </is>
      </c>
      <c r="K657" s="630" t="n">
        <v>2140</v>
      </c>
      <c r="L657" s="640">
        <f>M657-K657</f>
        <v/>
      </c>
      <c r="M657" s="1797" t="n">
        <v>8204</v>
      </c>
      <c r="N657" s="1801" t="n">
        <v>4737</v>
      </c>
      <c r="O657" s="615" t="n">
        <v>0</v>
      </c>
      <c r="P657" s="641" t="n">
        <v>100</v>
      </c>
    </row>
    <row r="658" ht="15.75" customHeight="1">
      <c r="A658" s="631" t="inlineStr">
        <is>
          <t>FO23100008</t>
        </is>
      </c>
      <c r="B658" s="632" t="n">
        <v>45203</v>
      </c>
      <c r="C658" s="633" t="inlineStr">
        <is>
          <t>มัลติแบกซ์</t>
        </is>
      </c>
      <c r="D658" s="633" t="inlineStr">
        <is>
          <t>ท่าเรือแหลมฉบัง</t>
        </is>
      </c>
      <c r="E658" s="634" t="n">
        <v>6.2</v>
      </c>
      <c r="F658" s="631" t="inlineStr">
        <is>
          <t>Km</t>
        </is>
      </c>
      <c r="G658" s="631" t="inlineStr">
        <is>
          <t>รถเทรลเลอร์</t>
        </is>
      </c>
      <c r="H658" s="631" t="inlineStr">
        <is>
          <t>SANTA TERESA, NM USA</t>
        </is>
      </c>
      <c r="I658" s="636" t="n">
        <v>17387</v>
      </c>
      <c r="J658" s="635" t="inlineStr">
        <is>
          <t>Km</t>
        </is>
      </c>
      <c r="K658" s="637" t="n">
        <v>3700</v>
      </c>
      <c r="L658" s="642">
        <f>M658-K658</f>
        <v/>
      </c>
      <c r="M658" s="1799" t="n">
        <v>21799.28</v>
      </c>
      <c r="N658" s="1800" t="n">
        <v>15536</v>
      </c>
      <c r="O658" s="633" t="n">
        <v>0</v>
      </c>
      <c r="P658" s="643" t="n">
        <v>100</v>
      </c>
    </row>
    <row r="659" ht="15.75" customHeight="1">
      <c r="A659" s="625" t="inlineStr">
        <is>
          <t>FO23100009</t>
        </is>
      </c>
      <c r="B659" s="626" t="n">
        <v>45203</v>
      </c>
      <c r="C659" s="615" t="inlineStr">
        <is>
          <t>มัลติแบกซ์</t>
        </is>
      </c>
      <c r="D659" s="615" t="inlineStr">
        <is>
          <t>ท่าเรือแหลมฉบัง</t>
        </is>
      </c>
      <c r="E659" s="627" t="n">
        <v>6.2</v>
      </c>
      <c r="F659" s="625" t="inlineStr">
        <is>
          <t>Km</t>
        </is>
      </c>
      <c r="G659" s="625" t="inlineStr">
        <is>
          <t>รถเทรลเลอร์</t>
        </is>
      </c>
      <c r="H659" s="625" t="inlineStr">
        <is>
          <t>SANTA TERESA, NM USA</t>
        </is>
      </c>
      <c r="I659" s="629" t="n">
        <v>17387</v>
      </c>
      <c r="J659" s="628" t="inlineStr">
        <is>
          <t>Km</t>
        </is>
      </c>
      <c r="K659" s="630" t="n">
        <v>3900</v>
      </c>
      <c r="L659" s="640">
        <f>M659-K659</f>
        <v/>
      </c>
      <c r="M659" s="1797" t="n">
        <v>21863.48</v>
      </c>
      <c r="N659" s="1801" t="n">
        <v>15403.24</v>
      </c>
      <c r="O659" s="615" t="n">
        <v>0</v>
      </c>
      <c r="P659" s="641" t="n">
        <v>100</v>
      </c>
    </row>
    <row r="660" ht="15.75" customHeight="1">
      <c r="A660" s="631" t="inlineStr">
        <is>
          <t>FO23100010</t>
        </is>
      </c>
      <c r="B660" s="632" t="n">
        <v>45201</v>
      </c>
      <c r="C660" s="633" t="inlineStr">
        <is>
          <t>มัลติแบกซ์</t>
        </is>
      </c>
      <c r="D660" s="633" t="inlineStr">
        <is>
          <t>ท่าเรือแหลมฉบัง</t>
        </is>
      </c>
      <c r="E660" s="634" t="n">
        <v>11.9</v>
      </c>
      <c r="F660" s="631" t="inlineStr">
        <is>
          <t>Km</t>
        </is>
      </c>
      <c r="G660" s="631" t="inlineStr">
        <is>
          <t>รถเทรลเลอร์</t>
        </is>
      </c>
      <c r="H660" s="631" t="inlineStr">
        <is>
          <t>DURBAN, SOUTH AFRICA</t>
        </is>
      </c>
      <c r="I660" s="636" t="n">
        <v>8865</v>
      </c>
      <c r="J660" s="635" t="inlineStr">
        <is>
          <t>Km</t>
        </is>
      </c>
      <c r="K660" s="637" t="n">
        <v>2280</v>
      </c>
      <c r="L660" s="642">
        <f>M660-K660</f>
        <v/>
      </c>
      <c r="M660" s="1799" t="n">
        <v>14125.2</v>
      </c>
      <c r="N660" s="1800" t="n">
        <v>8398</v>
      </c>
      <c r="O660" s="633" t="n">
        <v>0</v>
      </c>
      <c r="P660" s="643" t="n">
        <v>100</v>
      </c>
    </row>
    <row r="661" ht="15.75" customHeight="1">
      <c r="A661" s="625" t="inlineStr">
        <is>
          <t>FO23100011</t>
        </is>
      </c>
      <c r="B661" s="626" t="n">
        <v>45204</v>
      </c>
      <c r="C661" s="615" t="inlineStr">
        <is>
          <t>มัลติแบกซ์</t>
        </is>
      </c>
      <c r="D661" s="615" t="inlineStr">
        <is>
          <t>ท่าเรือแหลมฉบัง</t>
        </is>
      </c>
      <c r="E661" s="627" t="n">
        <v>6.2</v>
      </c>
      <c r="F661" s="625" t="inlineStr">
        <is>
          <t>Km</t>
        </is>
      </c>
      <c r="G661" s="625" t="inlineStr">
        <is>
          <t>รถเทรลเลอร์</t>
        </is>
      </c>
      <c r="H661" s="625" t="inlineStr">
        <is>
          <t>APPLETON WI , USA</t>
        </is>
      </c>
      <c r="I661" s="629" t="n">
        <v>13558</v>
      </c>
      <c r="J661" s="628" t="inlineStr">
        <is>
          <t>Km</t>
        </is>
      </c>
      <c r="K661" s="630" t="n">
        <v>3840</v>
      </c>
      <c r="L661" s="640">
        <f>M661-K661</f>
        <v/>
      </c>
      <c r="M661" s="1797" t="n">
        <v>17272</v>
      </c>
      <c r="N661" s="1801" t="n">
        <v>10172</v>
      </c>
      <c r="O661" s="615" t="n">
        <v>0</v>
      </c>
      <c r="P661" s="641" t="n">
        <v>100</v>
      </c>
    </row>
    <row r="662" ht="15.75" customHeight="1">
      <c r="A662" s="631" t="inlineStr">
        <is>
          <t>FO23100012</t>
        </is>
      </c>
      <c r="B662" s="632" t="n">
        <v>45211</v>
      </c>
      <c r="C662" s="633" t="inlineStr">
        <is>
          <t>มัลติแบกซ์</t>
        </is>
      </c>
      <c r="D662" s="633" t="inlineStr">
        <is>
          <t>ท่าเรือแหลมฉบัง</t>
        </is>
      </c>
      <c r="E662" s="634" t="n">
        <v>11.9</v>
      </c>
      <c r="F662" s="631" t="inlineStr">
        <is>
          <t>Km</t>
        </is>
      </c>
      <c r="G662" s="631" t="inlineStr">
        <is>
          <t>รถเทรลเลอร์</t>
        </is>
      </c>
      <c r="H662" s="631" t="inlineStr">
        <is>
          <t>NINGBO, CHINA</t>
        </is>
      </c>
      <c r="I662" s="636" t="n">
        <v>3824</v>
      </c>
      <c r="J662" s="635" t="inlineStr">
        <is>
          <t>Km</t>
        </is>
      </c>
      <c r="K662" s="637" t="n">
        <v>3750</v>
      </c>
      <c r="L662" s="642">
        <f>M662-K662</f>
        <v/>
      </c>
      <c r="M662" s="1799" t="n">
        <v>14071.4</v>
      </c>
      <c r="N662" s="1800" t="n">
        <v>10319.4</v>
      </c>
      <c r="O662" s="633" t="n">
        <v>0</v>
      </c>
      <c r="P662" s="643" t="n">
        <v>100</v>
      </c>
    </row>
    <row r="663" ht="15.75" customHeight="1">
      <c r="A663" s="625" t="inlineStr">
        <is>
          <t>FO23100013</t>
        </is>
      </c>
      <c r="B663" s="626" t="n">
        <v>45208</v>
      </c>
      <c r="C663" s="615" t="inlineStr">
        <is>
          <t>มัลติแบกซ์</t>
        </is>
      </c>
      <c r="D663" s="615" t="inlineStr">
        <is>
          <t>ท่าเรือแหลมฉบัง</t>
        </is>
      </c>
      <c r="E663" s="627" t="n">
        <v>7.1</v>
      </c>
      <c r="F663" s="625" t="inlineStr">
        <is>
          <t>Km</t>
        </is>
      </c>
      <c r="G663" s="625" t="inlineStr">
        <is>
          <t>รถเทรลเลอร์</t>
        </is>
      </c>
      <c r="H663" s="625" t="inlineStr">
        <is>
          <t>SINGAPORE</t>
        </is>
      </c>
      <c r="I663" s="629" t="n">
        <v>1931</v>
      </c>
      <c r="J663" s="628" t="inlineStr">
        <is>
          <t>Km</t>
        </is>
      </c>
      <c r="K663" s="630" t="n">
        <v>4801.2</v>
      </c>
      <c r="L663" s="640">
        <f>M663-K663</f>
        <v/>
      </c>
      <c r="M663" s="1797" t="n">
        <v>5988</v>
      </c>
      <c r="N663" s="1801" t="n">
        <v>4801.2</v>
      </c>
      <c r="O663" s="615" t="n">
        <v>0</v>
      </c>
      <c r="P663" s="641" t="n">
        <v>100</v>
      </c>
    </row>
    <row r="664" ht="15.75" customHeight="1">
      <c r="A664" s="631" t="inlineStr">
        <is>
          <t>FO23100014</t>
        </is>
      </c>
      <c r="B664" s="632" t="n">
        <v>45208</v>
      </c>
      <c r="C664" s="633" t="inlineStr">
        <is>
          <t>มัลติแบกซ์</t>
        </is>
      </c>
      <c r="D664" s="633" t="inlineStr">
        <is>
          <t>ท่าเรือแหลมฉบัง</t>
        </is>
      </c>
      <c r="E664" s="634" t="n">
        <v>5.3</v>
      </c>
      <c r="F664" s="631" t="inlineStr">
        <is>
          <t>Km</t>
        </is>
      </c>
      <c r="G664" s="631" t="inlineStr">
        <is>
          <t>รถเทรลเลอร์</t>
        </is>
      </c>
      <c r="H664" s="631" t="inlineStr">
        <is>
          <t>SENDAI, JAPAN</t>
        </is>
      </c>
      <c r="I664" s="636" t="n">
        <v>4823</v>
      </c>
      <c r="J664" s="635" t="inlineStr">
        <is>
          <t>Km</t>
        </is>
      </c>
      <c r="K664" s="637" t="n">
        <v>2180</v>
      </c>
      <c r="L664" s="642">
        <f>M664-K664</f>
        <v/>
      </c>
      <c r="M664" s="1799" t="n">
        <v>7723.05</v>
      </c>
      <c r="N664" s="1800" t="n">
        <v>4472.85</v>
      </c>
      <c r="O664" s="633" t="n">
        <v>0</v>
      </c>
      <c r="P664" s="643" t="n">
        <v>100</v>
      </c>
    </row>
    <row r="665" ht="15.75" customHeight="1">
      <c r="A665" s="625" t="inlineStr">
        <is>
          <t>FO23100015</t>
        </is>
      </c>
      <c r="B665" s="626" t="n">
        <v>45215</v>
      </c>
      <c r="C665" s="615" t="inlineStr">
        <is>
          <t>มัลติแบกซ์</t>
        </is>
      </c>
      <c r="D665" s="615" t="inlineStr">
        <is>
          <t>ท่าเรือแหลมฉบัง</t>
        </is>
      </c>
      <c r="E665" s="627" t="n">
        <v>3.6</v>
      </c>
      <c r="F665" s="625" t="inlineStr">
        <is>
          <t>Km</t>
        </is>
      </c>
      <c r="G665" s="625" t="inlineStr">
        <is>
          <t>รถเทรลเลอร์</t>
        </is>
      </c>
      <c r="H665" s="625" t="inlineStr">
        <is>
          <t>TOMAKOMAI, JAPAN</t>
        </is>
      </c>
      <c r="I665" s="629" t="n">
        <v>5092</v>
      </c>
      <c r="J665" s="628" t="inlineStr">
        <is>
          <t>Km</t>
        </is>
      </c>
      <c r="K665" s="630" t="n">
        <v>2180</v>
      </c>
      <c r="L665" s="640">
        <f>M665-K665</f>
        <v/>
      </c>
      <c r="M665" s="1797" t="n">
        <v>7731.55</v>
      </c>
      <c r="N665" s="1801" t="n">
        <v>4482.51</v>
      </c>
      <c r="O665" s="615" t="n">
        <v>0</v>
      </c>
      <c r="P665" s="641" t="n">
        <v>100</v>
      </c>
    </row>
    <row r="666" ht="15.75" customHeight="1">
      <c r="A666" s="631" t="inlineStr">
        <is>
          <t>FO23100016</t>
        </is>
      </c>
      <c r="B666" s="632" t="n">
        <v>45213</v>
      </c>
      <c r="C666" s="633" t="inlineStr">
        <is>
          <t>มัลติแบกซ์</t>
        </is>
      </c>
      <c r="D666" s="633" t="inlineStr">
        <is>
          <t>ท่าเรือแหลมฉบัง</t>
        </is>
      </c>
      <c r="E666" s="634" t="n">
        <v>6</v>
      </c>
      <c r="F666" s="631" t="inlineStr">
        <is>
          <t>Km</t>
        </is>
      </c>
      <c r="G666" s="631" t="inlineStr">
        <is>
          <t>รถเทรลเลอร์</t>
        </is>
      </c>
      <c r="H666" s="631" t="inlineStr">
        <is>
          <t>COLUMBUS OHIO, USA</t>
        </is>
      </c>
      <c r="I666" s="636" t="n">
        <v>14000</v>
      </c>
      <c r="J666" s="635" t="inlineStr">
        <is>
          <t>Km</t>
        </is>
      </c>
      <c r="K666" s="637" t="n">
        <v>3750</v>
      </c>
      <c r="L666" s="642">
        <f>M666-K666</f>
        <v/>
      </c>
      <c r="M666" s="1799" t="n">
        <v>21819.56</v>
      </c>
      <c r="N666" s="1800" t="n">
        <v>15720.96</v>
      </c>
      <c r="O666" s="633" t="n">
        <v>0</v>
      </c>
      <c r="P666" s="643" t="n">
        <v>100</v>
      </c>
    </row>
    <row r="667" ht="15.75" customHeight="1">
      <c r="A667" s="625" t="inlineStr">
        <is>
          <t>FO23100017</t>
        </is>
      </c>
      <c r="B667" s="626" t="n">
        <v>45213</v>
      </c>
      <c r="C667" s="615" t="inlineStr">
        <is>
          <t>มัลติแบกซ์</t>
        </is>
      </c>
      <c r="D667" s="615" t="inlineStr">
        <is>
          <t>ท่าเรือแหลมฉบัง</t>
        </is>
      </c>
      <c r="E667" s="627" t="n">
        <v>6</v>
      </c>
      <c r="F667" s="625" t="inlineStr">
        <is>
          <t>Km</t>
        </is>
      </c>
      <c r="G667" s="625" t="inlineStr">
        <is>
          <t>รถเทรลเลอร์</t>
        </is>
      </c>
      <c r="H667" s="625" t="inlineStr">
        <is>
          <t>COLUMBUS OHIO, USA</t>
        </is>
      </c>
      <c r="I667" s="629" t="n">
        <v>14000</v>
      </c>
      <c r="J667" s="628" t="inlineStr">
        <is>
          <t>Km</t>
        </is>
      </c>
      <c r="K667" s="630" t="n">
        <v>3700</v>
      </c>
      <c r="L667" s="640">
        <f>M667-K667</f>
        <v/>
      </c>
      <c r="M667" s="1797" t="n">
        <v>21443.6</v>
      </c>
      <c r="N667" s="1801" t="n">
        <v>15139.84</v>
      </c>
      <c r="O667" s="615" t="n">
        <v>0</v>
      </c>
      <c r="P667" s="641" t="n">
        <v>100</v>
      </c>
    </row>
    <row r="668" ht="15.75" customHeight="1">
      <c r="A668" s="631" t="inlineStr">
        <is>
          <t>FO23100018</t>
        </is>
      </c>
      <c r="B668" s="632" t="n">
        <v>45213</v>
      </c>
      <c r="C668" s="633" t="inlineStr">
        <is>
          <t>มัลติแบกซ์</t>
        </is>
      </c>
      <c r="D668" s="633" t="inlineStr">
        <is>
          <t>ท่าเรือแหลมฉบัง</t>
        </is>
      </c>
      <c r="E668" s="634" t="n">
        <v>6</v>
      </c>
      <c r="F668" s="631" t="inlineStr">
        <is>
          <t>Km</t>
        </is>
      </c>
      <c r="G668" s="631" t="inlineStr">
        <is>
          <t>รถเทรลเลอร์</t>
        </is>
      </c>
      <c r="H668" s="631" t="inlineStr">
        <is>
          <t>COLUMBUS OHIO, USA</t>
        </is>
      </c>
      <c r="I668" s="636" t="n">
        <v>14000</v>
      </c>
      <c r="J668" s="635" t="inlineStr">
        <is>
          <t>Km</t>
        </is>
      </c>
      <c r="K668" s="637" t="n">
        <v>3820</v>
      </c>
      <c r="L668" s="642">
        <f>M668-K668</f>
        <v/>
      </c>
      <c r="M668" s="1799" t="n">
        <v>21796.3</v>
      </c>
      <c r="N668" s="1800" t="n">
        <v>15445.6</v>
      </c>
      <c r="O668" s="633" t="n">
        <v>0</v>
      </c>
      <c r="P668" s="643" t="n">
        <v>100</v>
      </c>
    </row>
    <row r="669" ht="15.75" customHeight="1">
      <c r="A669" s="625" t="inlineStr">
        <is>
          <t>FO23100019</t>
        </is>
      </c>
      <c r="B669" s="626" t="n">
        <v>45218</v>
      </c>
      <c r="C669" s="615" t="inlineStr">
        <is>
          <t>มัลติแบกซ์</t>
        </is>
      </c>
      <c r="D669" s="615" t="inlineStr">
        <is>
          <t>ท่าเรือแหลมฉบัง</t>
        </is>
      </c>
      <c r="E669" s="627" t="n">
        <v>6.5</v>
      </c>
      <c r="F669" s="625" t="inlineStr">
        <is>
          <t>Km</t>
        </is>
      </c>
      <c r="G669" s="625" t="inlineStr">
        <is>
          <t>รถเทรลเลอร์</t>
        </is>
      </c>
      <c r="H669" s="625" t="inlineStr">
        <is>
          <t>UK PORT</t>
        </is>
      </c>
      <c r="I669" s="629" t="n">
        <v>9687</v>
      </c>
      <c r="J669" s="628" t="inlineStr">
        <is>
          <t>Km</t>
        </is>
      </c>
      <c r="K669" s="630" t="n">
        <v>3670</v>
      </c>
      <c r="L669" s="640">
        <f>M669-K669</f>
        <v/>
      </c>
      <c r="M669" s="1797" t="n">
        <v>28697</v>
      </c>
      <c r="N669" s="1801" t="n">
        <v>23842</v>
      </c>
      <c r="O669" s="615" t="n">
        <v>0</v>
      </c>
      <c r="P669" s="641" t="n">
        <v>100</v>
      </c>
    </row>
    <row r="670" ht="15.75" customHeight="1">
      <c r="A670" s="631" t="inlineStr">
        <is>
          <t>FO23100044</t>
        </is>
      </c>
      <c r="B670" s="632" t="n">
        <v>45226</v>
      </c>
      <c r="C670" s="633" t="inlineStr">
        <is>
          <t>มัลติแบกซ์</t>
        </is>
      </c>
      <c r="D670" s="633" t="inlineStr">
        <is>
          <t>ท่าเรือแหลมฉบัง</t>
        </is>
      </c>
      <c r="E670" s="634" t="n">
        <v>7.1</v>
      </c>
      <c r="F670" s="631" t="inlineStr">
        <is>
          <t>Km</t>
        </is>
      </c>
      <c r="G670" s="631" t="inlineStr">
        <is>
          <t>รถเทรลเลอร์</t>
        </is>
      </c>
      <c r="H670" s="631" t="inlineStr">
        <is>
          <t>HAMAD, QATAR</t>
        </is>
      </c>
      <c r="I670" s="636" t="n">
        <v>5317</v>
      </c>
      <c r="J670" s="635" t="inlineStr">
        <is>
          <t>Km</t>
        </is>
      </c>
      <c r="K670" s="637" t="n">
        <v>2200</v>
      </c>
      <c r="L670" s="642">
        <f>M670-K670</f>
        <v/>
      </c>
      <c r="M670" s="1799" t="n">
        <v>6433.2</v>
      </c>
      <c r="N670" s="1800" t="n">
        <v>3230.64</v>
      </c>
      <c r="O670" s="633" t="n">
        <v>0</v>
      </c>
      <c r="P670" s="643" t="n">
        <v>100</v>
      </c>
    </row>
    <row r="671" ht="15.75" customHeight="1">
      <c r="A671" s="625" t="inlineStr">
        <is>
          <t>FO23100023</t>
        </is>
      </c>
      <c r="B671" s="626" t="n">
        <v>45215</v>
      </c>
      <c r="C671" s="615" t="inlineStr">
        <is>
          <t>มัลติแบกซ์</t>
        </is>
      </c>
      <c r="D671" s="615" t="inlineStr">
        <is>
          <t>ท่าเรือแหลมฉบัง</t>
        </is>
      </c>
      <c r="E671" s="627" t="n">
        <v>7.1</v>
      </c>
      <c r="F671" s="625" t="inlineStr">
        <is>
          <t>Km</t>
        </is>
      </c>
      <c r="G671" s="625" t="inlineStr">
        <is>
          <t>รถเทรลเลอร์</t>
        </is>
      </c>
      <c r="H671" s="625" t="inlineStr">
        <is>
          <t>HONG KONG</t>
        </is>
      </c>
      <c r="I671" s="629" t="n">
        <v>1734</v>
      </c>
      <c r="J671" s="628" t="inlineStr">
        <is>
          <t>Km</t>
        </is>
      </c>
      <c r="K671" s="630" t="n">
        <v>3600</v>
      </c>
      <c r="L671" s="640">
        <f>M671-K671</f>
        <v/>
      </c>
      <c r="M671" s="1797" t="n">
        <v>15371.8</v>
      </c>
      <c r="N671" s="1801" t="n">
        <v>9253.6</v>
      </c>
      <c r="O671" s="615" t="n">
        <v>0</v>
      </c>
      <c r="P671" s="641" t="n">
        <v>100</v>
      </c>
    </row>
    <row r="672" ht="15.75" customHeight="1">
      <c r="A672" s="631" t="inlineStr">
        <is>
          <t>FO23100046</t>
        </is>
      </c>
      <c r="B672" s="632" t="n">
        <v>45226</v>
      </c>
      <c r="C672" s="633" t="inlineStr">
        <is>
          <t>มัลติแบกซ์</t>
        </is>
      </c>
      <c r="D672" s="633" t="inlineStr">
        <is>
          <t>ท่าเรือแหลมฉบัง</t>
        </is>
      </c>
      <c r="E672" s="634" t="n">
        <v>6</v>
      </c>
      <c r="F672" s="631" t="inlineStr">
        <is>
          <t>Km</t>
        </is>
      </c>
      <c r="G672" s="631" t="inlineStr">
        <is>
          <t>รถเทรลเลอร์</t>
        </is>
      </c>
      <c r="H672" s="631" t="inlineStr">
        <is>
          <t>HAMAD, QATAR</t>
        </is>
      </c>
      <c r="I672" s="636" t="n">
        <v>5317</v>
      </c>
      <c r="J672" s="635" t="inlineStr">
        <is>
          <t>Km</t>
        </is>
      </c>
      <c r="K672" s="637" t="n">
        <v>2160</v>
      </c>
      <c r="L672" s="642">
        <f>M672-K672</f>
        <v/>
      </c>
      <c r="M672" s="1799" t="n">
        <v>9021.700000000001</v>
      </c>
      <c r="N672" s="1800" t="n">
        <v>5743.62</v>
      </c>
      <c r="O672" s="633" t="n">
        <v>0</v>
      </c>
      <c r="P672" s="643" t="n">
        <v>100</v>
      </c>
    </row>
    <row r="673" ht="15.75" customHeight="1">
      <c r="A673" s="625" t="inlineStr">
        <is>
          <t>FO23100032</t>
        </is>
      </c>
      <c r="B673" s="626" t="n">
        <v>45217</v>
      </c>
      <c r="C673" s="615" t="inlineStr">
        <is>
          <t>มัลติแบกซ์</t>
        </is>
      </c>
      <c r="D673" s="615" t="inlineStr">
        <is>
          <t>ท่าเรือแหลมฉบัง</t>
        </is>
      </c>
      <c r="E673" s="627" t="n">
        <v>6.2</v>
      </c>
      <c r="F673" s="625" t="inlineStr">
        <is>
          <t>Km</t>
        </is>
      </c>
      <c r="G673" s="625" t="inlineStr">
        <is>
          <t>รถเทรลเลอร์</t>
        </is>
      </c>
      <c r="H673" s="625" t="inlineStr">
        <is>
          <t>JACKSONVILLE IL, USA</t>
        </is>
      </c>
      <c r="I673" s="629" t="n">
        <v>15168</v>
      </c>
      <c r="J673" s="628" t="inlineStr">
        <is>
          <t>Km</t>
        </is>
      </c>
      <c r="K673" s="630" t="n">
        <v>3300</v>
      </c>
      <c r="L673" s="640">
        <f>M673-K673</f>
        <v/>
      </c>
      <c r="M673" s="1797" t="n">
        <v>24124.6</v>
      </c>
      <c r="N673" s="1801" t="n">
        <v>15523.2</v>
      </c>
      <c r="O673" s="615" t="n">
        <v>0</v>
      </c>
      <c r="P673" s="641" t="n">
        <v>100</v>
      </c>
    </row>
    <row r="674" ht="15.75" customHeight="1">
      <c r="A674" s="631" t="inlineStr">
        <is>
          <t>FO23100026</t>
        </is>
      </c>
      <c r="B674" s="632" t="n">
        <v>45213</v>
      </c>
      <c r="C674" s="633" t="inlineStr">
        <is>
          <t>มัลติแบกซ์</t>
        </is>
      </c>
      <c r="D674" s="633" t="inlineStr">
        <is>
          <t>ท่าเรือแหลมฉบัง</t>
        </is>
      </c>
      <c r="E674" s="634" t="n">
        <v>11.9</v>
      </c>
      <c r="F674" s="631" t="inlineStr">
        <is>
          <t>Km</t>
        </is>
      </c>
      <c r="G674" s="631" t="inlineStr">
        <is>
          <t>รถเทรลเลอร์</t>
        </is>
      </c>
      <c r="H674" s="631" t="inlineStr">
        <is>
          <t>DURBAN, SOUTH AFRICA</t>
        </is>
      </c>
      <c r="I674" s="636" t="n">
        <v>8865</v>
      </c>
      <c r="J674" s="635" t="inlineStr">
        <is>
          <t>Km</t>
        </is>
      </c>
      <c r="K674" s="637" t="n">
        <v>2160</v>
      </c>
      <c r="L674" s="642">
        <f>M674-K674</f>
        <v/>
      </c>
      <c r="M674" s="1799" t="n">
        <v>13267.25</v>
      </c>
      <c r="N674" s="1800" t="n">
        <v>10472.95</v>
      </c>
      <c r="O674" s="633" t="n">
        <v>0</v>
      </c>
      <c r="P674" s="643" t="n">
        <v>100</v>
      </c>
    </row>
    <row r="675" ht="15.75" customHeight="1">
      <c r="A675" s="625" t="inlineStr">
        <is>
          <t>FO23100051</t>
        </is>
      </c>
      <c r="B675" s="626" t="n">
        <v>45230</v>
      </c>
      <c r="C675" s="615" t="inlineStr">
        <is>
          <t>มัลติแบกซ์</t>
        </is>
      </c>
      <c r="D675" s="615" t="inlineStr">
        <is>
          <t>ท่าเรือแหลมฉบัง</t>
        </is>
      </c>
      <c r="E675" s="627" t="n">
        <v>7.1</v>
      </c>
      <c r="F675" s="625" t="inlineStr">
        <is>
          <t>Km</t>
        </is>
      </c>
      <c r="G675" s="625" t="inlineStr">
        <is>
          <t>รถเทรลเลอร์</t>
        </is>
      </c>
      <c r="H675" s="625" t="inlineStr">
        <is>
          <t>JACKSONVILLE IL, USA</t>
        </is>
      </c>
      <c r="I675" s="629" t="n">
        <v>15168</v>
      </c>
      <c r="J675" s="628" t="inlineStr">
        <is>
          <t>Km</t>
        </is>
      </c>
      <c r="K675" s="630" t="n">
        <v>3700</v>
      </c>
      <c r="L675" s="640">
        <f>M675-K675</f>
        <v/>
      </c>
      <c r="M675" s="1797" t="n">
        <v>24362.6</v>
      </c>
      <c r="N675" s="1801" t="n">
        <v>16464</v>
      </c>
      <c r="O675" s="615" t="n">
        <v>0</v>
      </c>
      <c r="P675" s="641" t="n">
        <v>100</v>
      </c>
    </row>
    <row r="676" ht="15.75" customHeight="1">
      <c r="A676" s="631" t="inlineStr">
        <is>
          <t>FO23100028</t>
        </is>
      </c>
      <c r="B676" s="632" t="n">
        <v>45219</v>
      </c>
      <c r="C676" s="633" t="inlineStr">
        <is>
          <t>มัลติแบกซ์</t>
        </is>
      </c>
      <c r="D676" s="633" t="inlineStr">
        <is>
          <t>ท่าเรือแหลมฉบัง</t>
        </is>
      </c>
      <c r="E676" s="634" t="n">
        <v>6</v>
      </c>
      <c r="F676" s="631" t="inlineStr">
        <is>
          <t>Km</t>
        </is>
      </c>
      <c r="G676" s="631" t="inlineStr">
        <is>
          <t>รถเทรลเลอร์</t>
        </is>
      </c>
      <c r="H676" s="631" t="inlineStr">
        <is>
          <t>COLUMBUS OHIO, USA</t>
        </is>
      </c>
      <c r="I676" s="636" t="n">
        <v>14000</v>
      </c>
      <c r="J676" s="635" t="inlineStr">
        <is>
          <t>Km</t>
        </is>
      </c>
      <c r="K676" s="637" t="n">
        <v>3900</v>
      </c>
      <c r="L676" s="642">
        <f>M676-K676</f>
        <v/>
      </c>
      <c r="M676" s="1799" t="n">
        <v>20638.49</v>
      </c>
      <c r="N676" s="1800" t="n">
        <v>14450.05</v>
      </c>
      <c r="O676" s="633" t="n">
        <v>0</v>
      </c>
      <c r="P676" s="643" t="n">
        <v>100</v>
      </c>
    </row>
    <row r="677" ht="15.75" customHeight="1">
      <c r="A677" s="625" t="inlineStr">
        <is>
          <t>FO23100029</t>
        </is>
      </c>
      <c r="B677" s="626" t="n">
        <v>45219</v>
      </c>
      <c r="C677" s="615" t="inlineStr">
        <is>
          <t>มัลติแบกซ์</t>
        </is>
      </c>
      <c r="D677" s="615" t="inlineStr">
        <is>
          <t>ท่าเรือแหลมฉบัง</t>
        </is>
      </c>
      <c r="E677" s="627" t="n">
        <v>6</v>
      </c>
      <c r="F677" s="625" t="inlineStr">
        <is>
          <t>Km</t>
        </is>
      </c>
      <c r="G677" s="625" t="inlineStr">
        <is>
          <t>รถเทรลเลอร์</t>
        </is>
      </c>
      <c r="H677" s="625" t="inlineStr">
        <is>
          <t>COLUMBUS OHIO, USA</t>
        </is>
      </c>
      <c r="I677" s="629" t="n">
        <v>14000</v>
      </c>
      <c r="J677" s="628" t="inlineStr">
        <is>
          <t>Km</t>
        </is>
      </c>
      <c r="K677" s="630" t="n">
        <v>3900</v>
      </c>
      <c r="L677" s="640">
        <f>M677-K677</f>
        <v/>
      </c>
      <c r="M677" s="1797" t="n">
        <v>22448.56</v>
      </c>
      <c r="N677" s="1801" t="n">
        <v>15930.62</v>
      </c>
      <c r="O677" s="615" t="n">
        <v>0</v>
      </c>
      <c r="P677" s="641" t="n">
        <v>100</v>
      </c>
    </row>
    <row r="678" ht="15.75" customHeight="1">
      <c r="A678" s="631" t="inlineStr">
        <is>
          <t>FO23100052</t>
        </is>
      </c>
      <c r="B678" s="632" t="n">
        <v>45230</v>
      </c>
      <c r="C678" s="633" t="inlineStr">
        <is>
          <t>มัลติแบกซ์</t>
        </is>
      </c>
      <c r="D678" s="633" t="inlineStr">
        <is>
          <t>ท่าเรือแหลมฉบัง</t>
        </is>
      </c>
      <c r="E678" s="634" t="n">
        <v>7.1</v>
      </c>
      <c r="F678" s="631" t="inlineStr">
        <is>
          <t>Km</t>
        </is>
      </c>
      <c r="G678" s="631" t="inlineStr">
        <is>
          <t>รถเทรลเลอร์</t>
        </is>
      </c>
      <c r="H678" s="631" t="inlineStr">
        <is>
          <t>JACKSONVILLE IL, USA</t>
        </is>
      </c>
      <c r="I678" s="636" t="n">
        <v>15168</v>
      </c>
      <c r="J678" s="635" t="inlineStr">
        <is>
          <t>Km</t>
        </is>
      </c>
      <c r="K678" s="637" t="n">
        <v>3840</v>
      </c>
      <c r="L678" s="642">
        <f>M678-K678</f>
        <v/>
      </c>
      <c r="M678" s="1799" t="n">
        <v>24502.6</v>
      </c>
      <c r="N678" s="1800" t="n">
        <v>16464</v>
      </c>
      <c r="O678" s="633" t="n">
        <v>0</v>
      </c>
      <c r="P678" s="643" t="n">
        <v>100</v>
      </c>
    </row>
    <row r="679" ht="15.75" customHeight="1">
      <c r="A679" s="625" t="inlineStr">
        <is>
          <t>FO23100031</t>
        </is>
      </c>
      <c r="B679" s="626" t="n">
        <v>45216</v>
      </c>
      <c r="C679" s="615" t="inlineStr">
        <is>
          <t>มัลติแบกซ์</t>
        </is>
      </c>
      <c r="D679" s="615" t="inlineStr">
        <is>
          <t>ท่าเรือแหลมฉบัง</t>
        </is>
      </c>
      <c r="E679" s="627" t="n">
        <v>7.1</v>
      </c>
      <c r="F679" s="625" t="inlineStr">
        <is>
          <t>Km</t>
        </is>
      </c>
      <c r="G679" s="625" t="inlineStr">
        <is>
          <t>รถเทรลเลอร์</t>
        </is>
      </c>
      <c r="H679" s="625" t="inlineStr">
        <is>
          <t>UNIVERSITY PARK IL, USA</t>
        </is>
      </c>
      <c r="I679" s="629" t="n">
        <v>13877</v>
      </c>
      <c r="J679" s="628" t="inlineStr">
        <is>
          <t>Km</t>
        </is>
      </c>
      <c r="K679" s="630" t="n">
        <v>3840</v>
      </c>
      <c r="L679" s="640">
        <f>M679-K679</f>
        <v/>
      </c>
      <c r="M679" s="1797" t="n">
        <v>23439.5</v>
      </c>
      <c r="N679" s="1801" t="n">
        <v>15795</v>
      </c>
      <c r="O679" s="615" t="n">
        <v>0</v>
      </c>
      <c r="P679" s="641" t="n">
        <v>100</v>
      </c>
    </row>
    <row r="680" ht="15.75" customHeight="1">
      <c r="A680" s="631" t="inlineStr">
        <is>
          <t>FO23100054</t>
        </is>
      </c>
      <c r="B680" s="632" t="n">
        <v>45230</v>
      </c>
      <c r="C680" s="633" t="inlineStr">
        <is>
          <t>มัลติแบกซ์</t>
        </is>
      </c>
      <c r="D680" s="633" t="inlineStr">
        <is>
          <t>ท่าเรือแหลมฉบัง</t>
        </is>
      </c>
      <c r="E680" s="634" t="n">
        <v>5.8</v>
      </c>
      <c r="F680" s="631" t="inlineStr">
        <is>
          <t>Km</t>
        </is>
      </c>
      <c r="G680" s="631" t="inlineStr">
        <is>
          <t>รถเทรลเลอร์</t>
        </is>
      </c>
      <c r="H680" s="631" t="inlineStr">
        <is>
          <t>KARACHI PORT , PAKISTAN</t>
        </is>
      </c>
      <c r="I680" s="636" t="n">
        <v>3782</v>
      </c>
      <c r="J680" s="635" t="inlineStr">
        <is>
          <t>Km</t>
        </is>
      </c>
      <c r="K680" s="634" t="n">
        <v>2220</v>
      </c>
      <c r="L680" s="642">
        <f>M680-K680</f>
        <v/>
      </c>
      <c r="M680" s="1799" t="n">
        <v>6660.5</v>
      </c>
      <c r="N680" s="1803" t="n">
        <v>12460.53</v>
      </c>
      <c r="O680" s="633" t="n">
        <v>0</v>
      </c>
      <c r="P680" s="643" t="n">
        <v>100</v>
      </c>
    </row>
    <row r="681" ht="15.75" customHeight="1">
      <c r="A681" s="625" t="inlineStr">
        <is>
          <t>FO23100049</t>
        </is>
      </c>
      <c r="B681" s="626" t="n">
        <v>45229</v>
      </c>
      <c r="C681" s="615" t="inlineStr">
        <is>
          <t>มัลติแบกซ์</t>
        </is>
      </c>
      <c r="D681" s="615" t="inlineStr">
        <is>
          <t>ท่าเรือแหลมฉบัง</t>
        </is>
      </c>
      <c r="E681" s="627" t="n">
        <v>7.1</v>
      </c>
      <c r="F681" s="625" t="inlineStr">
        <is>
          <t>Km</t>
        </is>
      </c>
      <c r="G681" s="625" t="inlineStr">
        <is>
          <t>รถเทรลเลอร์</t>
        </is>
      </c>
      <c r="H681" s="625" t="inlineStr">
        <is>
          <t>MANILA, PHILIPPINES</t>
        </is>
      </c>
      <c r="I681" s="629" t="n">
        <v>2167</v>
      </c>
      <c r="J681" s="628" t="inlineStr">
        <is>
          <t>Km</t>
        </is>
      </c>
      <c r="K681" s="630" t="n">
        <v>3640</v>
      </c>
      <c r="L681" s="640">
        <f>M681-K681</f>
        <v/>
      </c>
      <c r="M681" s="1797" t="n">
        <v>13132.3</v>
      </c>
      <c r="N681" s="1801" t="n">
        <v>7156.7</v>
      </c>
      <c r="O681" s="615" t="n">
        <v>0</v>
      </c>
      <c r="P681" s="641" t="n">
        <v>100</v>
      </c>
    </row>
    <row r="682" ht="15.75" customHeight="1">
      <c r="A682" s="631" t="inlineStr">
        <is>
          <t>FO23100034</t>
        </is>
      </c>
      <c r="B682" s="632" t="n">
        <v>45224</v>
      </c>
      <c r="C682" s="633" t="inlineStr">
        <is>
          <t>มัลติแบกซ์</t>
        </is>
      </c>
      <c r="D682" s="633" t="inlineStr">
        <is>
          <t>ท่าเรือแหลมฉบัง</t>
        </is>
      </c>
      <c r="E682" s="634" t="n">
        <v>6.2</v>
      </c>
      <c r="F682" s="631" t="inlineStr">
        <is>
          <t>Km</t>
        </is>
      </c>
      <c r="G682" s="631" t="inlineStr">
        <is>
          <t>รถเทรลเลอร์</t>
        </is>
      </c>
      <c r="H682" s="631" t="inlineStr">
        <is>
          <t>APPLETON WI , USA</t>
        </is>
      </c>
      <c r="I682" s="636" t="n">
        <v>13558</v>
      </c>
      <c r="J682" s="635" t="inlineStr">
        <is>
          <t>Km</t>
        </is>
      </c>
      <c r="K682" s="637" t="n">
        <v>3900</v>
      </c>
      <c r="L682" s="642">
        <f>M682-K682</f>
        <v/>
      </c>
      <c r="M682" s="1799" t="n">
        <v>13614.5</v>
      </c>
      <c r="N682" s="1800" t="n">
        <v>6937.5</v>
      </c>
      <c r="O682" s="633" t="n">
        <v>0</v>
      </c>
      <c r="P682" s="643" t="n">
        <v>100</v>
      </c>
    </row>
    <row r="683" ht="15.75" customHeight="1">
      <c r="A683" s="625" t="inlineStr">
        <is>
          <t>FO23100035</t>
        </is>
      </c>
      <c r="B683" s="626" t="n">
        <v>45224</v>
      </c>
      <c r="C683" s="615" t="inlineStr">
        <is>
          <t>มัลติแบกซ์</t>
        </is>
      </c>
      <c r="D683" s="615" t="inlineStr">
        <is>
          <t>ท่าเรือแหลมฉบัง</t>
        </is>
      </c>
      <c r="E683" s="627" t="n">
        <v>11.9</v>
      </c>
      <c r="F683" s="625" t="inlineStr">
        <is>
          <t>Km</t>
        </is>
      </c>
      <c r="G683" s="625" t="inlineStr">
        <is>
          <t>รถเทรลเลอร์</t>
        </is>
      </c>
      <c r="H683" s="625" t="inlineStr">
        <is>
          <t>SYDNEY, AUSTRALIA</t>
        </is>
      </c>
      <c r="I683" s="629" t="n">
        <v>7448</v>
      </c>
      <c r="J683" s="628" t="inlineStr">
        <is>
          <t>Km</t>
        </is>
      </c>
      <c r="K683" s="630" t="n">
        <v>3740</v>
      </c>
      <c r="L683" s="640">
        <f>M683-K683</f>
        <v/>
      </c>
      <c r="M683" s="1797" t="n">
        <v>27367</v>
      </c>
      <c r="N683" s="1801" t="n">
        <v>21681</v>
      </c>
      <c r="O683" s="615" t="n">
        <v>0</v>
      </c>
      <c r="P683" s="641" t="n">
        <v>100</v>
      </c>
    </row>
    <row r="684" ht="15.75" customHeight="1">
      <c r="A684" s="631" t="inlineStr">
        <is>
          <t>FO23100036</t>
        </is>
      </c>
      <c r="B684" s="632" t="n">
        <v>45224</v>
      </c>
      <c r="C684" s="633" t="inlineStr">
        <is>
          <t>มัลติแบกซ์</t>
        </is>
      </c>
      <c r="D684" s="633" t="inlineStr">
        <is>
          <t>ท่าเรือแหลมฉบัง</t>
        </is>
      </c>
      <c r="E684" s="634" t="n">
        <v>11.9</v>
      </c>
      <c r="F684" s="631" t="inlineStr">
        <is>
          <t>Km</t>
        </is>
      </c>
      <c r="G684" s="631" t="inlineStr">
        <is>
          <t>รถเทรลเลอร์</t>
        </is>
      </c>
      <c r="H684" s="631" t="inlineStr">
        <is>
          <t>SYDNEY, AUSTRALIA</t>
        </is>
      </c>
      <c r="I684" s="636" t="n">
        <v>7448</v>
      </c>
      <c r="J684" s="635" t="inlineStr">
        <is>
          <t>Km</t>
        </is>
      </c>
      <c r="K684" s="637" t="n">
        <v>2540</v>
      </c>
      <c r="L684" s="642">
        <f>M684-K684</f>
        <v/>
      </c>
      <c r="M684" s="1799" t="n">
        <v>27642</v>
      </c>
      <c r="N684" s="1800" t="n">
        <v>20794</v>
      </c>
      <c r="O684" s="633" t="n">
        <v>0</v>
      </c>
      <c r="P684" s="643" t="n">
        <v>100</v>
      </c>
    </row>
    <row r="685" ht="15.75" customHeight="1">
      <c r="A685" s="625" t="inlineStr">
        <is>
          <t>FO23100037</t>
        </is>
      </c>
      <c r="B685" s="626" t="n">
        <v>45224</v>
      </c>
      <c r="C685" s="615" t="inlineStr">
        <is>
          <t>มัลติแบกซ์</t>
        </is>
      </c>
      <c r="D685" s="615" t="inlineStr">
        <is>
          <t>ท่าเรือแหลมฉบัง</t>
        </is>
      </c>
      <c r="E685" s="627" t="n">
        <v>11.9</v>
      </c>
      <c r="F685" s="625" t="inlineStr">
        <is>
          <t>Km</t>
        </is>
      </c>
      <c r="G685" s="625" t="inlineStr">
        <is>
          <t>รถเทรลเลอร์</t>
        </is>
      </c>
      <c r="H685" s="625" t="inlineStr">
        <is>
          <t>SYDNEY, AUSTRALIA</t>
        </is>
      </c>
      <c r="I685" s="629" t="n">
        <v>7448</v>
      </c>
      <c r="J685" s="628" t="inlineStr">
        <is>
          <t>Km</t>
        </is>
      </c>
      <c r="K685" s="630" t="n">
        <v>3700</v>
      </c>
      <c r="L685" s="640">
        <f>M685-K685</f>
        <v/>
      </c>
      <c r="M685" s="1797" t="n">
        <v>27352</v>
      </c>
      <c r="N685" s="1801" t="n">
        <v>17565</v>
      </c>
      <c r="O685" s="615" t="n">
        <v>0</v>
      </c>
      <c r="P685" s="641" t="n">
        <v>100</v>
      </c>
    </row>
    <row r="686" ht="15.75" customHeight="1">
      <c r="A686" s="631" t="inlineStr">
        <is>
          <t>FO23100024</t>
        </is>
      </c>
      <c r="B686" s="632" t="n">
        <v>45209</v>
      </c>
      <c r="C686" s="633" t="inlineStr">
        <is>
          <t>มัลติแบกซ์</t>
        </is>
      </c>
      <c r="D686" s="633" t="inlineStr">
        <is>
          <t>ท่าเรือแหลมฉบัง</t>
        </is>
      </c>
      <c r="E686" s="634" t="n">
        <v>7.1</v>
      </c>
      <c r="F686" s="631" t="inlineStr">
        <is>
          <t>Km</t>
        </is>
      </c>
      <c r="G686" s="631" t="inlineStr">
        <is>
          <t>รถเทรลเลอร์</t>
        </is>
      </c>
      <c r="H686" s="631" t="inlineStr">
        <is>
          <t>MANZANILLO, MEXICO</t>
        </is>
      </c>
      <c r="I686" s="636" t="n">
        <v>15486</v>
      </c>
      <c r="J686" s="635" t="inlineStr">
        <is>
          <t>Km</t>
        </is>
      </c>
      <c r="K686" s="637" t="n">
        <v>3890</v>
      </c>
      <c r="L686" s="642">
        <f>M686-K686</f>
        <v/>
      </c>
      <c r="M686" s="1799" t="n">
        <v>14213.6</v>
      </c>
      <c r="N686" s="1800" t="n">
        <v>10472.95</v>
      </c>
      <c r="O686" s="633" t="n">
        <v>0</v>
      </c>
      <c r="P686" s="643" t="n">
        <v>100</v>
      </c>
    </row>
    <row r="687" ht="15.75" customHeight="1">
      <c r="A687" s="625" t="inlineStr">
        <is>
          <t>FO23100039</t>
        </is>
      </c>
      <c r="B687" s="626" t="n">
        <v>45224</v>
      </c>
      <c r="C687" s="615" t="inlineStr">
        <is>
          <t>มัลติแบกซ์</t>
        </is>
      </c>
      <c r="D687" s="615" t="inlineStr">
        <is>
          <t>ท่าเรือแหลมฉบัง</t>
        </is>
      </c>
      <c r="E687" s="627" t="n">
        <v>11.9</v>
      </c>
      <c r="F687" s="625" t="inlineStr">
        <is>
          <t>Km</t>
        </is>
      </c>
      <c r="G687" s="625" t="inlineStr">
        <is>
          <t>รถเทรลเลอร์</t>
        </is>
      </c>
      <c r="H687" s="625" t="inlineStr">
        <is>
          <t>SANTA TERESA, NM USA</t>
        </is>
      </c>
      <c r="I687" s="629" t="n">
        <v>17387</v>
      </c>
      <c r="J687" s="628" t="inlineStr">
        <is>
          <t>Km</t>
        </is>
      </c>
      <c r="K687" s="630" t="n">
        <v>3830</v>
      </c>
      <c r="L687" s="640">
        <f>M687-K687</f>
        <v/>
      </c>
      <c r="M687" s="1797" t="n">
        <v>21964.16</v>
      </c>
      <c r="N687" s="1801" t="n">
        <v>15814.32</v>
      </c>
      <c r="O687" s="615" t="n">
        <v>0</v>
      </c>
      <c r="P687" s="641" t="n">
        <v>100</v>
      </c>
    </row>
    <row r="688" ht="15.75" customHeight="1">
      <c r="A688" s="631" t="inlineStr">
        <is>
          <t>FO23100040</t>
        </is>
      </c>
      <c r="B688" s="632" t="n">
        <v>45224</v>
      </c>
      <c r="C688" s="633" t="inlineStr">
        <is>
          <t>มัลติแบกซ์</t>
        </is>
      </c>
      <c r="D688" s="633" t="inlineStr">
        <is>
          <t>ท่าเรือแหลมฉบัง</t>
        </is>
      </c>
      <c r="E688" s="634" t="n">
        <v>6.2</v>
      </c>
      <c r="F688" s="631" t="inlineStr">
        <is>
          <t>Km</t>
        </is>
      </c>
      <c r="G688" s="631" t="inlineStr">
        <is>
          <t>รถเทรลเลอร์</t>
        </is>
      </c>
      <c r="H688" s="631" t="inlineStr">
        <is>
          <t>SANTA TERESA, NM USA</t>
        </is>
      </c>
      <c r="I688" s="636" t="n">
        <v>17387</v>
      </c>
      <c r="J688" s="635" t="inlineStr">
        <is>
          <t>Km</t>
        </is>
      </c>
      <c r="K688" s="637" t="n">
        <v>3860</v>
      </c>
      <c r="L688" s="642">
        <f>M688-K688</f>
        <v/>
      </c>
      <c r="M688" s="1799" t="n">
        <v>22955.28</v>
      </c>
      <c r="N688" s="1800" t="n">
        <v>16791.82</v>
      </c>
      <c r="O688" s="633" t="n">
        <v>0</v>
      </c>
      <c r="P688" s="643" t="n">
        <v>100</v>
      </c>
    </row>
    <row r="689" ht="15.75" customHeight="1">
      <c r="A689" s="625" t="inlineStr">
        <is>
          <t>FO23100020</t>
        </is>
      </c>
      <c r="B689" s="626" t="n">
        <v>45215</v>
      </c>
      <c r="C689" s="615" t="inlineStr">
        <is>
          <t>มัลติแบกซ์</t>
        </is>
      </c>
      <c r="D689" s="615" t="inlineStr">
        <is>
          <t>ท่าเรือแหลมฉบัง</t>
        </is>
      </c>
      <c r="E689" s="627" t="n">
        <v>3.6</v>
      </c>
      <c r="F689" s="625" t="inlineStr">
        <is>
          <t>Km</t>
        </is>
      </c>
      <c r="G689" s="625" t="inlineStr">
        <is>
          <t>รถเทรลเลอร์</t>
        </is>
      </c>
      <c r="H689" s="625" t="inlineStr">
        <is>
          <t>OSAKA, JAPAN</t>
        </is>
      </c>
      <c r="I689" s="629" t="n">
        <v>4220</v>
      </c>
      <c r="J689" s="628" t="inlineStr">
        <is>
          <t>Km</t>
        </is>
      </c>
      <c r="K689" s="630" t="n">
        <v>2210</v>
      </c>
      <c r="L689" s="640">
        <f>M689-K689</f>
        <v/>
      </c>
      <c r="M689" s="1797" t="n">
        <v>7850</v>
      </c>
      <c r="N689" s="1801" t="n">
        <v>4491.64</v>
      </c>
      <c r="O689" s="615" t="n">
        <v>0</v>
      </c>
      <c r="P689" s="641" t="n">
        <v>100</v>
      </c>
    </row>
    <row r="690" ht="15.75" customHeight="1">
      <c r="A690" s="631" t="inlineStr">
        <is>
          <t>FO23100025</t>
        </is>
      </c>
      <c r="B690" s="632" t="n">
        <v>45218</v>
      </c>
      <c r="C690" s="633" t="inlineStr">
        <is>
          <t>มัลติแบกซ์</t>
        </is>
      </c>
      <c r="D690" s="633" t="inlineStr">
        <is>
          <t>ท่าเรือแหลมฉบัง</t>
        </is>
      </c>
      <c r="E690" s="634" t="n">
        <v>6.5</v>
      </c>
      <c r="F690" s="631" t="inlineStr">
        <is>
          <t>Km</t>
        </is>
      </c>
      <c r="G690" s="631" t="inlineStr">
        <is>
          <t>รถเทรลเลอร์</t>
        </is>
      </c>
      <c r="H690" s="631" t="inlineStr">
        <is>
          <t>ROTTERDAM, NETHERLANDS</t>
        </is>
      </c>
      <c r="I690" s="636" t="n">
        <v>9292</v>
      </c>
      <c r="J690" s="635" t="inlineStr">
        <is>
          <t>Km</t>
        </is>
      </c>
      <c r="K690" s="637" t="n">
        <v>2230</v>
      </c>
      <c r="L690" s="642">
        <f>M690-K690</f>
        <v/>
      </c>
      <c r="M690" s="1799" t="n">
        <v>17035</v>
      </c>
      <c r="N690" s="1800" t="n">
        <v>14226</v>
      </c>
      <c r="O690" s="633" t="n">
        <v>0</v>
      </c>
      <c r="P690" s="643" t="n">
        <v>100</v>
      </c>
    </row>
    <row r="691" ht="15.75" customHeight="1">
      <c r="A691" s="625" t="inlineStr">
        <is>
          <t>FO23100043</t>
        </is>
      </c>
      <c r="B691" s="626" t="n">
        <v>45226</v>
      </c>
      <c r="C691" s="615" t="inlineStr">
        <is>
          <t>มัลติแบกซ์</t>
        </is>
      </c>
      <c r="D691" s="615" t="inlineStr">
        <is>
          <t>ท่าเรือแหลมฉบัง</t>
        </is>
      </c>
      <c r="E691" s="627" t="n">
        <v>4.1</v>
      </c>
      <c r="F691" s="625" t="inlineStr">
        <is>
          <t>Km</t>
        </is>
      </c>
      <c r="G691" s="625" t="inlineStr">
        <is>
          <t>รถเทรลเลอร์</t>
        </is>
      </c>
      <c r="H691" s="625" t="inlineStr">
        <is>
          <t>UK PORT</t>
        </is>
      </c>
      <c r="I691" s="629" t="n">
        <v>9687</v>
      </c>
      <c r="J691" s="628" t="inlineStr">
        <is>
          <t>Km</t>
        </is>
      </c>
      <c r="K691" s="630" t="n">
        <v>2200</v>
      </c>
      <c r="L691" s="640">
        <f>M691-K691</f>
        <v/>
      </c>
      <c r="M691" s="1797" t="n">
        <v>7977</v>
      </c>
      <c r="N691" s="1801" t="n">
        <v>4550</v>
      </c>
      <c r="O691" s="615" t="n">
        <v>0</v>
      </c>
      <c r="P691" s="641" t="n">
        <v>100</v>
      </c>
    </row>
    <row r="692" ht="15.75" customHeight="1">
      <c r="A692" s="631" t="inlineStr">
        <is>
          <t>FO23100030</t>
        </is>
      </c>
      <c r="B692" s="632" t="n">
        <v>45216</v>
      </c>
      <c r="C692" s="633" t="inlineStr">
        <is>
          <t>มัลติแบกซ์</t>
        </is>
      </c>
      <c r="D692" s="633" t="inlineStr">
        <is>
          <t>ท่าเรือแหลมฉบัง</t>
        </is>
      </c>
      <c r="E692" s="634" t="n">
        <v>11.9</v>
      </c>
      <c r="F692" s="631" t="inlineStr">
        <is>
          <t>Km</t>
        </is>
      </c>
      <c r="G692" s="631" t="inlineStr">
        <is>
          <t>รถเทรลเลอร์</t>
        </is>
      </c>
      <c r="H692" s="631" t="inlineStr">
        <is>
          <t>SHANGHAI, CHINA</t>
        </is>
      </c>
      <c r="I692" s="636" t="n">
        <v>3943</v>
      </c>
      <c r="J692" s="635" t="inlineStr">
        <is>
          <t>Km</t>
        </is>
      </c>
      <c r="K692" s="637" t="n">
        <v>3900</v>
      </c>
      <c r="L692" s="642">
        <f>M692-K692</f>
        <v/>
      </c>
      <c r="M692" s="1799" t="n">
        <v>17392.6</v>
      </c>
      <c r="N692" s="1800" t="n">
        <v>10281.6</v>
      </c>
      <c r="O692" s="633" t="n">
        <v>0</v>
      </c>
      <c r="P692" s="643" t="n">
        <v>100</v>
      </c>
    </row>
    <row r="693" ht="15.75" customHeight="1">
      <c r="A693" s="625" t="inlineStr">
        <is>
          <t>FO23100038</t>
        </is>
      </c>
      <c r="B693" s="626" t="n">
        <v>45219</v>
      </c>
      <c r="C693" s="615" t="inlineStr">
        <is>
          <t>มัลติแบกซ์</t>
        </is>
      </c>
      <c r="D693" s="615" t="inlineStr">
        <is>
          <t>ท่าเรือแหลมฉบัง</t>
        </is>
      </c>
      <c r="E693" s="627" t="n">
        <v>11.9</v>
      </c>
      <c r="F693" s="625" t="inlineStr">
        <is>
          <t>Km</t>
        </is>
      </c>
      <c r="G693" s="625" t="inlineStr">
        <is>
          <t>รถเทรลเลอร์</t>
        </is>
      </c>
      <c r="H693" s="625" t="inlineStr">
        <is>
          <t>SHANGHAI, CHINA</t>
        </is>
      </c>
      <c r="I693" s="629" t="n">
        <v>3943</v>
      </c>
      <c r="J693" s="628" t="inlineStr">
        <is>
          <t>Km</t>
        </is>
      </c>
      <c r="K693" s="630" t="n">
        <v>3830</v>
      </c>
      <c r="L693" s="640">
        <f>M693-K693</f>
        <v/>
      </c>
      <c r="M693" s="1797" t="n">
        <v>17321.6</v>
      </c>
      <c r="N693" s="1801" t="n">
        <v>10281.6</v>
      </c>
      <c r="O693" s="615" t="n">
        <v>0</v>
      </c>
      <c r="P693" s="641" t="n">
        <v>100</v>
      </c>
    </row>
    <row r="694" ht="15.75" customHeight="1">
      <c r="A694" s="631" t="inlineStr">
        <is>
          <t>FO23100041</t>
        </is>
      </c>
      <c r="B694" s="632" t="n">
        <v>45223</v>
      </c>
      <c r="C694" s="633" t="inlineStr">
        <is>
          <t>มัลติแบกซ์</t>
        </is>
      </c>
      <c r="D694" s="633" t="inlineStr">
        <is>
          <t>ท่าเรือแหลมฉบัง</t>
        </is>
      </c>
      <c r="E694" s="634" t="n">
        <v>11.9</v>
      </c>
      <c r="F694" s="631" t="inlineStr">
        <is>
          <t>Km</t>
        </is>
      </c>
      <c r="G694" s="631" t="inlineStr">
        <is>
          <t>รถเทรลเลอร์</t>
        </is>
      </c>
      <c r="H694" s="631" t="inlineStr">
        <is>
          <t>SHEKOU, CHINA</t>
        </is>
      </c>
      <c r="I694" s="636" t="n">
        <v>2687</v>
      </c>
      <c r="J694" s="635" t="inlineStr">
        <is>
          <t>Km</t>
        </is>
      </c>
      <c r="K694" s="637" t="n">
        <v>3830</v>
      </c>
      <c r="L694" s="642">
        <f>M694-K694</f>
        <v/>
      </c>
      <c r="M694" s="1799" t="n">
        <v>17321.6</v>
      </c>
      <c r="N694" s="1800" t="n">
        <v>10281.6</v>
      </c>
      <c r="O694" s="633" t="n">
        <v>0</v>
      </c>
      <c r="P694" s="643" t="n">
        <v>100</v>
      </c>
    </row>
    <row r="695" ht="15.75" customHeight="1">
      <c r="A695" s="625" t="inlineStr">
        <is>
          <t>FO23100047</t>
        </is>
      </c>
      <c r="B695" s="626" t="n">
        <v>45224</v>
      </c>
      <c r="C695" s="615" t="inlineStr">
        <is>
          <t>มัลติแบกซ์</t>
        </is>
      </c>
      <c r="D695" s="615" t="inlineStr">
        <is>
          <t>ท่าเรือแหลมฉบัง</t>
        </is>
      </c>
      <c r="E695" s="627" t="n">
        <v>11.9</v>
      </c>
      <c r="F695" s="625" t="inlineStr">
        <is>
          <t>Km</t>
        </is>
      </c>
      <c r="G695" s="625" t="inlineStr">
        <is>
          <t>รถเทรลเลอร์</t>
        </is>
      </c>
      <c r="H695" s="625" t="inlineStr">
        <is>
          <t>SINGAPORE</t>
        </is>
      </c>
      <c r="I695" s="629" t="n">
        <v>1931</v>
      </c>
      <c r="J695" s="628" t="inlineStr">
        <is>
          <t>Km</t>
        </is>
      </c>
      <c r="K695" s="630" t="n">
        <v>5293</v>
      </c>
      <c r="L695" s="640">
        <f>M695-K695</f>
        <v/>
      </c>
      <c r="M695" s="1797" t="n">
        <v>6184</v>
      </c>
      <c r="N695" s="1801" t="n">
        <v>5293</v>
      </c>
      <c r="O695" s="615" t="n">
        <v>0</v>
      </c>
      <c r="P695" s="641" t="n">
        <v>100</v>
      </c>
    </row>
    <row r="696" ht="15.75" customHeight="1">
      <c r="A696" s="631" t="inlineStr">
        <is>
          <t>FO23100048</t>
        </is>
      </c>
      <c r="B696" s="632" t="n">
        <v>45227</v>
      </c>
      <c r="C696" s="633" t="inlineStr">
        <is>
          <t>มัลติแบกซ์</t>
        </is>
      </c>
      <c r="D696" s="633" t="inlineStr">
        <is>
          <t>ท่าเรือแหลมฉบัง</t>
        </is>
      </c>
      <c r="E696" s="634" t="n">
        <v>6.5</v>
      </c>
      <c r="F696" s="631" t="inlineStr">
        <is>
          <t>Km</t>
        </is>
      </c>
      <c r="G696" s="631" t="inlineStr">
        <is>
          <t>รถเทรลเลอร์</t>
        </is>
      </c>
      <c r="H696" s="631" t="inlineStr">
        <is>
          <t>PERRIS CA, USA</t>
        </is>
      </c>
      <c r="I696" s="636" t="n">
        <v>13413</v>
      </c>
      <c r="J696" s="635" t="inlineStr">
        <is>
          <t>Km</t>
        </is>
      </c>
      <c r="K696" s="637" t="n">
        <v>3700</v>
      </c>
      <c r="L696" s="642">
        <f>M696-K696</f>
        <v/>
      </c>
      <c r="M696" s="1799" t="n">
        <v>13414.5</v>
      </c>
      <c r="N696" s="1800" t="n">
        <v>6937.5</v>
      </c>
      <c r="O696" s="633" t="n">
        <v>0</v>
      </c>
      <c r="P696" s="643" t="n">
        <v>100</v>
      </c>
    </row>
    <row r="697" ht="15.75" customHeight="1">
      <c r="A697" s="625" t="inlineStr">
        <is>
          <t>FO23100053</t>
        </is>
      </c>
      <c r="B697" s="626" t="n">
        <v>45230</v>
      </c>
      <c r="C697" s="615" t="inlineStr">
        <is>
          <t>มัลติแบกซ์</t>
        </is>
      </c>
      <c r="D697" s="615" t="inlineStr">
        <is>
          <t>ท่าเรือแหลมฉบัง</t>
        </is>
      </c>
      <c r="E697" s="627" t="n">
        <v>11.9</v>
      </c>
      <c r="F697" s="625" t="inlineStr">
        <is>
          <t>Km</t>
        </is>
      </c>
      <c r="G697" s="625" t="inlineStr">
        <is>
          <t>รถเทรลเลอร์</t>
        </is>
      </c>
      <c r="H697" s="625" t="inlineStr">
        <is>
          <t>SHEKOU, CHINA</t>
        </is>
      </c>
      <c r="I697" s="629" t="n">
        <v>2687</v>
      </c>
      <c r="J697" s="628" t="inlineStr">
        <is>
          <t>Km</t>
        </is>
      </c>
      <c r="K697" s="630" t="n">
        <v>3620</v>
      </c>
      <c r="L697" s="640">
        <f>M697-K697</f>
        <v/>
      </c>
      <c r="M697" s="1797" t="n">
        <v>17112.6</v>
      </c>
      <c r="N697" s="1802" t="n">
        <v>10281.6</v>
      </c>
      <c r="O697" s="615" t="n">
        <v>0</v>
      </c>
      <c r="P697" s="641" t="n">
        <v>100</v>
      </c>
    </row>
    <row r="698" ht="15.75" customHeight="1">
      <c r="A698" s="631" t="inlineStr">
        <is>
          <t>FO23100050</t>
        </is>
      </c>
      <c r="B698" s="632" t="n">
        <v>45230</v>
      </c>
      <c r="C698" s="633" t="inlineStr">
        <is>
          <t>มัลติแบกซ์</t>
        </is>
      </c>
      <c r="D698" s="633" t="inlineStr">
        <is>
          <t>ท่าเรือแหลมฉบัง</t>
        </is>
      </c>
      <c r="E698" s="634" t="n">
        <v>6.2</v>
      </c>
      <c r="F698" s="631" t="inlineStr">
        <is>
          <t>Km</t>
        </is>
      </c>
      <c r="G698" s="631" t="inlineStr">
        <is>
          <t>รถเทรลเลอร์</t>
        </is>
      </c>
      <c r="H698" s="631" t="inlineStr">
        <is>
          <t>CARROLLTON TX, USA</t>
        </is>
      </c>
      <c r="I698" s="636" t="n">
        <v>14544</v>
      </c>
      <c r="J698" s="635" t="inlineStr">
        <is>
          <t>Km</t>
        </is>
      </c>
      <c r="K698" s="637" t="n">
        <v>3870</v>
      </c>
      <c r="L698" s="642">
        <f>M698-K698</f>
        <v/>
      </c>
      <c r="M698" s="1799" t="n">
        <v>19589.15</v>
      </c>
      <c r="N698" s="1800" t="n">
        <v>12460.53</v>
      </c>
      <c r="O698" s="633" t="n">
        <v>0</v>
      </c>
      <c r="P698" s="643" t="n">
        <v>100</v>
      </c>
    </row>
    <row r="699" ht="15.75" customHeight="1">
      <c r="A699" s="625" t="inlineStr">
        <is>
          <t>FO23100045</t>
        </is>
      </c>
      <c r="B699" s="626" t="n">
        <v>45226</v>
      </c>
      <c r="C699" s="615" t="inlineStr">
        <is>
          <t>มัลติแบกซ์</t>
        </is>
      </c>
      <c r="D699" s="615" t="inlineStr">
        <is>
          <t>ท่าเรือแหลมฉบัง</t>
        </is>
      </c>
      <c r="E699" s="627" t="n">
        <v>6</v>
      </c>
      <c r="F699" s="625" t="inlineStr">
        <is>
          <t>Km</t>
        </is>
      </c>
      <c r="G699" s="625" t="inlineStr">
        <is>
          <t>รถเทรลเลอร์</t>
        </is>
      </c>
      <c r="H699" s="625" t="inlineStr">
        <is>
          <t>SHUWAIKH, KUWAIT</t>
        </is>
      </c>
      <c r="I699" s="629" t="n">
        <v>5727</v>
      </c>
      <c r="J699" s="628" t="inlineStr">
        <is>
          <t>Km</t>
        </is>
      </c>
      <c r="K699" s="630" t="n">
        <v>2185</v>
      </c>
      <c r="L699" s="640">
        <f>M699-K699</f>
        <v/>
      </c>
      <c r="M699" s="1797" t="n">
        <v>9008.530000000001</v>
      </c>
      <c r="N699" s="1801" t="n">
        <v>5744.38</v>
      </c>
      <c r="O699" s="615" t="n">
        <v>0</v>
      </c>
      <c r="P699" s="641" t="n">
        <v>100</v>
      </c>
    </row>
    <row r="700" ht="15.75" customHeight="1">
      <c r="A700" s="631" t="inlineStr">
        <is>
          <t>FO23100027</t>
        </is>
      </c>
      <c r="B700" s="632" t="n">
        <v>45215</v>
      </c>
      <c r="C700" s="633" t="inlineStr">
        <is>
          <t>มัลติแบกซ์</t>
        </is>
      </c>
      <c r="D700" s="633" t="inlineStr">
        <is>
          <t>ท่าเรือแหลมฉบัง</t>
        </is>
      </c>
      <c r="E700" s="634" t="n">
        <v>6</v>
      </c>
      <c r="F700" s="631" t="inlineStr">
        <is>
          <t>Km</t>
        </is>
      </c>
      <c r="G700" s="631" t="inlineStr">
        <is>
          <t>รถเทรลเลอร์</t>
        </is>
      </c>
      <c r="H700" s="631" t="inlineStr">
        <is>
          <t>SOHAR, OMAN</t>
        </is>
      </c>
      <c r="I700" s="636" t="n">
        <v>4795</v>
      </c>
      <c r="J700" s="635" t="inlineStr">
        <is>
          <t>Km</t>
        </is>
      </c>
      <c r="K700" s="637" t="n">
        <v>2150</v>
      </c>
      <c r="L700" s="642">
        <f>M700-K700</f>
        <v/>
      </c>
      <c r="M700" s="1799" t="n">
        <v>5914.29</v>
      </c>
      <c r="N700" s="1800" t="n">
        <v>2762.28</v>
      </c>
      <c r="O700" s="633" t="n">
        <v>0</v>
      </c>
      <c r="P700" s="643" t="n">
        <v>100</v>
      </c>
    </row>
    <row r="701" ht="15.75" customHeight="1">
      <c r="A701" s="625" t="inlineStr">
        <is>
          <t>FO23100033</t>
        </is>
      </c>
      <c r="B701" s="626" t="n">
        <v>45218</v>
      </c>
      <c r="C701" s="615" t="inlineStr">
        <is>
          <t>มัลติแบกซ์</t>
        </is>
      </c>
      <c r="D701" s="615" t="inlineStr">
        <is>
          <t>ท่าเรือแหลมฉบัง</t>
        </is>
      </c>
      <c r="E701" s="627" t="n">
        <v>6.5</v>
      </c>
      <c r="F701" s="625" t="inlineStr">
        <is>
          <t>Km</t>
        </is>
      </c>
      <c r="G701" s="625" t="inlineStr">
        <is>
          <t>รถเทรลเลอร์</t>
        </is>
      </c>
      <c r="H701" s="625" t="inlineStr">
        <is>
          <t>SOUTH BOSTON VA, USA</t>
        </is>
      </c>
      <c r="I701" s="629" t="n">
        <v>13787</v>
      </c>
      <c r="J701" s="628" t="inlineStr">
        <is>
          <t>Km</t>
        </is>
      </c>
      <c r="K701" s="630" t="n">
        <v>3700</v>
      </c>
      <c r="L701" s="640">
        <f>M701-K701</f>
        <v/>
      </c>
      <c r="M701" s="1797" t="n">
        <v>13302</v>
      </c>
      <c r="N701" s="1801" t="n">
        <v>5376</v>
      </c>
      <c r="O701" s="615" t="n">
        <v>0</v>
      </c>
      <c r="P701" s="641" t="n">
        <v>100</v>
      </c>
    </row>
    <row r="702" ht="15.75" customHeight="1">
      <c r="A702" s="631" t="inlineStr">
        <is>
          <t>FO23100042</t>
        </is>
      </c>
      <c r="B702" s="632" t="n">
        <v>45219</v>
      </c>
      <c r="C702" s="633" t="inlineStr">
        <is>
          <t>มัลติแบกซ์</t>
        </is>
      </c>
      <c r="D702" s="633" t="inlineStr">
        <is>
          <t>ท่าเรือแหลมฉบัง</t>
        </is>
      </c>
      <c r="E702" s="634" t="n">
        <v>6</v>
      </c>
      <c r="F702" s="631" t="inlineStr">
        <is>
          <t>Km</t>
        </is>
      </c>
      <c r="G702" s="631" t="inlineStr">
        <is>
          <t>รถเทรลเลอร์</t>
        </is>
      </c>
      <c r="H702" s="631" t="inlineStr">
        <is>
          <t>XINGANG, CHINA</t>
        </is>
      </c>
      <c r="I702" s="636" t="n">
        <v>4353</v>
      </c>
      <c r="J702" s="635" t="inlineStr">
        <is>
          <t>Km</t>
        </is>
      </c>
      <c r="K702" s="637" t="n">
        <v>3820</v>
      </c>
      <c r="L702" s="642">
        <f>M702-K702</f>
        <v/>
      </c>
      <c r="M702" s="1799" t="n">
        <v>17311.6</v>
      </c>
      <c r="N702" s="1800" t="n">
        <v>10281.6</v>
      </c>
      <c r="O702" s="633" t="n">
        <v>0</v>
      </c>
      <c r="P702" s="643" t="n">
        <v>100</v>
      </c>
    </row>
    <row r="703" ht="15.75" customHeight="1">
      <c r="A703" s="657" t="inlineStr">
        <is>
          <t>FO23110001</t>
        </is>
      </c>
      <c r="B703" s="626" t="n">
        <v>45237</v>
      </c>
      <c r="C703" s="615" t="inlineStr">
        <is>
          <t>มัลติแบกซ์</t>
        </is>
      </c>
      <c r="D703" s="615" t="inlineStr">
        <is>
          <t>ท่าเรือแหลมฉบัง</t>
        </is>
      </c>
      <c r="E703" s="627" t="n">
        <v>5.8</v>
      </c>
      <c r="F703" s="625" t="inlineStr">
        <is>
          <t>Km</t>
        </is>
      </c>
      <c r="G703" s="625" t="inlineStr">
        <is>
          <t>รถเทรลเลอร์</t>
        </is>
      </c>
      <c r="H703" s="625" t="inlineStr">
        <is>
          <t>AUCKLAND, NEW ZEALAND</t>
        </is>
      </c>
      <c r="I703" s="629" t="n">
        <v>9486</v>
      </c>
      <c r="J703" s="628" t="inlineStr">
        <is>
          <t>Km</t>
        </is>
      </c>
      <c r="K703" s="630" t="n">
        <v>3900</v>
      </c>
      <c r="L703" s="640">
        <f>M703-K703</f>
        <v/>
      </c>
      <c r="M703" s="1797" t="n">
        <v>23224.5</v>
      </c>
      <c r="N703" s="1801" t="n">
        <v>14807.72</v>
      </c>
      <c r="O703" s="615" t="n">
        <v>0</v>
      </c>
      <c r="P703" s="641" t="n">
        <v>100</v>
      </c>
    </row>
    <row r="704" ht="15.75" customHeight="1">
      <c r="A704" s="658" t="inlineStr">
        <is>
          <t>FO23110002</t>
        </is>
      </c>
      <c r="B704" s="632" t="n">
        <v>45237</v>
      </c>
      <c r="C704" s="633" t="inlineStr">
        <is>
          <t>มัลติแบกซ์</t>
        </is>
      </c>
      <c r="D704" s="633" t="inlineStr">
        <is>
          <t>ท่าเรือแหลมฉบัง</t>
        </is>
      </c>
      <c r="E704" s="634" t="n">
        <v>5.8</v>
      </c>
      <c r="F704" s="631" t="inlineStr">
        <is>
          <t>Km</t>
        </is>
      </c>
      <c r="G704" s="631" t="inlineStr">
        <is>
          <t>รถเทรลเลอร์</t>
        </is>
      </c>
      <c r="H704" s="631" t="inlineStr">
        <is>
          <t>AUCKLAND, NEW ZEALAND</t>
        </is>
      </c>
      <c r="I704" s="636" t="n">
        <v>9486</v>
      </c>
      <c r="J704" s="635" t="inlineStr">
        <is>
          <t>Km</t>
        </is>
      </c>
      <c r="K704" s="637" t="n">
        <v>3830</v>
      </c>
      <c r="L704" s="642">
        <f>M704-K704</f>
        <v/>
      </c>
      <c r="M704" s="1799" t="n">
        <v>24869.6</v>
      </c>
      <c r="N704" s="1800" t="n">
        <v>16092.98</v>
      </c>
      <c r="O704" s="633" t="n">
        <v>0</v>
      </c>
      <c r="P704" s="643" t="n">
        <v>100</v>
      </c>
    </row>
    <row r="705" ht="15.75" customHeight="1">
      <c r="A705" s="657" t="inlineStr">
        <is>
          <t>FO23110003</t>
        </is>
      </c>
      <c r="B705" s="626" t="n">
        <v>45237</v>
      </c>
      <c r="C705" s="615" t="inlineStr">
        <is>
          <t>มัลติแบกซ์</t>
        </is>
      </c>
      <c r="D705" s="615" t="inlineStr">
        <is>
          <t>ท่าเรือแหลมฉบัง</t>
        </is>
      </c>
      <c r="E705" s="627" t="n">
        <v>5.8</v>
      </c>
      <c r="F705" s="625" t="inlineStr">
        <is>
          <t>Km</t>
        </is>
      </c>
      <c r="G705" s="625" t="inlineStr">
        <is>
          <t>รถเทรลเลอร์</t>
        </is>
      </c>
      <c r="H705" s="625" t="inlineStr">
        <is>
          <t>AUCKLAND, NEW ZEALAND</t>
        </is>
      </c>
      <c r="I705" s="629" t="n">
        <v>9486</v>
      </c>
      <c r="J705" s="628" t="inlineStr">
        <is>
          <t>Km</t>
        </is>
      </c>
      <c r="K705" s="630" t="n">
        <v>3830</v>
      </c>
      <c r="L705" s="640">
        <f>M705-K705</f>
        <v/>
      </c>
      <c r="M705" s="1797" t="n">
        <v>21486.9</v>
      </c>
      <c r="N705" s="1801" t="n">
        <v>14193.56</v>
      </c>
      <c r="O705" s="615" t="n">
        <v>0</v>
      </c>
      <c r="P705" s="641" t="n">
        <v>100</v>
      </c>
    </row>
    <row r="706" ht="15.75" customHeight="1">
      <c r="A706" s="658" t="inlineStr">
        <is>
          <t>FO23110004</t>
        </is>
      </c>
      <c r="B706" s="632" t="n">
        <v>45236</v>
      </c>
      <c r="C706" s="633" t="inlineStr">
        <is>
          <t>มัลติแบกซ์</t>
        </is>
      </c>
      <c r="D706" s="633" t="inlineStr">
        <is>
          <t>ท่าเรือแหลมฉบัง</t>
        </is>
      </c>
      <c r="E706" s="634" t="n">
        <v>6.2</v>
      </c>
      <c r="F706" s="631" t="inlineStr">
        <is>
          <t>Km</t>
        </is>
      </c>
      <c r="G706" s="631" t="inlineStr">
        <is>
          <t>รถเทรลเลอร์</t>
        </is>
      </c>
      <c r="H706" s="631" t="inlineStr">
        <is>
          <t>HONG KONG</t>
        </is>
      </c>
      <c r="I706" s="636" t="n">
        <v>1734</v>
      </c>
      <c r="J706" s="635" t="inlineStr">
        <is>
          <t>Km</t>
        </is>
      </c>
      <c r="K706" s="637" t="n">
        <v>3650</v>
      </c>
      <c r="L706" s="642">
        <f>M706-K706</f>
        <v/>
      </c>
      <c r="M706" s="1799" t="n">
        <v>15708.1</v>
      </c>
      <c r="N706" s="1800" t="n">
        <v>9256.799999999999</v>
      </c>
      <c r="O706" s="633" t="n">
        <v>0</v>
      </c>
      <c r="P706" s="643" t="n">
        <v>100</v>
      </c>
    </row>
    <row r="707" ht="15.75" customHeight="1">
      <c r="A707" s="657" t="inlineStr">
        <is>
          <t>FO23110005</t>
        </is>
      </c>
      <c r="B707" s="626" t="n">
        <v>45232</v>
      </c>
      <c r="C707" s="615" t="inlineStr">
        <is>
          <t>มัลติแบกซ์</t>
        </is>
      </c>
      <c r="D707" s="615" t="inlineStr">
        <is>
          <t>ท่าเรือแหลมฉบัง</t>
        </is>
      </c>
      <c r="E707" s="627" t="n">
        <v>11.9</v>
      </c>
      <c r="F707" s="615" t="inlineStr">
        <is>
          <t>Km</t>
        </is>
      </c>
      <c r="G707" s="615" t="inlineStr">
        <is>
          <t>รถเทรลเลอร์</t>
        </is>
      </c>
      <c r="H707" s="625" t="inlineStr">
        <is>
          <t>AJMAN PORT, UAE</t>
        </is>
      </c>
      <c r="I707" s="629" t="n">
        <v>4929</v>
      </c>
      <c r="J707" s="651" t="inlineStr">
        <is>
          <t>Km</t>
        </is>
      </c>
      <c r="K707" s="630" t="n">
        <v>3640</v>
      </c>
      <c r="L707" s="640">
        <f>M707-K707</f>
        <v/>
      </c>
      <c r="M707" s="1797" t="n">
        <v>19271.7</v>
      </c>
      <c r="N707" s="1801" t="n">
        <v>14031.23</v>
      </c>
      <c r="O707" s="615" t="n">
        <v>0</v>
      </c>
      <c r="P707" s="641" t="n">
        <v>100</v>
      </c>
    </row>
    <row r="708" ht="15.75" customHeight="1">
      <c r="A708" s="658" t="inlineStr">
        <is>
          <t>FO23110006</t>
        </is>
      </c>
      <c r="B708" s="632" t="n">
        <v>45232</v>
      </c>
      <c r="C708" s="633" t="inlineStr">
        <is>
          <t>มัลติแบกซ์</t>
        </is>
      </c>
      <c r="D708" s="633" t="inlineStr">
        <is>
          <t>ท่าเรือแหลมฉบัง</t>
        </is>
      </c>
      <c r="E708" s="634" t="n">
        <v>11.9</v>
      </c>
      <c r="F708" s="631" t="inlineStr">
        <is>
          <t>Km</t>
        </is>
      </c>
      <c r="G708" s="631" t="inlineStr">
        <is>
          <t>รถเทรลเลอร์</t>
        </is>
      </c>
      <c r="H708" s="631" t="inlineStr">
        <is>
          <t>AJMAN PORT, UAE</t>
        </is>
      </c>
      <c r="I708" s="636" t="n">
        <v>4929</v>
      </c>
      <c r="J708" s="635" t="inlineStr">
        <is>
          <t>Km</t>
        </is>
      </c>
      <c r="K708" s="637" t="n">
        <v>3640</v>
      </c>
      <c r="L708" s="642">
        <f>M708-K708</f>
        <v/>
      </c>
      <c r="M708" s="1799" t="n">
        <v>16315</v>
      </c>
      <c r="N708" s="1800" t="n">
        <v>10099.8</v>
      </c>
      <c r="O708" s="633" t="n">
        <v>0</v>
      </c>
      <c r="P708" s="643" t="n">
        <v>100</v>
      </c>
    </row>
    <row r="709" ht="15.75" customHeight="1">
      <c r="A709" s="657" t="inlineStr">
        <is>
          <t>FO23110007</t>
        </is>
      </c>
      <c r="B709" s="626" t="n">
        <v>45239</v>
      </c>
      <c r="C709" s="615" t="inlineStr">
        <is>
          <t>มัลติแบกซ์</t>
        </is>
      </c>
      <c r="D709" s="615" t="inlineStr">
        <is>
          <t>ท่าเรือแหลมฉบัง</t>
        </is>
      </c>
      <c r="E709" s="627" t="n">
        <v>6.2</v>
      </c>
      <c r="F709" s="625" t="inlineStr">
        <is>
          <t>Km</t>
        </is>
      </c>
      <c r="G709" s="625" t="inlineStr">
        <is>
          <t>รถเทรลเลอร์</t>
        </is>
      </c>
      <c r="H709" s="625" t="inlineStr">
        <is>
          <t>SANTA TERESA, NM USA</t>
        </is>
      </c>
      <c r="I709" s="629" t="n">
        <v>17387</v>
      </c>
      <c r="J709" s="628" t="inlineStr">
        <is>
          <t>Km</t>
        </is>
      </c>
      <c r="K709" s="630" t="n">
        <v>3870</v>
      </c>
      <c r="L709" s="640">
        <f>M709-K709</f>
        <v/>
      </c>
      <c r="M709" s="1797" t="n">
        <v>21759.58</v>
      </c>
      <c r="N709" s="1801" t="n">
        <v>15350.84</v>
      </c>
      <c r="O709" s="615" t="n">
        <v>0</v>
      </c>
      <c r="P709" s="641" t="n">
        <v>100</v>
      </c>
    </row>
    <row r="710" ht="15.75" customHeight="1">
      <c r="A710" s="658" t="inlineStr">
        <is>
          <t>FO23110008</t>
        </is>
      </c>
      <c r="B710" s="632" t="n">
        <v>45239</v>
      </c>
      <c r="C710" s="633" t="inlineStr">
        <is>
          <t>มัลติแบกซ์</t>
        </is>
      </c>
      <c r="D710" s="633" t="inlineStr">
        <is>
          <t>ท่าเรือแหลมฉบัง</t>
        </is>
      </c>
      <c r="E710" s="634" t="n">
        <v>6.2</v>
      </c>
      <c r="F710" s="631" t="inlineStr">
        <is>
          <t>Km</t>
        </is>
      </c>
      <c r="G710" s="631" t="inlineStr">
        <is>
          <t>รถเทรลเลอร์</t>
        </is>
      </c>
      <c r="H710" s="631" t="inlineStr">
        <is>
          <t>SANTA TERESA, NM USA</t>
        </is>
      </c>
      <c r="I710" s="636" t="n">
        <v>17387</v>
      </c>
      <c r="J710" s="635" t="inlineStr">
        <is>
          <t>Km</t>
        </is>
      </c>
      <c r="K710" s="637" t="n">
        <v>3700</v>
      </c>
      <c r="L710" s="642">
        <f>M710-K710</f>
        <v/>
      </c>
      <c r="M710" s="1799" t="n">
        <v>21837.15</v>
      </c>
      <c r="N710" s="1800" t="n">
        <v>15547.19</v>
      </c>
      <c r="O710" s="633" t="n">
        <v>0</v>
      </c>
      <c r="P710" s="643" t="n">
        <v>100</v>
      </c>
    </row>
    <row r="711" ht="15.75" customHeight="1">
      <c r="A711" s="657" t="inlineStr">
        <is>
          <t>FO23110009</t>
        </is>
      </c>
      <c r="B711" s="626" t="n">
        <v>45240</v>
      </c>
      <c r="C711" s="615" t="inlineStr">
        <is>
          <t>มัลติแบกซ์</t>
        </is>
      </c>
      <c r="D711" s="615" t="inlineStr">
        <is>
          <t>ท่าเรือแหลมฉบัง</t>
        </is>
      </c>
      <c r="E711" s="627" t="n">
        <v>10.2</v>
      </c>
      <c r="F711" s="625" t="inlineStr">
        <is>
          <t>Km</t>
        </is>
      </c>
      <c r="G711" s="625" t="inlineStr">
        <is>
          <t>รถเทรลเลอร์</t>
        </is>
      </c>
      <c r="H711" s="625" t="inlineStr">
        <is>
          <t>COLUMBUS OHIO, USA</t>
        </is>
      </c>
      <c r="I711" s="629" t="n">
        <v>14000</v>
      </c>
      <c r="J711" s="628" t="inlineStr">
        <is>
          <t>Km</t>
        </is>
      </c>
      <c r="K711" s="630" t="n">
        <v>3840</v>
      </c>
      <c r="L711" s="640">
        <f>M711-K711</f>
        <v/>
      </c>
      <c r="M711" s="1797" t="n">
        <v>21441.74</v>
      </c>
      <c r="N711" s="1801" t="n">
        <v>15351.92</v>
      </c>
      <c r="O711" s="615" t="n">
        <v>0</v>
      </c>
      <c r="P711" s="641" t="n">
        <v>100</v>
      </c>
    </row>
    <row r="712" ht="15.75" customHeight="1">
      <c r="A712" s="658" t="inlineStr">
        <is>
          <t>FO23110010</t>
        </is>
      </c>
      <c r="B712" s="632" t="n">
        <v>45238</v>
      </c>
      <c r="C712" s="633" t="inlineStr">
        <is>
          <t>มัลติแบกซ์</t>
        </is>
      </c>
      <c r="D712" s="633" t="inlineStr">
        <is>
          <t>ท่าเรือแหลมฉบัง</t>
        </is>
      </c>
      <c r="E712" s="634" t="n">
        <v>11.9</v>
      </c>
      <c r="F712" s="631" t="inlineStr">
        <is>
          <t>Km</t>
        </is>
      </c>
      <c r="G712" s="631" t="inlineStr">
        <is>
          <t>รถเทรลเลอร์</t>
        </is>
      </c>
      <c r="H712" s="631" t="inlineStr">
        <is>
          <t>MELBOURNE, AUSTRALIA</t>
        </is>
      </c>
      <c r="I712" s="636" t="n">
        <v>7283</v>
      </c>
      <c r="J712" s="635" t="inlineStr">
        <is>
          <t>Km</t>
        </is>
      </c>
      <c r="K712" s="637" t="n">
        <v>3640</v>
      </c>
      <c r="L712" s="642">
        <f>M712-K712</f>
        <v/>
      </c>
      <c r="M712" s="1799" t="n">
        <v>27622</v>
      </c>
      <c r="N712" s="1800" t="n">
        <v>20039</v>
      </c>
      <c r="O712" s="633" t="n">
        <v>0</v>
      </c>
      <c r="P712" s="643" t="n">
        <v>100</v>
      </c>
    </row>
    <row r="713" ht="15.75" customHeight="1">
      <c r="A713" s="657" t="inlineStr">
        <is>
          <t>FO23110011</t>
        </is>
      </c>
      <c r="B713" s="626" t="n">
        <v>45239</v>
      </c>
      <c r="C713" s="615" t="inlineStr">
        <is>
          <t>มัลติแบกซ์</t>
        </is>
      </c>
      <c r="D713" s="615" t="inlineStr">
        <is>
          <t>ท่าเรือแหลมฉบัง</t>
        </is>
      </c>
      <c r="E713" s="627" t="n">
        <v>11.9</v>
      </c>
      <c r="F713" s="625" t="inlineStr">
        <is>
          <t>Km</t>
        </is>
      </c>
      <c r="G713" s="625" t="inlineStr">
        <is>
          <t>รถเทรลเลอร์</t>
        </is>
      </c>
      <c r="H713" s="625" t="inlineStr">
        <is>
          <t>MELBOURNE, AUSTRALIA</t>
        </is>
      </c>
      <c r="I713" s="629" t="n">
        <v>7283</v>
      </c>
      <c r="J713" s="628" t="inlineStr">
        <is>
          <t>Km</t>
        </is>
      </c>
      <c r="K713" s="630" t="n">
        <v>3740</v>
      </c>
      <c r="L713" s="640">
        <f>M713-K713</f>
        <v/>
      </c>
      <c r="M713" s="1797" t="n">
        <v>27642</v>
      </c>
      <c r="N713" s="1801" t="n">
        <v>19612</v>
      </c>
      <c r="O713" s="615" t="n">
        <v>0</v>
      </c>
      <c r="P713" s="641" t="n">
        <v>100</v>
      </c>
    </row>
    <row r="714" ht="15.75" customHeight="1">
      <c r="A714" s="658" t="inlineStr">
        <is>
          <t>FO23110012</t>
        </is>
      </c>
      <c r="B714" s="632" t="n">
        <v>45239</v>
      </c>
      <c r="C714" s="633" t="inlineStr">
        <is>
          <t>มัลติแบกซ์</t>
        </is>
      </c>
      <c r="D714" s="633" t="inlineStr">
        <is>
          <t>ท่าเรือแหลมฉบัง</t>
        </is>
      </c>
      <c r="E714" s="634" t="n">
        <v>11.9</v>
      </c>
      <c r="F714" s="631" t="inlineStr">
        <is>
          <t>Km</t>
        </is>
      </c>
      <c r="G714" s="631" t="inlineStr">
        <is>
          <t>รถเทรลเลอร์</t>
        </is>
      </c>
      <c r="H714" s="631" t="inlineStr">
        <is>
          <t>MELBOURNE, AUSTRALIA</t>
        </is>
      </c>
      <c r="I714" s="636" t="n">
        <v>7283</v>
      </c>
      <c r="J714" s="635" t="inlineStr">
        <is>
          <t>Km</t>
        </is>
      </c>
      <c r="K714" s="637" t="n">
        <v>3625</v>
      </c>
      <c r="L714" s="642">
        <f>M714-K714</f>
        <v/>
      </c>
      <c r="M714" s="1799" t="n">
        <v>27639.5</v>
      </c>
      <c r="N714" s="1800" t="n">
        <v>21094</v>
      </c>
      <c r="O714" s="633" t="n">
        <v>0</v>
      </c>
      <c r="P714" s="643" t="n">
        <v>100</v>
      </c>
    </row>
    <row r="715" ht="15.75" customHeight="1">
      <c r="A715" s="625" t="inlineStr">
        <is>
          <t>FO23110013</t>
        </is>
      </c>
      <c r="B715" s="626" t="n">
        <v>45598</v>
      </c>
      <c r="C715" s="615" t="inlineStr">
        <is>
          <t>มัลติแบกซ์</t>
        </is>
      </c>
      <c r="D715" s="615" t="n"/>
      <c r="E715" s="627" t="n"/>
      <c r="F715" s="625" t="n"/>
      <c r="G715" s="625" t="inlineStr">
        <is>
          <t>รถเทรลเลอร์</t>
        </is>
      </c>
      <c r="H715" s="625" t="inlineStr">
        <is>
          <t>SINGAPORE</t>
        </is>
      </c>
      <c r="I715" s="629" t="n">
        <v>1931</v>
      </c>
      <c r="J715" s="628" t="n"/>
      <c r="K715" s="630" t="n">
        <v>4119.88</v>
      </c>
      <c r="L715" s="640" t="n">
        <v>1330.98</v>
      </c>
      <c r="M715" s="1797" t="n">
        <v>5450.86</v>
      </c>
      <c r="N715" s="1801" t="n">
        <v>4119.88</v>
      </c>
      <c r="O715" s="615" t="n">
        <v>0</v>
      </c>
      <c r="P715" s="641" t="n">
        <v>100</v>
      </c>
    </row>
    <row r="716" ht="15.75" customHeight="1">
      <c r="A716" s="658" t="inlineStr">
        <is>
          <t>FO23110014</t>
        </is>
      </c>
      <c r="B716" s="632" t="n">
        <v>45246</v>
      </c>
      <c r="C716" s="633" t="inlineStr">
        <is>
          <t>มัลติแบกซ์</t>
        </is>
      </c>
      <c r="D716" s="633" t="inlineStr">
        <is>
          <t>ท่าเรือแหลมฉบัง</t>
        </is>
      </c>
      <c r="E716" s="634" t="n">
        <v>6.5</v>
      </c>
      <c r="F716" s="631" t="inlineStr">
        <is>
          <t>Km</t>
        </is>
      </c>
      <c r="G716" s="631" t="inlineStr">
        <is>
          <t>รถเทรลเลอร์</t>
        </is>
      </c>
      <c r="H716" s="631" t="inlineStr">
        <is>
          <t>DURBAN, SOUTH AFRICA</t>
        </is>
      </c>
      <c r="I716" s="636" t="n">
        <v>8865</v>
      </c>
      <c r="J716" s="635" t="inlineStr">
        <is>
          <t>Km</t>
        </is>
      </c>
      <c r="K716" s="637" t="n">
        <v>2220</v>
      </c>
      <c r="L716" s="642">
        <f>M716-K716</f>
        <v/>
      </c>
      <c r="M716" s="1799" t="n">
        <v>16377</v>
      </c>
      <c r="N716" s="1800" t="n">
        <v>12925.5</v>
      </c>
      <c r="O716" s="633" t="n">
        <v>0</v>
      </c>
      <c r="P716" s="643" t="n">
        <v>100</v>
      </c>
    </row>
    <row r="717" ht="15.75" customHeight="1">
      <c r="A717" s="657" t="inlineStr">
        <is>
          <t>FO23110015</t>
        </is>
      </c>
      <c r="B717" s="626" t="n">
        <v>45236</v>
      </c>
      <c r="C717" s="615" t="inlineStr">
        <is>
          <t>มัลติแบกซ์</t>
        </is>
      </c>
      <c r="D717" s="615" t="inlineStr">
        <is>
          <t>ท่าเรือแหลมฉบัง</t>
        </is>
      </c>
      <c r="E717" s="627" t="n">
        <v>7.1</v>
      </c>
      <c r="F717" s="625" t="inlineStr">
        <is>
          <t>Km</t>
        </is>
      </c>
      <c r="G717" s="625" t="inlineStr">
        <is>
          <t>รถเทรลเลอร์</t>
        </is>
      </c>
      <c r="H717" s="625" t="inlineStr">
        <is>
          <t>JACKSONVILLE IL, USA</t>
        </is>
      </c>
      <c r="I717" s="629" t="n">
        <v>15168</v>
      </c>
      <c r="J717" s="628" t="inlineStr">
        <is>
          <t>Km</t>
        </is>
      </c>
      <c r="K717" s="630" t="n">
        <v>3910</v>
      </c>
      <c r="L717" s="640">
        <f>M717-K717</f>
        <v/>
      </c>
      <c r="M717" s="1797" t="n">
        <v>24734.6</v>
      </c>
      <c r="N717" s="1801" t="n">
        <v>15523.2</v>
      </c>
      <c r="O717" s="615" t="n">
        <v>0</v>
      </c>
      <c r="P717" s="641" t="n">
        <v>100</v>
      </c>
    </row>
    <row r="718" ht="15.75" customHeight="1">
      <c r="A718" s="658" t="inlineStr">
        <is>
          <t>FO23110016</t>
        </is>
      </c>
      <c r="B718" s="632" t="n">
        <v>45237</v>
      </c>
      <c r="C718" s="633" t="inlineStr">
        <is>
          <t>มัลติแบกซ์</t>
        </is>
      </c>
      <c r="D718" s="633" t="inlineStr">
        <is>
          <t>ท่าเรือแหลมฉบัง</t>
        </is>
      </c>
      <c r="E718" s="634" t="n">
        <v>7.1</v>
      </c>
      <c r="F718" s="631" t="inlineStr">
        <is>
          <t>Km</t>
        </is>
      </c>
      <c r="G718" s="631" t="inlineStr">
        <is>
          <t>รถเทรลเลอร์</t>
        </is>
      </c>
      <c r="H718" s="631" t="inlineStr">
        <is>
          <t>JACKSONVILLE IL, USA</t>
        </is>
      </c>
      <c r="I718" s="636" t="n">
        <v>15168</v>
      </c>
      <c r="J718" s="635" t="inlineStr">
        <is>
          <t>Km</t>
        </is>
      </c>
      <c r="K718" s="637" t="n">
        <v>3860</v>
      </c>
      <c r="L718" s="642">
        <f>M718-K718</f>
        <v/>
      </c>
      <c r="M718" s="1799" t="n">
        <v>24084.2</v>
      </c>
      <c r="N718" s="1800" t="n">
        <v>16320</v>
      </c>
      <c r="O718" s="633" t="n">
        <v>0</v>
      </c>
      <c r="P718" s="643" t="n">
        <v>100</v>
      </c>
    </row>
    <row r="719" ht="15.75" customHeight="1">
      <c r="A719" s="657" t="inlineStr">
        <is>
          <t>FO23110017</t>
        </is>
      </c>
      <c r="B719" s="626" t="n">
        <v>45236</v>
      </c>
      <c r="C719" s="615" t="inlineStr">
        <is>
          <t>มัลติแบกซ์</t>
        </is>
      </c>
      <c r="D719" s="615" t="inlineStr">
        <is>
          <t>ท่าเรือแหลมฉบัง</t>
        </is>
      </c>
      <c r="E719" s="627" t="n">
        <v>7.1</v>
      </c>
      <c r="F719" s="625" t="inlineStr">
        <is>
          <t>Km</t>
        </is>
      </c>
      <c r="G719" s="625" t="inlineStr">
        <is>
          <t>รถเทรลเลอร์</t>
        </is>
      </c>
      <c r="H719" s="625" t="inlineStr">
        <is>
          <t>CARROLLTON TX, USA</t>
        </is>
      </c>
      <c r="I719" s="629" t="n">
        <v>14544</v>
      </c>
      <c r="J719" s="628" t="inlineStr">
        <is>
          <t>Km</t>
        </is>
      </c>
      <c r="K719" s="630" t="n">
        <v>3800</v>
      </c>
      <c r="L719" s="640">
        <f>M719-K719</f>
        <v/>
      </c>
      <c r="M719" s="1797" t="n">
        <v>20162.8</v>
      </c>
      <c r="N719" s="1801" t="n">
        <v>14035</v>
      </c>
      <c r="O719" s="615" t="n">
        <v>0</v>
      </c>
      <c r="P719" s="641" t="n">
        <v>100</v>
      </c>
    </row>
    <row r="720" ht="15.75" customHeight="1">
      <c r="A720" s="658" t="inlineStr">
        <is>
          <t>FO23110018</t>
        </is>
      </c>
      <c r="B720" s="632" t="n">
        <v>45237</v>
      </c>
      <c r="C720" s="633" t="inlineStr">
        <is>
          <t>มัลติแบกซ์</t>
        </is>
      </c>
      <c r="D720" s="633" t="inlineStr">
        <is>
          <t>ท่าเรือแหลมฉบัง</t>
        </is>
      </c>
      <c r="E720" s="634" t="n">
        <v>4.1</v>
      </c>
      <c r="F720" s="631" t="inlineStr">
        <is>
          <t>Km</t>
        </is>
      </c>
      <c r="G720" s="631" t="inlineStr">
        <is>
          <t>รถเทรลเลอร์</t>
        </is>
      </c>
      <c r="H720" s="631" t="inlineStr">
        <is>
          <t>SOUTH BOSTON VA, USA</t>
        </is>
      </c>
      <c r="I720" s="636" t="n">
        <v>13787</v>
      </c>
      <c r="J720" s="635" t="inlineStr">
        <is>
          <t>Km</t>
        </is>
      </c>
      <c r="K720" s="637" t="n">
        <v>3700</v>
      </c>
      <c r="L720" s="642">
        <f>M720-K720</f>
        <v/>
      </c>
      <c r="M720" s="1799" t="n">
        <v>20062.8</v>
      </c>
      <c r="N720" s="1800" t="n">
        <v>14035</v>
      </c>
      <c r="O720" s="633" t="n">
        <v>0</v>
      </c>
      <c r="P720" s="643" t="n">
        <v>100</v>
      </c>
    </row>
    <row r="721" ht="15.75" customHeight="1">
      <c r="A721" s="657" t="inlineStr">
        <is>
          <t>FO23110019</t>
        </is>
      </c>
      <c r="B721" s="626" t="n">
        <v>45246</v>
      </c>
      <c r="C721" s="615" t="inlineStr">
        <is>
          <t>มัลติแบกซ์</t>
        </is>
      </c>
      <c r="D721" s="615" t="inlineStr">
        <is>
          <t>ท่าเรือแหลมฉบัง</t>
        </is>
      </c>
      <c r="E721" s="627" t="n">
        <v>6.2</v>
      </c>
      <c r="F721" s="625" t="inlineStr">
        <is>
          <t>Km</t>
        </is>
      </c>
      <c r="G721" s="625" t="inlineStr">
        <is>
          <t>รถเทรลเลอร์</t>
        </is>
      </c>
      <c r="H721" s="625" t="inlineStr">
        <is>
          <t>SANTA TERESA, NM USA</t>
        </is>
      </c>
      <c r="I721" s="629" t="n">
        <v>17387</v>
      </c>
      <c r="J721" s="628" t="inlineStr">
        <is>
          <t>Km</t>
        </is>
      </c>
      <c r="K721" s="630" t="n">
        <v>3700</v>
      </c>
      <c r="L721" s="640">
        <f>M721-K721</f>
        <v/>
      </c>
      <c r="M721" s="1797" t="n">
        <v>21879.96</v>
      </c>
      <c r="N721" s="1801" t="n">
        <v>15644.64</v>
      </c>
      <c r="O721" s="615" t="n">
        <v>0</v>
      </c>
      <c r="P721" s="641" t="n">
        <v>100</v>
      </c>
    </row>
    <row r="722" ht="15.75" customHeight="1">
      <c r="A722" s="658" t="inlineStr">
        <is>
          <t>FO23110020</t>
        </is>
      </c>
      <c r="B722" s="632" t="n">
        <v>45246</v>
      </c>
      <c r="C722" s="633" t="inlineStr">
        <is>
          <t>มัลติแบกซ์</t>
        </is>
      </c>
      <c r="D722" s="633" t="inlineStr">
        <is>
          <t>ท่าเรือแหลมฉบัง</t>
        </is>
      </c>
      <c r="E722" s="634" t="n">
        <v>6.2</v>
      </c>
      <c r="F722" s="631" t="inlineStr">
        <is>
          <t>Km</t>
        </is>
      </c>
      <c r="G722" s="631" t="inlineStr">
        <is>
          <t>รถเทรลเลอร์</t>
        </is>
      </c>
      <c r="H722" s="631" t="inlineStr">
        <is>
          <t>SANTA TERESA, NM USA</t>
        </is>
      </c>
      <c r="I722" s="636" t="n">
        <v>17387</v>
      </c>
      <c r="J722" s="635" t="inlineStr">
        <is>
          <t>Km</t>
        </is>
      </c>
      <c r="K722" s="637" t="n">
        <v>3900</v>
      </c>
      <c r="L722" s="642">
        <f>M722-K722</f>
        <v/>
      </c>
      <c r="M722" s="1799" t="n">
        <v>22439.82</v>
      </c>
      <c r="N722" s="1800" t="n">
        <v>15857.96</v>
      </c>
      <c r="O722" s="633" t="n">
        <v>0</v>
      </c>
      <c r="P722" s="643" t="n">
        <v>100</v>
      </c>
    </row>
    <row r="723" ht="15.75" customHeight="1">
      <c r="A723" s="657" t="inlineStr">
        <is>
          <t>FO23110021</t>
        </is>
      </c>
      <c r="B723" s="626" t="n">
        <v>45238</v>
      </c>
      <c r="C723" s="615" t="inlineStr">
        <is>
          <t>มัลติแบกซ์</t>
        </is>
      </c>
      <c r="D723" s="615" t="inlineStr">
        <is>
          <t>ท่าเรือแหลมฉบัง</t>
        </is>
      </c>
      <c r="E723" s="627" t="n">
        <v>7.1</v>
      </c>
      <c r="F723" s="625" t="inlineStr">
        <is>
          <t>Km</t>
        </is>
      </c>
      <c r="G723" s="625" t="inlineStr">
        <is>
          <t>รถเทรลเลอร์</t>
        </is>
      </c>
      <c r="H723" s="625" t="inlineStr">
        <is>
          <t>APPLETON WI , USA</t>
        </is>
      </c>
      <c r="I723" s="629" t="n">
        <v>13558</v>
      </c>
      <c r="J723" s="628" t="inlineStr">
        <is>
          <t>Km</t>
        </is>
      </c>
      <c r="K723" s="630" t="n">
        <v>3700</v>
      </c>
      <c r="L723" s="640">
        <f>M723-K723</f>
        <v/>
      </c>
      <c r="M723" s="1797" t="n">
        <v>20062.8</v>
      </c>
      <c r="N723" s="1801" t="n">
        <v>14035</v>
      </c>
      <c r="O723" s="615" t="n">
        <v>0</v>
      </c>
      <c r="P723" s="641" t="n">
        <v>100</v>
      </c>
    </row>
    <row r="724" ht="15.75" customHeight="1">
      <c r="A724" s="658" t="inlineStr">
        <is>
          <t>FO23110022</t>
        </is>
      </c>
      <c r="B724" s="632" t="n">
        <v>45241</v>
      </c>
      <c r="C724" s="633" t="inlineStr">
        <is>
          <t>มัลติแบกซ์</t>
        </is>
      </c>
      <c r="D724" s="633" t="inlineStr">
        <is>
          <t>ท่าเรือแหลมฉบัง</t>
        </is>
      </c>
      <c r="E724" s="634" t="n">
        <v>6.5</v>
      </c>
      <c r="F724" s="631" t="inlineStr">
        <is>
          <t>Km</t>
        </is>
      </c>
      <c r="G724" s="631" t="inlineStr">
        <is>
          <t>รถเทรลเลอร์</t>
        </is>
      </c>
      <c r="H724" s="631" t="inlineStr">
        <is>
          <t>PERRIS CA, USA</t>
        </is>
      </c>
      <c r="I724" s="636" t="n">
        <v>13413</v>
      </c>
      <c r="J724" s="635" t="inlineStr">
        <is>
          <t>Km</t>
        </is>
      </c>
      <c r="K724" s="637" t="n">
        <v>3700</v>
      </c>
      <c r="L724" s="642">
        <f>M724-K724</f>
        <v/>
      </c>
      <c r="M724" s="1799" t="n">
        <v>20062.8</v>
      </c>
      <c r="N724" s="1800" t="n">
        <v>14035</v>
      </c>
      <c r="O724" s="633" t="n">
        <v>0</v>
      </c>
      <c r="P724" s="643" t="n">
        <v>100</v>
      </c>
    </row>
    <row r="725" ht="15.75" customHeight="1">
      <c r="A725" s="657" t="inlineStr">
        <is>
          <t>FO23110023</t>
        </is>
      </c>
      <c r="B725" s="626" t="n">
        <v>45238</v>
      </c>
      <c r="C725" s="615" t="inlineStr">
        <is>
          <t>มัลติแบกซ์</t>
        </is>
      </c>
      <c r="D725" s="615" t="inlineStr">
        <is>
          <t>ท่าเรือแหลมฉบัง</t>
        </is>
      </c>
      <c r="E725" s="627" t="n">
        <v>7.1</v>
      </c>
      <c r="F725" s="625" t="inlineStr">
        <is>
          <t>Km</t>
        </is>
      </c>
      <c r="G725" s="625" t="inlineStr">
        <is>
          <t>รถเทรลเลอร์</t>
        </is>
      </c>
      <c r="H725" s="625" t="inlineStr">
        <is>
          <t>UNIVERSITY PARK IL, USA</t>
        </is>
      </c>
      <c r="I725" s="629" t="n">
        <v>13877</v>
      </c>
      <c r="J725" s="628" t="inlineStr">
        <is>
          <t>Km</t>
        </is>
      </c>
      <c r="K725" s="630" t="n">
        <v>3840</v>
      </c>
      <c r="L725" s="640">
        <f>M725-K725</f>
        <v/>
      </c>
      <c r="M725" s="1797" t="n">
        <v>23439.5</v>
      </c>
      <c r="N725" s="1801" t="n">
        <v>15795</v>
      </c>
      <c r="O725" s="615" t="n">
        <v>0</v>
      </c>
      <c r="P725" s="641" t="n">
        <v>100</v>
      </c>
    </row>
    <row r="726" ht="15.75" customHeight="1">
      <c r="A726" s="658" t="inlineStr">
        <is>
          <t>FO23110024</t>
        </is>
      </c>
      <c r="B726" s="632" t="n">
        <v>45240</v>
      </c>
      <c r="C726" s="633" t="inlineStr">
        <is>
          <t>มัลติแบกซ์</t>
        </is>
      </c>
      <c r="D726" s="633" t="inlineStr">
        <is>
          <t>ท่าเรือแหลมฉบัง</t>
        </is>
      </c>
      <c r="E726" s="634" t="n">
        <v>6.2</v>
      </c>
      <c r="F726" s="631" t="inlineStr">
        <is>
          <t>Km</t>
        </is>
      </c>
      <c r="G726" s="631" t="inlineStr">
        <is>
          <t>รถเทรลเลอร์</t>
        </is>
      </c>
      <c r="H726" s="631" t="inlineStr">
        <is>
          <t>UNIVERSITY PARK IL, USA</t>
        </is>
      </c>
      <c r="I726" s="636" t="n">
        <v>13877</v>
      </c>
      <c r="J726" s="635" t="inlineStr">
        <is>
          <t>Km</t>
        </is>
      </c>
      <c r="K726" s="637" t="n">
        <v>3840</v>
      </c>
      <c r="L726" s="642">
        <f>M726-K726</f>
        <v/>
      </c>
      <c r="M726" s="1799" t="n">
        <v>13614.2</v>
      </c>
      <c r="N726" s="1800" t="n">
        <v>6917.4</v>
      </c>
      <c r="O726" s="633" t="n">
        <v>0</v>
      </c>
      <c r="P726" s="643" t="n">
        <v>100</v>
      </c>
    </row>
    <row r="727" ht="15.75" customHeight="1">
      <c r="A727" s="657" t="inlineStr">
        <is>
          <t>FO23110025</t>
        </is>
      </c>
      <c r="B727" s="626" t="n">
        <v>45237</v>
      </c>
      <c r="C727" s="615" t="inlineStr">
        <is>
          <t>มัลติแบกซ์</t>
        </is>
      </c>
      <c r="D727" s="615" t="inlineStr">
        <is>
          <t>ท่าเรือแหลมฉบัง</t>
        </is>
      </c>
      <c r="E727" s="627" t="n">
        <v>6.5</v>
      </c>
      <c r="F727" s="625" t="inlineStr">
        <is>
          <t>Km</t>
        </is>
      </c>
      <c r="G727" s="625" t="inlineStr">
        <is>
          <t>รถเทรลเลอร์</t>
        </is>
      </c>
      <c r="H727" s="625" t="inlineStr">
        <is>
          <t>MANZANILLO, MEXICO</t>
        </is>
      </c>
      <c r="I727" s="629" t="n">
        <v>15486</v>
      </c>
      <c r="J727" s="628" t="inlineStr">
        <is>
          <t>Km</t>
        </is>
      </c>
      <c r="K727" s="630" t="n">
        <v>3700</v>
      </c>
      <c r="L727" s="640">
        <f>M727-K727</f>
        <v/>
      </c>
      <c r="M727" s="1797" t="n">
        <v>14187</v>
      </c>
      <c r="N727" s="1801" t="n">
        <v>7830</v>
      </c>
      <c r="O727" s="615" t="n">
        <v>0</v>
      </c>
      <c r="P727" s="641" t="n">
        <v>100</v>
      </c>
    </row>
    <row r="728" ht="15.75" customHeight="1">
      <c r="A728" s="658" t="inlineStr">
        <is>
          <t>FO23110026</t>
        </is>
      </c>
      <c r="B728" s="632" t="n">
        <v>45238</v>
      </c>
      <c r="C728" s="633" t="inlineStr">
        <is>
          <t>มัลติแบกซ์</t>
        </is>
      </c>
      <c r="D728" s="633" t="inlineStr">
        <is>
          <t>ท่าเรือแหลมฉบัง</t>
        </is>
      </c>
      <c r="E728" s="634" t="n">
        <v>11.9</v>
      </c>
      <c r="F728" s="631" t="inlineStr">
        <is>
          <t>Km</t>
        </is>
      </c>
      <c r="G728" s="631" t="inlineStr">
        <is>
          <t>รถเทรลเลอร์</t>
        </is>
      </c>
      <c r="H728" s="631" t="inlineStr">
        <is>
          <t>MANZANILLO, MEXICO</t>
        </is>
      </c>
      <c r="I728" s="636" t="n">
        <v>15486</v>
      </c>
      <c r="J728" s="635" t="inlineStr">
        <is>
          <t>Km</t>
        </is>
      </c>
      <c r="K728" s="637" t="n">
        <v>3840</v>
      </c>
      <c r="L728" s="642">
        <f>M728-K728</f>
        <v/>
      </c>
      <c r="M728" s="1799" t="n">
        <v>12472.5</v>
      </c>
      <c r="N728" s="1800" t="n">
        <v>5936.1</v>
      </c>
      <c r="O728" s="633" t="n">
        <v>0</v>
      </c>
      <c r="P728" s="643" t="n">
        <v>100</v>
      </c>
    </row>
    <row r="729" ht="15.75" customHeight="1">
      <c r="A729" s="657" t="inlineStr">
        <is>
          <t>FO23110027</t>
        </is>
      </c>
      <c r="B729" s="626" t="n">
        <v>45247</v>
      </c>
      <c r="C729" s="615" t="inlineStr">
        <is>
          <t>มัลติแบกซ์</t>
        </is>
      </c>
      <c r="D729" s="615" t="inlineStr">
        <is>
          <t>ท่าเรือแหลมฉบัง</t>
        </is>
      </c>
      <c r="E729" s="627" t="n">
        <v>10.2</v>
      </c>
      <c r="F729" s="625" t="inlineStr">
        <is>
          <t>Km</t>
        </is>
      </c>
      <c r="G729" s="625" t="inlineStr">
        <is>
          <t>รถเทรลเลอร์</t>
        </is>
      </c>
      <c r="H729" s="625" t="inlineStr">
        <is>
          <t>KLANG, MALAYSIA</t>
        </is>
      </c>
      <c r="I729" s="629" t="n">
        <v>1588</v>
      </c>
      <c r="J729" s="628" t="inlineStr">
        <is>
          <t>Km</t>
        </is>
      </c>
      <c r="K729" s="630" t="n">
        <v>3700</v>
      </c>
      <c r="L729" s="640">
        <f>M729-K729</f>
        <v/>
      </c>
      <c r="M729" s="1797" t="n">
        <v>13455.75</v>
      </c>
      <c r="N729" s="1801" t="n">
        <v>6885.95</v>
      </c>
      <c r="O729" s="615" t="n">
        <v>0</v>
      </c>
      <c r="P729" s="641" t="n">
        <v>100</v>
      </c>
    </row>
    <row r="730" ht="15.75" customHeight="1">
      <c r="A730" s="658" t="inlineStr">
        <is>
          <t>FO23110028</t>
        </is>
      </c>
      <c r="B730" s="632" t="n">
        <v>45246</v>
      </c>
      <c r="C730" s="633" t="inlineStr">
        <is>
          <t>มัลติแบกซ์</t>
        </is>
      </c>
      <c r="D730" s="633" t="inlineStr">
        <is>
          <t>ท่าเรือแหลมฉบัง</t>
        </is>
      </c>
      <c r="E730" s="634" t="n">
        <v>6</v>
      </c>
      <c r="F730" s="631" t="inlineStr">
        <is>
          <t>Km</t>
        </is>
      </c>
      <c r="G730" s="631" t="inlineStr">
        <is>
          <t>รถเทรลเลอร์</t>
        </is>
      </c>
      <c r="H730" s="631" t="inlineStr">
        <is>
          <t>COLUMBUS OHIO, USA</t>
        </is>
      </c>
      <c r="I730" s="636" t="n">
        <v>14000</v>
      </c>
      <c r="J730" s="635" t="inlineStr">
        <is>
          <t>Km</t>
        </is>
      </c>
      <c r="K730" s="637" t="n">
        <v>3700</v>
      </c>
      <c r="L730" s="642">
        <f>M730-K730</f>
        <v/>
      </c>
      <c r="M730" s="1799" t="n">
        <v>22149.29</v>
      </c>
      <c r="N730" s="1800" t="n">
        <v>16007.49</v>
      </c>
      <c r="O730" s="633" t="n">
        <v>0</v>
      </c>
      <c r="P730" s="643" t="n">
        <v>100</v>
      </c>
    </row>
    <row r="731" ht="15.75" customHeight="1">
      <c r="A731" s="657" t="inlineStr">
        <is>
          <t>FO23110029</t>
        </is>
      </c>
      <c r="B731" s="626" t="n">
        <v>45246</v>
      </c>
      <c r="C731" s="615" t="inlineStr">
        <is>
          <t>มัลติแบกซ์</t>
        </is>
      </c>
      <c r="D731" s="615" t="inlineStr">
        <is>
          <t>ท่าเรือแหลมฉบัง</t>
        </is>
      </c>
      <c r="E731" s="627" t="n">
        <v>6</v>
      </c>
      <c r="F731" s="625" t="inlineStr">
        <is>
          <t>Km</t>
        </is>
      </c>
      <c r="G731" s="625" t="inlineStr">
        <is>
          <t>รถเทรลเลอร์</t>
        </is>
      </c>
      <c r="H731" s="625" t="inlineStr">
        <is>
          <t>COLUMBUS OHIO, USA</t>
        </is>
      </c>
      <c r="I731" s="629" t="n">
        <v>14000</v>
      </c>
      <c r="J731" s="628" t="inlineStr">
        <is>
          <t>Km</t>
        </is>
      </c>
      <c r="K731" s="630" t="n">
        <v>3700</v>
      </c>
      <c r="L731" s="640">
        <f>M731-K731</f>
        <v/>
      </c>
      <c r="M731" s="1797" t="n">
        <v>21423.26</v>
      </c>
      <c r="N731" s="1801" t="n">
        <v>15479.3</v>
      </c>
      <c r="O731" s="615" t="n">
        <v>0</v>
      </c>
      <c r="P731" s="641" t="n">
        <v>100</v>
      </c>
    </row>
    <row r="732" ht="15.75" customHeight="1">
      <c r="A732" s="658" t="inlineStr">
        <is>
          <t>FO23110030</t>
        </is>
      </c>
      <c r="B732" s="632" t="n">
        <v>45245</v>
      </c>
      <c r="C732" s="633" t="inlineStr">
        <is>
          <t>มัลติแบกซ์</t>
        </is>
      </c>
      <c r="D732" s="633" t="inlineStr">
        <is>
          <t>ท่าเรือแหลมฉบัง</t>
        </is>
      </c>
      <c r="E732" s="634" t="n">
        <v>7.1</v>
      </c>
      <c r="F732" s="631" t="inlineStr">
        <is>
          <t>Km</t>
        </is>
      </c>
      <c r="G732" s="631" t="inlineStr">
        <is>
          <t>รถเทรลเลอร์</t>
        </is>
      </c>
      <c r="H732" s="631" t="inlineStr">
        <is>
          <t>UK PORT</t>
        </is>
      </c>
      <c r="I732" s="636" t="n">
        <v>9687</v>
      </c>
      <c r="J732" s="635" t="inlineStr">
        <is>
          <t>Km</t>
        </is>
      </c>
      <c r="K732" s="637" t="n">
        <v>3640</v>
      </c>
      <c r="L732" s="642">
        <f>M732-K732</f>
        <v/>
      </c>
      <c r="M732" s="1799" t="n">
        <v>28667</v>
      </c>
      <c r="N732" s="1800" t="n">
        <v>23842</v>
      </c>
      <c r="O732" s="633" t="n">
        <v>0</v>
      </c>
      <c r="P732" s="643" t="n">
        <v>100</v>
      </c>
    </row>
    <row r="733" ht="15.75" customHeight="1">
      <c r="A733" s="657" t="inlineStr">
        <is>
          <t>FO23110031</t>
        </is>
      </c>
      <c r="B733" s="626" t="n">
        <v>45258</v>
      </c>
      <c r="C733" s="615" t="inlineStr">
        <is>
          <t>มัลติแบกซ์</t>
        </is>
      </c>
      <c r="D733" s="615" t="inlineStr">
        <is>
          <t>ท่าเรือแหลมฉบัง</t>
        </is>
      </c>
      <c r="E733" s="627" t="n">
        <v>6.5</v>
      </c>
      <c r="F733" s="625" t="inlineStr">
        <is>
          <t>Km</t>
        </is>
      </c>
      <c r="G733" s="625" t="inlineStr">
        <is>
          <t>รถเทรลเลอร์</t>
        </is>
      </c>
      <c r="H733" s="625" t="inlineStr">
        <is>
          <t>JACKSONVILLE IL, USA</t>
        </is>
      </c>
      <c r="I733" s="629" t="n">
        <v>15168</v>
      </c>
      <c r="J733" s="628" t="inlineStr">
        <is>
          <t>Km</t>
        </is>
      </c>
      <c r="K733" s="630" t="n">
        <v>3700</v>
      </c>
      <c r="L733" s="640">
        <f>M733-K733</f>
        <v/>
      </c>
      <c r="M733" s="1797" t="n">
        <v>23924.2</v>
      </c>
      <c r="N733" s="1801" t="n">
        <v>16320</v>
      </c>
      <c r="O733" s="615" t="n">
        <v>0</v>
      </c>
      <c r="P733" s="641" t="n">
        <v>100</v>
      </c>
    </row>
    <row r="734" ht="15.75" customHeight="1">
      <c r="A734" s="658" t="inlineStr">
        <is>
          <t>FO23110032</t>
        </is>
      </c>
      <c r="B734" s="632" t="n">
        <v>45245</v>
      </c>
      <c r="C734" s="633" t="inlineStr">
        <is>
          <t>มัลติแบกซ์</t>
        </is>
      </c>
      <c r="D734" s="633" t="inlineStr">
        <is>
          <t>ท่าเรือแหลมฉบัง</t>
        </is>
      </c>
      <c r="E734" s="634" t="n">
        <v>6.5</v>
      </c>
      <c r="F734" s="631" t="inlineStr">
        <is>
          <t>Km</t>
        </is>
      </c>
      <c r="G734" s="631" t="inlineStr">
        <is>
          <t>รถเทรลเลอร์</t>
        </is>
      </c>
      <c r="H734" s="631" t="inlineStr">
        <is>
          <t>SYDNEY, AUSTRALIA</t>
        </is>
      </c>
      <c r="I734" s="636" t="n">
        <v>7448</v>
      </c>
      <c r="J734" s="635" t="inlineStr">
        <is>
          <t>Km</t>
        </is>
      </c>
      <c r="K734" s="637" t="n">
        <v>3700</v>
      </c>
      <c r="L734" s="642">
        <f>M734-K734</f>
        <v/>
      </c>
      <c r="M734" s="1799" t="n">
        <v>24402</v>
      </c>
      <c r="N734" s="1800" t="n">
        <v>16560</v>
      </c>
      <c r="O734" s="633" t="n">
        <v>0</v>
      </c>
      <c r="P734" s="643" t="n">
        <v>100</v>
      </c>
    </row>
    <row r="735" ht="15.75" customHeight="1">
      <c r="A735" s="657" t="inlineStr">
        <is>
          <t>FO23110033</t>
        </is>
      </c>
      <c r="B735" s="626" t="n">
        <v>45245</v>
      </c>
      <c r="C735" s="615" t="inlineStr">
        <is>
          <t>มัลติแบกซ์</t>
        </is>
      </c>
      <c r="D735" s="615" t="inlineStr">
        <is>
          <t>ท่าเรือแหลมฉบัง</t>
        </is>
      </c>
      <c r="E735" s="627" t="n">
        <v>6.5</v>
      </c>
      <c r="F735" s="625" t="inlineStr">
        <is>
          <t>Km</t>
        </is>
      </c>
      <c r="G735" s="625" t="inlineStr">
        <is>
          <t>รถเทรลเลอร์</t>
        </is>
      </c>
      <c r="H735" s="625" t="inlineStr">
        <is>
          <t>SYDNEY, AUSTRALIA</t>
        </is>
      </c>
      <c r="I735" s="629" t="n">
        <v>7448</v>
      </c>
      <c r="J735" s="628" t="inlineStr">
        <is>
          <t>Km</t>
        </is>
      </c>
      <c r="K735" s="630" t="n">
        <v>3740</v>
      </c>
      <c r="L735" s="640">
        <f>M735-K735</f>
        <v/>
      </c>
      <c r="M735" s="1797" t="n">
        <v>27752</v>
      </c>
      <c r="N735" s="1801" t="n">
        <v>19795.5</v>
      </c>
      <c r="O735" s="615" t="n">
        <v>0</v>
      </c>
      <c r="P735" s="641" t="n">
        <v>100</v>
      </c>
    </row>
    <row r="736" ht="15.75" customHeight="1">
      <c r="A736" s="658" t="inlineStr">
        <is>
          <t>FO23110034</t>
        </is>
      </c>
      <c r="B736" s="632" t="n">
        <v>45244</v>
      </c>
      <c r="C736" s="633" t="inlineStr">
        <is>
          <t>มัลติแบกซ์</t>
        </is>
      </c>
      <c r="D736" s="633" t="inlineStr">
        <is>
          <t>ท่าเรือแหลมฉบัง</t>
        </is>
      </c>
      <c r="E736" s="634" t="n">
        <v>6.5</v>
      </c>
      <c r="F736" s="631" t="inlineStr">
        <is>
          <t>Km</t>
        </is>
      </c>
      <c r="G736" s="631" t="inlineStr">
        <is>
          <t>รถเทรลเลอร์</t>
        </is>
      </c>
      <c r="H736" s="631" t="inlineStr">
        <is>
          <t>SYDNEY, AUSTRALIA</t>
        </is>
      </c>
      <c r="I736" s="636" t="n">
        <v>7448</v>
      </c>
      <c r="J736" s="635" t="inlineStr">
        <is>
          <t>Km</t>
        </is>
      </c>
      <c r="K736" s="637" t="n">
        <v>3700</v>
      </c>
      <c r="L736" s="642">
        <f>M736-K736</f>
        <v/>
      </c>
      <c r="M736" s="1799" t="n">
        <v>37677</v>
      </c>
      <c r="N736" s="1800" t="n">
        <v>21097</v>
      </c>
      <c r="O736" s="633" t="n">
        <v>0</v>
      </c>
      <c r="P736" s="643" t="n">
        <v>100</v>
      </c>
    </row>
    <row r="737" ht="15.75" customHeight="1">
      <c r="A737" s="657" t="inlineStr">
        <is>
          <t>FO23110035</t>
        </is>
      </c>
      <c r="B737" s="626" t="n">
        <v>45244</v>
      </c>
      <c r="C737" s="615" t="inlineStr">
        <is>
          <t>มัลติแบกซ์</t>
        </is>
      </c>
      <c r="D737" s="615" t="inlineStr">
        <is>
          <t>ท่าเรือแหลมฉบัง</t>
        </is>
      </c>
      <c r="E737" s="627" t="n">
        <v>7.1</v>
      </c>
      <c r="F737" s="625" t="inlineStr">
        <is>
          <t>Km</t>
        </is>
      </c>
      <c r="G737" s="625" t="inlineStr">
        <is>
          <t>รถเทรลเลอร์</t>
        </is>
      </c>
      <c r="H737" s="625" t="inlineStr">
        <is>
          <t>UNIVERSITY PARK IL, USA</t>
        </is>
      </c>
      <c r="I737" s="629" t="n">
        <v>13877</v>
      </c>
      <c r="J737" s="628" t="inlineStr">
        <is>
          <t>Km</t>
        </is>
      </c>
      <c r="K737" s="630" t="n">
        <v>3700</v>
      </c>
      <c r="L737" s="640">
        <f>M737-K737</f>
        <v/>
      </c>
      <c r="M737" s="1797" t="n">
        <v>14426</v>
      </c>
      <c r="N737" s="1801" t="n">
        <v>23842</v>
      </c>
      <c r="O737" s="615" t="n">
        <v>0</v>
      </c>
      <c r="P737" s="641" t="n">
        <v>100</v>
      </c>
    </row>
    <row r="738" ht="15.75" customHeight="1">
      <c r="A738" s="658" t="inlineStr">
        <is>
          <t>FO23110036</t>
        </is>
      </c>
      <c r="B738" s="632" t="n">
        <v>45244</v>
      </c>
      <c r="C738" s="633" t="inlineStr">
        <is>
          <t>มัลติแบกซ์</t>
        </is>
      </c>
      <c r="D738" s="633" t="inlineStr">
        <is>
          <t>ท่าเรือแหลมฉบัง</t>
        </is>
      </c>
      <c r="E738" s="634" t="n">
        <v>7.1</v>
      </c>
      <c r="F738" s="631" t="inlineStr">
        <is>
          <t>Km</t>
        </is>
      </c>
      <c r="G738" s="631" t="inlineStr">
        <is>
          <t>รถเทรลเลอร์</t>
        </is>
      </c>
      <c r="H738" s="631" t="inlineStr">
        <is>
          <t>UNIVERSITY PARK IL, USA</t>
        </is>
      </c>
      <c r="I738" s="636" t="n">
        <v>13877</v>
      </c>
      <c r="J738" s="635" t="inlineStr">
        <is>
          <t>Km</t>
        </is>
      </c>
      <c r="K738" s="637" t="n">
        <v>3840</v>
      </c>
      <c r="L738" s="642">
        <f>M738-K738</f>
        <v/>
      </c>
      <c r="M738" s="1799" t="n">
        <v>14029.8</v>
      </c>
      <c r="N738" s="1800" t="n">
        <v>7660</v>
      </c>
      <c r="O738" s="633" t="n">
        <v>0</v>
      </c>
      <c r="P738" s="643" t="n">
        <v>100</v>
      </c>
    </row>
    <row r="739" ht="15.75" customHeight="1">
      <c r="A739" s="657" t="inlineStr">
        <is>
          <t>FO23110037</t>
        </is>
      </c>
      <c r="B739" s="626" t="n">
        <v>45243</v>
      </c>
      <c r="C739" s="615" t="inlineStr">
        <is>
          <t>มัลติแบกซ์</t>
        </is>
      </c>
      <c r="D739" s="615" t="inlineStr">
        <is>
          <t>ท่าเรือแหลมฉบัง</t>
        </is>
      </c>
      <c r="E739" s="627" t="n">
        <v>7.1</v>
      </c>
      <c r="F739" s="625" t="inlineStr">
        <is>
          <t>Km</t>
        </is>
      </c>
      <c r="G739" s="625" t="inlineStr">
        <is>
          <t>รถเทรลเลอร์</t>
        </is>
      </c>
      <c r="H739" s="625" t="inlineStr">
        <is>
          <t>MANILA, PHILIPPINES</t>
        </is>
      </c>
      <c r="I739" s="629" t="n">
        <v>2167</v>
      </c>
      <c r="J739" s="628" t="inlineStr">
        <is>
          <t>Km</t>
        </is>
      </c>
      <c r="K739" s="630" t="n">
        <v>2190</v>
      </c>
      <c r="L739" s="640">
        <f>M739-K739</f>
        <v/>
      </c>
      <c r="M739" s="1797" t="n">
        <v>6655.8</v>
      </c>
      <c r="N739" s="1801" t="n">
        <v>3350.1</v>
      </c>
      <c r="O739" s="615" t="n">
        <v>0</v>
      </c>
      <c r="P739" s="641" t="n">
        <v>100</v>
      </c>
    </row>
    <row r="740" ht="15.75" customHeight="1">
      <c r="A740" s="658" t="inlineStr">
        <is>
          <t>FO23110038</t>
        </is>
      </c>
      <c r="B740" s="632" t="n">
        <v>45251</v>
      </c>
      <c r="C740" s="633" t="inlineStr">
        <is>
          <t>มัลติแบกซ์</t>
        </is>
      </c>
      <c r="D740" s="633" t="inlineStr">
        <is>
          <t>ท่าเรือแหลมฉบัง</t>
        </is>
      </c>
      <c r="E740" s="634" t="n">
        <v>7.1</v>
      </c>
      <c r="F740" s="631" t="inlineStr">
        <is>
          <t>Km</t>
        </is>
      </c>
      <c r="G740" s="631" t="inlineStr">
        <is>
          <t>รถเทรลเลอร์</t>
        </is>
      </c>
      <c r="H740" s="631" t="inlineStr">
        <is>
          <t>UNIVERSITY PARK IL, USA</t>
        </is>
      </c>
      <c r="I740" s="636" t="n">
        <v>13877</v>
      </c>
      <c r="J740" s="635" t="inlineStr">
        <is>
          <t>Km</t>
        </is>
      </c>
      <c r="K740" s="637" t="n">
        <v>3700</v>
      </c>
      <c r="L740" s="642">
        <f>M740-K740</f>
        <v/>
      </c>
      <c r="M740" s="1799" t="n">
        <v>13474.2</v>
      </c>
      <c r="N740" s="1800" t="n">
        <v>6917.4</v>
      </c>
      <c r="O740" s="633" t="n">
        <v>0</v>
      </c>
      <c r="P740" s="643" t="n">
        <v>100</v>
      </c>
    </row>
    <row r="741" ht="15.75" customHeight="1">
      <c r="A741" s="657" t="inlineStr">
        <is>
          <t>FO23110039</t>
        </is>
      </c>
      <c r="B741" s="626" t="n">
        <v>45250</v>
      </c>
      <c r="C741" s="615" t="inlineStr">
        <is>
          <t>มัลติแบกซ์</t>
        </is>
      </c>
      <c r="D741" s="615" t="inlineStr">
        <is>
          <t>ท่าเรือแหลมฉบัง</t>
        </is>
      </c>
      <c r="E741" s="627" t="n">
        <v>6.5</v>
      </c>
      <c r="F741" s="625" t="inlineStr">
        <is>
          <t>Km</t>
        </is>
      </c>
      <c r="G741" s="625" t="inlineStr">
        <is>
          <t>รถเทรลเลอร์</t>
        </is>
      </c>
      <c r="H741" s="625" t="inlineStr">
        <is>
          <t>UNIVERSITY PARK IL, USA</t>
        </is>
      </c>
      <c r="I741" s="629" t="n">
        <v>13877</v>
      </c>
      <c r="J741" s="628" t="inlineStr">
        <is>
          <t>Km</t>
        </is>
      </c>
      <c r="K741" s="630" t="n">
        <v>3620</v>
      </c>
      <c r="L741" s="640">
        <f>M741-K741</f>
        <v/>
      </c>
      <c r="M741" s="1797" t="n">
        <v>14346</v>
      </c>
      <c r="N741" s="1801" t="n">
        <v>8196.200000000001</v>
      </c>
      <c r="O741" s="615" t="n">
        <v>0</v>
      </c>
      <c r="P741" s="641" t="n">
        <v>100</v>
      </c>
    </row>
    <row r="742" ht="15.75" customHeight="1">
      <c r="A742" s="658" t="inlineStr">
        <is>
          <t>FO23110040</t>
        </is>
      </c>
      <c r="B742" s="632" t="n">
        <v>45258</v>
      </c>
      <c r="C742" s="633" t="inlineStr">
        <is>
          <t>มัลติแบกซ์</t>
        </is>
      </c>
      <c r="D742" s="633" t="inlineStr">
        <is>
          <t>ท่าเรือแหลมฉบัง</t>
        </is>
      </c>
      <c r="E742" s="634" t="n">
        <v>6.2</v>
      </c>
      <c r="F742" s="631" t="inlineStr">
        <is>
          <t>Km</t>
        </is>
      </c>
      <c r="G742" s="631" t="inlineStr">
        <is>
          <t>รถเทรลเลอร์</t>
        </is>
      </c>
      <c r="H742" s="631" t="inlineStr">
        <is>
          <t>SYDNEY, AUSTRALIA</t>
        </is>
      </c>
      <c r="I742" s="636" t="n">
        <v>7448</v>
      </c>
      <c r="J742" s="635" t="inlineStr">
        <is>
          <t>Km</t>
        </is>
      </c>
      <c r="K742" s="637" t="n">
        <v>3850</v>
      </c>
      <c r="L742" s="642">
        <f>M742-K742</f>
        <v/>
      </c>
      <c r="M742" s="1799" t="n">
        <v>20902</v>
      </c>
      <c r="N742" s="1800" t="n">
        <v>12414</v>
      </c>
      <c r="O742" s="633" t="n">
        <v>0</v>
      </c>
      <c r="P742" s="643" t="n">
        <v>100</v>
      </c>
    </row>
    <row r="743" ht="15.75" customHeight="1">
      <c r="A743" s="657" t="inlineStr">
        <is>
          <t>FO23110041</t>
        </is>
      </c>
      <c r="B743" s="626" t="n">
        <v>45258</v>
      </c>
      <c r="C743" s="615" t="inlineStr">
        <is>
          <t>มัลติแบกซ์</t>
        </is>
      </c>
      <c r="D743" s="615" t="inlineStr">
        <is>
          <t>ท่าเรือแหลมฉบัง</t>
        </is>
      </c>
      <c r="E743" s="627" t="n">
        <v>6.2</v>
      </c>
      <c r="F743" s="625" t="inlineStr">
        <is>
          <t>Km</t>
        </is>
      </c>
      <c r="G743" s="625" t="inlineStr">
        <is>
          <t>รถเทรลเลอร์</t>
        </is>
      </c>
      <c r="H743" s="625" t="inlineStr">
        <is>
          <t>SYDNEY, AUSTRALIA</t>
        </is>
      </c>
      <c r="I743" s="629" t="n">
        <v>7448</v>
      </c>
      <c r="J743" s="628" t="inlineStr">
        <is>
          <t>Km</t>
        </is>
      </c>
      <c r="K743" s="630" t="n">
        <v>3700</v>
      </c>
      <c r="L743" s="640">
        <f>M743-K743</f>
        <v/>
      </c>
      <c r="M743" s="1797" t="n">
        <v>28474.5</v>
      </c>
      <c r="N743" s="1801" t="n">
        <v>21364.5</v>
      </c>
      <c r="O743" s="615" t="n">
        <v>0</v>
      </c>
      <c r="P743" s="641" t="n">
        <v>100</v>
      </c>
    </row>
    <row r="744" ht="15.75" customHeight="1">
      <c r="A744" s="658" t="inlineStr">
        <is>
          <t>FO23110042</t>
        </is>
      </c>
      <c r="B744" s="632" t="n">
        <v>45258</v>
      </c>
      <c r="C744" s="633" t="inlineStr">
        <is>
          <t>มัลติแบกซ์</t>
        </is>
      </c>
      <c r="D744" s="633" t="inlineStr">
        <is>
          <t>ท่าเรือแหลมฉบัง</t>
        </is>
      </c>
      <c r="E744" s="634" t="n">
        <v>6.2</v>
      </c>
      <c r="F744" s="631" t="inlineStr">
        <is>
          <t>Km</t>
        </is>
      </c>
      <c r="G744" s="631" t="inlineStr">
        <is>
          <t>รถเทรลเลอร์</t>
        </is>
      </c>
      <c r="H744" s="631" t="inlineStr">
        <is>
          <t>SYDNEY, AUSTRALIA</t>
        </is>
      </c>
      <c r="I744" s="636" t="n">
        <v>7448</v>
      </c>
      <c r="J744" s="635" t="inlineStr">
        <is>
          <t>Km</t>
        </is>
      </c>
      <c r="K744" s="637" t="n">
        <v>3680</v>
      </c>
      <c r="L744" s="642">
        <f>M744-K744</f>
        <v/>
      </c>
      <c r="M744" s="1799" t="n">
        <v>21932</v>
      </c>
      <c r="N744" s="1800" t="n">
        <v>13329</v>
      </c>
      <c r="O744" s="633" t="n">
        <v>0</v>
      </c>
      <c r="P744" s="643" t="n">
        <v>100</v>
      </c>
    </row>
    <row r="745" ht="15.75" customHeight="1">
      <c r="A745" s="657" t="inlineStr">
        <is>
          <t>FO23110043</t>
        </is>
      </c>
      <c r="B745" s="626" t="n">
        <v>45258</v>
      </c>
      <c r="C745" s="615" t="inlineStr">
        <is>
          <t>มัลติแบกซ์</t>
        </is>
      </c>
      <c r="D745" s="615" t="inlineStr">
        <is>
          <t>ท่าเรือแหลมฉบัง</t>
        </is>
      </c>
      <c r="E745" s="627" t="n">
        <v>6.2</v>
      </c>
      <c r="F745" s="625" t="inlineStr">
        <is>
          <t>Km</t>
        </is>
      </c>
      <c r="G745" s="625" t="inlineStr">
        <is>
          <t>รถเทรลเลอร์</t>
        </is>
      </c>
      <c r="H745" s="625" t="inlineStr">
        <is>
          <t>SYDNEY, AUSTRALIA</t>
        </is>
      </c>
      <c r="I745" s="629" t="n">
        <v>7448</v>
      </c>
      <c r="J745" s="628" t="inlineStr">
        <is>
          <t>Km</t>
        </is>
      </c>
      <c r="K745" s="630" t="n">
        <v>3660</v>
      </c>
      <c r="L745" s="640">
        <f>M745-K745</f>
        <v/>
      </c>
      <c r="M745" s="1797" t="n">
        <v>20262</v>
      </c>
      <c r="N745" s="1801" t="n">
        <v>9813.5</v>
      </c>
      <c r="O745" s="615" t="n">
        <v>0</v>
      </c>
      <c r="P745" s="641" t="n">
        <v>100</v>
      </c>
    </row>
    <row r="746" ht="15.75" customHeight="1">
      <c r="A746" s="658" t="inlineStr">
        <is>
          <t>FO23110044</t>
        </is>
      </c>
      <c r="B746" s="632" t="n">
        <v>45246</v>
      </c>
      <c r="C746" s="633" t="inlineStr">
        <is>
          <t>มัลติแบกซ์</t>
        </is>
      </c>
      <c r="D746" s="633" t="inlineStr">
        <is>
          <t>ท่าเรือแหลมฉบัง</t>
        </is>
      </c>
      <c r="E746" s="634" t="n">
        <v>6.2</v>
      </c>
      <c r="F746" s="631" t="inlineStr">
        <is>
          <t>Km</t>
        </is>
      </c>
      <c r="G746" s="631" t="inlineStr">
        <is>
          <t>รถเทรลเลอร์</t>
        </is>
      </c>
      <c r="H746" s="631" t="inlineStr">
        <is>
          <t>CARROLLTON TX, USA</t>
        </is>
      </c>
      <c r="I746" s="636" t="n">
        <v>14544</v>
      </c>
      <c r="J746" s="635" t="inlineStr">
        <is>
          <t>Km</t>
        </is>
      </c>
      <c r="K746" s="637" t="n">
        <v>3700</v>
      </c>
      <c r="L746" s="642">
        <f>M746-K746</f>
        <v/>
      </c>
      <c r="M746" s="1799" t="n">
        <v>18597</v>
      </c>
      <c r="N746" s="1800" t="n">
        <v>12799.28</v>
      </c>
      <c r="O746" s="633" t="n">
        <v>0</v>
      </c>
      <c r="P746" s="643" t="n">
        <v>100</v>
      </c>
    </row>
    <row r="747" ht="15.75" customHeight="1">
      <c r="A747" s="657" t="inlineStr">
        <is>
          <t>FO23110045</t>
        </is>
      </c>
      <c r="B747" s="626" t="n">
        <v>45247</v>
      </c>
      <c r="C747" s="615" t="inlineStr">
        <is>
          <t>มัลติแบกซ์</t>
        </is>
      </c>
      <c r="D747" s="615" t="inlineStr">
        <is>
          <t>ท่าเรือแหลมฉบัง</t>
        </is>
      </c>
      <c r="E747" s="627" t="n">
        <v>7.1</v>
      </c>
      <c r="F747" s="625" t="inlineStr">
        <is>
          <t>Km</t>
        </is>
      </c>
      <c r="G747" s="625" t="inlineStr">
        <is>
          <t>รถเทรลเลอร์</t>
        </is>
      </c>
      <c r="H747" s="625" t="inlineStr">
        <is>
          <t>JACKSONVILLE IL, USA</t>
        </is>
      </c>
      <c r="I747" s="629" t="n">
        <v>15168</v>
      </c>
      <c r="J747" s="628" t="inlineStr">
        <is>
          <t>Km</t>
        </is>
      </c>
      <c r="K747" s="630" t="n">
        <v>3700</v>
      </c>
      <c r="L747" s="640">
        <f>M747-K747</f>
        <v/>
      </c>
      <c r="M747" s="1797" t="n">
        <v>23924.2</v>
      </c>
      <c r="N747" s="1801" t="n">
        <v>16320</v>
      </c>
      <c r="O747" s="615" t="n">
        <v>0</v>
      </c>
      <c r="P747" s="641" t="n">
        <v>100</v>
      </c>
    </row>
    <row r="748" ht="15.75" customHeight="1">
      <c r="A748" s="658" t="inlineStr">
        <is>
          <t>FO23110046</t>
        </is>
      </c>
      <c r="B748" s="632" t="n">
        <v>45251</v>
      </c>
      <c r="C748" s="633" t="inlineStr">
        <is>
          <t>มัลติแบกซ์</t>
        </is>
      </c>
      <c r="D748" s="633" t="inlineStr">
        <is>
          <t>ท่าเรือแหลมฉบัง</t>
        </is>
      </c>
      <c r="E748" s="634" t="n">
        <v>7.1</v>
      </c>
      <c r="F748" s="631" t="inlineStr">
        <is>
          <t>Km</t>
        </is>
      </c>
      <c r="G748" s="631" t="inlineStr">
        <is>
          <t>รถเทรลเลอร์</t>
        </is>
      </c>
      <c r="H748" s="631" t="inlineStr">
        <is>
          <t>HAMAD, QATAR</t>
        </is>
      </c>
      <c r="I748" s="636" t="n">
        <v>5317</v>
      </c>
      <c r="J748" s="635" t="inlineStr">
        <is>
          <t>Km</t>
        </is>
      </c>
      <c r="K748" s="637" t="n">
        <v>2210</v>
      </c>
      <c r="L748" s="642">
        <f>M748-K748</f>
        <v/>
      </c>
      <c r="M748" s="1799" t="n">
        <v>8923.57</v>
      </c>
      <c r="N748" s="1800" t="n">
        <v>5576.93</v>
      </c>
      <c r="O748" s="633" t="n">
        <v>0</v>
      </c>
      <c r="P748" s="643" t="n">
        <v>100</v>
      </c>
    </row>
    <row r="749" ht="15.75" customHeight="1">
      <c r="A749" s="657" t="inlineStr">
        <is>
          <t>FO23110047</t>
        </is>
      </c>
      <c r="B749" s="626" t="n">
        <v>45251</v>
      </c>
      <c r="C749" s="615" t="inlineStr">
        <is>
          <t>มัลติแบกซ์</t>
        </is>
      </c>
      <c r="D749" s="615" t="inlineStr">
        <is>
          <t>ท่าเรือแหลมฉบัง</t>
        </is>
      </c>
      <c r="E749" s="627" t="n">
        <v>10.2</v>
      </c>
      <c r="F749" s="625" t="inlineStr">
        <is>
          <t>Km</t>
        </is>
      </c>
      <c r="G749" s="625" t="inlineStr">
        <is>
          <t>รถเทรลเลอร์</t>
        </is>
      </c>
      <c r="H749" s="625" t="inlineStr">
        <is>
          <t>SHANGHAI, CHINA</t>
        </is>
      </c>
      <c r="I749" s="629" t="n">
        <v>3943</v>
      </c>
      <c r="J749" s="628" t="inlineStr">
        <is>
          <t>Km</t>
        </is>
      </c>
      <c r="K749" s="630" t="n">
        <v>3670</v>
      </c>
      <c r="L749" s="640">
        <f>M749-K749</f>
        <v/>
      </c>
      <c r="M749" s="1797" t="n">
        <v>17162.6</v>
      </c>
      <c r="N749" s="1801" t="n">
        <v>10281.6</v>
      </c>
      <c r="O749" s="615" t="n">
        <v>0</v>
      </c>
      <c r="P749" s="641" t="n">
        <v>100</v>
      </c>
    </row>
    <row r="750" ht="15.75" customHeight="1">
      <c r="A750" s="658" t="inlineStr">
        <is>
          <t>FO23110048</t>
        </is>
      </c>
      <c r="B750" s="632" t="n">
        <v>45251</v>
      </c>
      <c r="C750" s="633" t="inlineStr">
        <is>
          <t>มัลติแบกซ์</t>
        </is>
      </c>
      <c r="D750" s="633" t="inlineStr">
        <is>
          <t>ท่าเรือแหลมฉบัง</t>
        </is>
      </c>
      <c r="E750" s="634" t="n">
        <v>10.2</v>
      </c>
      <c r="F750" s="631" t="inlineStr">
        <is>
          <t>Km</t>
        </is>
      </c>
      <c r="G750" s="631" t="inlineStr">
        <is>
          <t>รถเทรลเลอร์</t>
        </is>
      </c>
      <c r="H750" s="631" t="inlineStr">
        <is>
          <t>SHANGHAI, CHINA</t>
        </is>
      </c>
      <c r="I750" s="636" t="n">
        <v>3943</v>
      </c>
      <c r="J750" s="635" t="inlineStr">
        <is>
          <t>Km</t>
        </is>
      </c>
      <c r="K750" s="637" t="n">
        <v>3900</v>
      </c>
      <c r="L750" s="642">
        <f>M750-K750</f>
        <v/>
      </c>
      <c r="M750" s="1799" t="n">
        <v>17392.6</v>
      </c>
      <c r="N750" s="1800" t="n">
        <v>10281.6</v>
      </c>
      <c r="O750" s="633" t="n">
        <v>0</v>
      </c>
      <c r="P750" s="643" t="n">
        <v>100</v>
      </c>
    </row>
    <row r="751" ht="15.75" customHeight="1">
      <c r="A751" s="657" t="inlineStr">
        <is>
          <t>FO23110049</t>
        </is>
      </c>
      <c r="B751" s="626" t="n">
        <v>45253</v>
      </c>
      <c r="C751" s="615" t="inlineStr">
        <is>
          <t>มัลติแบกซ์</t>
        </is>
      </c>
      <c r="D751" s="615" t="inlineStr">
        <is>
          <t>ท่าเรือแหลมฉบัง</t>
        </is>
      </c>
      <c r="E751" s="627" t="n">
        <v>6</v>
      </c>
      <c r="F751" s="625" t="inlineStr">
        <is>
          <t>Km</t>
        </is>
      </c>
      <c r="G751" s="625" t="inlineStr">
        <is>
          <t>รถเทรลเลอร์</t>
        </is>
      </c>
      <c r="H751" s="625" t="inlineStr">
        <is>
          <t>KLANG, MALAYSIA</t>
        </is>
      </c>
      <c r="I751" s="629" t="n">
        <v>1588</v>
      </c>
      <c r="J751" s="628" t="inlineStr">
        <is>
          <t>Km</t>
        </is>
      </c>
      <c r="K751" s="630" t="n">
        <v>2210</v>
      </c>
      <c r="L751" s="640">
        <f>M751-K751</f>
        <v/>
      </c>
      <c r="M751" s="1797" t="n">
        <v>6646.3</v>
      </c>
      <c r="N751" s="1801" t="n">
        <v>3308.68</v>
      </c>
      <c r="O751" s="615" t="n">
        <v>0</v>
      </c>
      <c r="P751" s="641" t="n">
        <v>100</v>
      </c>
    </row>
    <row r="752" ht="15.75" customHeight="1">
      <c r="A752" s="658" t="inlineStr">
        <is>
          <t>FO23110050</t>
        </is>
      </c>
      <c r="B752" s="632" t="n">
        <v>45257</v>
      </c>
      <c r="C752" s="633" t="inlineStr">
        <is>
          <t>มัลติแบกซ์</t>
        </is>
      </c>
      <c r="D752" s="633" t="inlineStr">
        <is>
          <t>ท่าเรือแหลมฉบัง</t>
        </is>
      </c>
      <c r="E752" s="634" t="n">
        <v>6</v>
      </c>
      <c r="F752" s="631" t="inlineStr">
        <is>
          <t>Km</t>
        </is>
      </c>
      <c r="G752" s="631" t="inlineStr">
        <is>
          <t>รถเทรลเลอร์</t>
        </is>
      </c>
      <c r="H752" s="631" t="inlineStr">
        <is>
          <t>SOHAR, OMAN</t>
        </is>
      </c>
      <c r="I752" s="636" t="n">
        <v>4795</v>
      </c>
      <c r="J752" s="635" t="inlineStr">
        <is>
          <t>Km</t>
        </is>
      </c>
      <c r="K752" s="637" t="n">
        <v>2230</v>
      </c>
      <c r="L752" s="642">
        <f>M752-K752</f>
        <v/>
      </c>
      <c r="M752" s="1799" t="n">
        <v>8940.42</v>
      </c>
      <c r="N752" s="1800" t="n">
        <v>5709.37</v>
      </c>
      <c r="O752" s="633" t="n">
        <v>0</v>
      </c>
      <c r="P752" s="643" t="n">
        <v>100</v>
      </c>
    </row>
    <row r="753" ht="15.75" customHeight="1">
      <c r="A753" s="657" t="inlineStr">
        <is>
          <t>FO23110051</t>
        </is>
      </c>
      <c r="B753" s="626" t="n">
        <v>45258</v>
      </c>
      <c r="C753" s="615" t="inlineStr">
        <is>
          <t>มัลติแบกซ์</t>
        </is>
      </c>
      <c r="D753" s="615" t="inlineStr">
        <is>
          <t>ท่าเรือแหลมฉบัง</t>
        </is>
      </c>
      <c r="E753" s="627" t="n">
        <v>7.1</v>
      </c>
      <c r="F753" s="625" t="inlineStr">
        <is>
          <t>Km</t>
        </is>
      </c>
      <c r="G753" s="625" t="inlineStr">
        <is>
          <t>รถเทรลเลอร์</t>
        </is>
      </c>
      <c r="H753" s="625" t="inlineStr">
        <is>
          <t>AJMAN PORT, UAE</t>
        </is>
      </c>
      <c r="I753" s="629" t="n">
        <v>4929</v>
      </c>
      <c r="J753" s="628" t="inlineStr">
        <is>
          <t>Km</t>
        </is>
      </c>
      <c r="K753" s="630" t="n">
        <v>3600</v>
      </c>
      <c r="L753" s="640">
        <f>M753-K753</f>
        <v/>
      </c>
      <c r="M753" s="1797" t="n">
        <v>19779.03</v>
      </c>
      <c r="N753" s="1801" t="n">
        <v>14387.07</v>
      </c>
      <c r="O753" s="615" t="n">
        <v>0</v>
      </c>
      <c r="P753" s="641" t="n">
        <v>100</v>
      </c>
    </row>
    <row r="754" ht="15.75" customHeight="1">
      <c r="A754" s="658" t="inlineStr">
        <is>
          <t>FO23110052</t>
        </is>
      </c>
      <c r="B754" s="632" t="n">
        <v>45258</v>
      </c>
      <c r="C754" s="633" t="inlineStr">
        <is>
          <t>มัลติแบกซ์</t>
        </is>
      </c>
      <c r="D754" s="633" t="inlineStr">
        <is>
          <t>ท่าเรือแหลมฉบัง</t>
        </is>
      </c>
      <c r="E754" s="634" t="n">
        <v>7.1</v>
      </c>
      <c r="F754" s="631" t="inlineStr">
        <is>
          <t>Km</t>
        </is>
      </c>
      <c r="G754" s="631" t="inlineStr">
        <is>
          <t>รถเทรลเลอร์</t>
        </is>
      </c>
      <c r="H754" s="631" t="inlineStr">
        <is>
          <t>AJMAN PORT, UAE</t>
        </is>
      </c>
      <c r="I754" s="636" t="n">
        <v>4929</v>
      </c>
      <c r="J754" s="635" t="inlineStr">
        <is>
          <t>Km</t>
        </is>
      </c>
      <c r="K754" s="637" t="n">
        <v>3640</v>
      </c>
      <c r="L754" s="642">
        <f>M754-K754</f>
        <v/>
      </c>
      <c r="M754" s="1799" t="n">
        <v>15781.4</v>
      </c>
      <c r="N754" s="1800" t="n">
        <v>9995</v>
      </c>
      <c r="O754" s="633" t="n">
        <v>0</v>
      </c>
      <c r="P754" s="643" t="n">
        <v>100</v>
      </c>
    </row>
    <row r="755" ht="15.75" customHeight="1">
      <c r="A755" s="657" t="inlineStr">
        <is>
          <t>FO23110053</t>
        </is>
      </c>
      <c r="B755" s="626" t="n">
        <v>45258</v>
      </c>
      <c r="C755" s="615" t="inlineStr">
        <is>
          <t>มัลติแบกซ์</t>
        </is>
      </c>
      <c r="D755" s="615" t="inlineStr">
        <is>
          <t>ท่าเรือแหลมฉบัง</t>
        </is>
      </c>
      <c r="E755" s="627" t="n">
        <v>7.1</v>
      </c>
      <c r="F755" s="625" t="inlineStr">
        <is>
          <t>Km</t>
        </is>
      </c>
      <c r="G755" s="625" t="inlineStr">
        <is>
          <t>รถเทรลเลอร์</t>
        </is>
      </c>
      <c r="H755" s="625" t="inlineStr">
        <is>
          <t>AJMAN PORT, UAE</t>
        </is>
      </c>
      <c r="I755" s="629" t="n">
        <v>4929</v>
      </c>
      <c r="J755" s="628" t="inlineStr">
        <is>
          <t>Km</t>
        </is>
      </c>
      <c r="K755" s="630" t="n">
        <v>2160</v>
      </c>
      <c r="L755" s="640">
        <f>M755-K755</f>
        <v/>
      </c>
      <c r="M755" s="1797" t="n">
        <v>8585.6</v>
      </c>
      <c r="N755" s="1801" t="n">
        <v>5194.4</v>
      </c>
      <c r="O755" s="615" t="n">
        <v>0</v>
      </c>
      <c r="P755" s="641" t="n">
        <v>100</v>
      </c>
    </row>
    <row r="756" ht="15.75" customHeight="1">
      <c r="A756" s="658" t="inlineStr">
        <is>
          <t>FO23110054</t>
        </is>
      </c>
      <c r="B756" s="632" t="n">
        <v>45257</v>
      </c>
      <c r="C756" s="633" t="inlineStr">
        <is>
          <t>มัลติแบกซ์</t>
        </is>
      </c>
      <c r="D756" s="633" t="inlineStr">
        <is>
          <t>ท่าเรือแหลมฉบัง</t>
        </is>
      </c>
      <c r="E756" s="634" t="n">
        <v>6</v>
      </c>
      <c r="F756" s="631" t="inlineStr">
        <is>
          <t>Km</t>
        </is>
      </c>
      <c r="G756" s="631" t="inlineStr">
        <is>
          <t>รถเทรลเลอร์</t>
        </is>
      </c>
      <c r="H756" s="631" t="inlineStr">
        <is>
          <t>SHUWAIKH, KUWAIT</t>
        </is>
      </c>
      <c r="I756" s="636" t="n">
        <v>5727</v>
      </c>
      <c r="J756" s="635" t="inlineStr">
        <is>
          <t>Km</t>
        </is>
      </c>
      <c r="K756" s="637" t="n">
        <v>3650</v>
      </c>
      <c r="L756" s="642">
        <f>M756-K756</f>
        <v/>
      </c>
      <c r="M756" s="1799" t="n">
        <v>18190.98</v>
      </c>
      <c r="N756" s="1800" t="n">
        <v>12456.82</v>
      </c>
      <c r="O756" s="633" t="n">
        <v>0</v>
      </c>
      <c r="P756" s="643" t="n">
        <v>100</v>
      </c>
    </row>
    <row r="757" ht="15.75" customHeight="1">
      <c r="A757" s="657" t="inlineStr">
        <is>
          <t>FO23110055</t>
        </is>
      </c>
      <c r="B757" s="626" t="n">
        <v>45253</v>
      </c>
      <c r="C757" s="615" t="inlineStr">
        <is>
          <t>มัลติแบกซ์</t>
        </is>
      </c>
      <c r="D757" s="615" t="inlineStr">
        <is>
          <t>ท่าเรือแหลมฉบัง</t>
        </is>
      </c>
      <c r="E757" s="627" t="n">
        <v>5.3</v>
      </c>
      <c r="F757" s="625" t="inlineStr">
        <is>
          <t>Km</t>
        </is>
      </c>
      <c r="G757" s="625" t="inlineStr">
        <is>
          <t>รถเทรลเลอร์</t>
        </is>
      </c>
      <c r="H757" s="625" t="inlineStr">
        <is>
          <t>HONG KONG</t>
        </is>
      </c>
      <c r="I757" s="629" t="n">
        <v>1734</v>
      </c>
      <c r="J757" s="628" t="inlineStr">
        <is>
          <t>Km</t>
        </is>
      </c>
      <c r="K757" s="630" t="n">
        <v>3860</v>
      </c>
      <c r="L757" s="640">
        <f>M757-K757</f>
        <v/>
      </c>
      <c r="M757" s="1797" t="n">
        <v>15871.1</v>
      </c>
      <c r="N757" s="1801" t="n">
        <v>9118.5</v>
      </c>
      <c r="O757" s="615" t="n">
        <v>0</v>
      </c>
      <c r="P757" s="641" t="n">
        <v>100</v>
      </c>
    </row>
    <row r="758" ht="15.75" customHeight="1">
      <c r="A758" s="658" t="inlineStr">
        <is>
          <t>FO23110056</t>
        </is>
      </c>
      <c r="B758" s="632" t="n">
        <v>45253</v>
      </c>
      <c r="C758" s="633" t="inlineStr">
        <is>
          <t>มัลติแบกซ์</t>
        </is>
      </c>
      <c r="D758" s="633" t="inlineStr">
        <is>
          <t>ท่าเรือแหลมฉบัง</t>
        </is>
      </c>
      <c r="E758" s="634" t="n">
        <v>3.6</v>
      </c>
      <c r="F758" s="631" t="inlineStr">
        <is>
          <t>Km</t>
        </is>
      </c>
      <c r="G758" s="631" t="inlineStr">
        <is>
          <t>รถเทรลเลอร์</t>
        </is>
      </c>
      <c r="H758" s="631" t="inlineStr">
        <is>
          <t>BUSAN, KOREA</t>
        </is>
      </c>
      <c r="I758" s="636" t="n">
        <v>3740</v>
      </c>
      <c r="J758" s="635" t="inlineStr">
        <is>
          <t>Km</t>
        </is>
      </c>
      <c r="K758" s="637" t="n">
        <v>3850</v>
      </c>
      <c r="L758" s="642">
        <f>M758-K758</f>
        <v/>
      </c>
      <c r="M758" s="1799" t="n">
        <v>8569.959999999999</v>
      </c>
      <c r="N758" s="1800" t="n">
        <v>3043.84</v>
      </c>
      <c r="O758" s="633" t="n">
        <v>0</v>
      </c>
      <c r="P758" s="643" t="n">
        <v>100</v>
      </c>
    </row>
    <row r="759" ht="15.75" customHeight="1">
      <c r="A759" s="657" t="inlineStr">
        <is>
          <t>FO23110057</t>
        </is>
      </c>
      <c r="B759" s="626" t="n">
        <v>45253</v>
      </c>
      <c r="C759" s="615" t="inlineStr">
        <is>
          <t>มัลติแบกซ์</t>
        </is>
      </c>
      <c r="D759" s="615" t="inlineStr">
        <is>
          <t>ท่าเรือแหลมฉบัง</t>
        </is>
      </c>
      <c r="E759" s="627" t="n">
        <v>3.6</v>
      </c>
      <c r="F759" s="625" t="inlineStr">
        <is>
          <t>Km</t>
        </is>
      </c>
      <c r="G759" s="625" t="inlineStr">
        <is>
          <t>รถเทรลเลอร์</t>
        </is>
      </c>
      <c r="H759" s="625" t="inlineStr">
        <is>
          <t>BUSAN, KOREA</t>
        </is>
      </c>
      <c r="I759" s="629" t="n">
        <v>3740</v>
      </c>
      <c r="J759" s="628" t="inlineStr">
        <is>
          <t>Km</t>
        </is>
      </c>
      <c r="K759" s="630" t="n">
        <v>3730</v>
      </c>
      <c r="L759" s="640">
        <f>M759-K759</f>
        <v/>
      </c>
      <c r="M759" s="1797" t="n">
        <v>10107.2</v>
      </c>
      <c r="N759" s="1801" t="n">
        <v>4403.7</v>
      </c>
      <c r="O759" s="615" t="n">
        <v>0</v>
      </c>
      <c r="P759" s="641" t="n">
        <v>100</v>
      </c>
    </row>
    <row r="760" ht="15.75" customHeight="1">
      <c r="A760" s="658" t="inlineStr">
        <is>
          <t>FO23110058</t>
        </is>
      </c>
      <c r="B760" s="632" t="n">
        <v>45255</v>
      </c>
      <c r="C760" s="633" t="inlineStr">
        <is>
          <t>มัลติแบกซ์</t>
        </is>
      </c>
      <c r="D760" s="633" t="inlineStr">
        <is>
          <t>ท่าเรือแหลมฉบัง</t>
        </is>
      </c>
      <c r="E760" s="634" t="n">
        <v>10.2</v>
      </c>
      <c r="F760" s="631" t="inlineStr">
        <is>
          <t>Km</t>
        </is>
      </c>
      <c r="G760" s="631" t="inlineStr">
        <is>
          <t>รถเทรลเลอร์</t>
        </is>
      </c>
      <c r="H760" s="631" t="inlineStr">
        <is>
          <t>GUANGZHOU, CHINA</t>
        </is>
      </c>
      <c r="I760" s="636" t="n">
        <v>2597</v>
      </c>
      <c r="J760" s="635" t="inlineStr">
        <is>
          <t>Km</t>
        </is>
      </c>
      <c r="K760" s="637" t="n">
        <v>3590</v>
      </c>
      <c r="L760" s="642">
        <f>M760-K760</f>
        <v/>
      </c>
      <c r="M760" s="1799" t="n">
        <v>17223.6</v>
      </c>
      <c r="N760" s="1800" t="n">
        <v>11163</v>
      </c>
      <c r="O760" s="633" t="n">
        <v>0</v>
      </c>
      <c r="P760" s="643" t="n">
        <v>100</v>
      </c>
    </row>
    <row r="761" ht="15.75" customHeight="1">
      <c r="A761" s="657" t="inlineStr">
        <is>
          <t>FO23110059</t>
        </is>
      </c>
      <c r="B761" s="626" t="n">
        <v>45250</v>
      </c>
      <c r="C761" s="615" t="inlineStr">
        <is>
          <t>มัลติแบกซ์</t>
        </is>
      </c>
      <c r="D761" s="615" t="inlineStr">
        <is>
          <t>ท่าเรือแหลมฉบัง</t>
        </is>
      </c>
      <c r="E761" s="627" t="n">
        <v>6.5</v>
      </c>
      <c r="F761" s="625" t="inlineStr">
        <is>
          <t>Km</t>
        </is>
      </c>
      <c r="G761" s="625" t="inlineStr">
        <is>
          <t>รถเทรลเลอร์</t>
        </is>
      </c>
      <c r="H761" s="625" t="inlineStr">
        <is>
          <t>UK PORT</t>
        </is>
      </c>
      <c r="I761" s="629" t="n">
        <v>9687</v>
      </c>
      <c r="J761" s="628" t="inlineStr">
        <is>
          <t>Km</t>
        </is>
      </c>
      <c r="K761" s="630" t="n">
        <v>3700</v>
      </c>
      <c r="L761" s="640">
        <f>M761-K761</f>
        <v/>
      </c>
      <c r="M761" s="1797" t="n">
        <v>23476.4</v>
      </c>
      <c r="N761" s="1801" t="n">
        <v>18319.2</v>
      </c>
      <c r="O761" s="615" t="n">
        <v>0</v>
      </c>
      <c r="P761" s="641" t="n">
        <v>100</v>
      </c>
    </row>
    <row r="762" ht="15.75" customHeight="1">
      <c r="A762" s="658" t="inlineStr">
        <is>
          <t>FO23110060</t>
        </is>
      </c>
      <c r="B762" s="632" t="n">
        <v>45259</v>
      </c>
      <c r="C762" s="633" t="inlineStr">
        <is>
          <t>มัลติแบกซ์</t>
        </is>
      </c>
      <c r="D762" s="633" t="inlineStr">
        <is>
          <t>ท่าเรือแหลมฉบัง</t>
        </is>
      </c>
      <c r="E762" s="634" t="n">
        <v>7.1</v>
      </c>
      <c r="F762" s="631" t="inlineStr">
        <is>
          <t>Km</t>
        </is>
      </c>
      <c r="G762" s="631" t="inlineStr">
        <is>
          <t>รถเทรลเลอร์</t>
        </is>
      </c>
      <c r="H762" s="631" t="inlineStr">
        <is>
          <t>AUCKLAND, NEW ZEALAND</t>
        </is>
      </c>
      <c r="I762" s="636" t="n">
        <v>9486</v>
      </c>
      <c r="J762" s="635" t="inlineStr">
        <is>
          <t>Km</t>
        </is>
      </c>
      <c r="K762" s="637" t="n">
        <v>3700</v>
      </c>
      <c r="L762" s="642">
        <f>M762-K762</f>
        <v/>
      </c>
      <c r="M762" s="1799" t="n">
        <v>21236.8</v>
      </c>
      <c r="N762" s="1800" t="n">
        <v>12730</v>
      </c>
      <c r="O762" s="633" t="n">
        <v>0</v>
      </c>
      <c r="P762" s="643" t="n">
        <v>100</v>
      </c>
    </row>
    <row r="763" ht="15.75" customHeight="1">
      <c r="A763" s="657" t="inlineStr">
        <is>
          <t>FO23110061</t>
        </is>
      </c>
      <c r="B763" s="626" t="n">
        <v>45259</v>
      </c>
      <c r="C763" s="615" t="inlineStr">
        <is>
          <t>มัลติแบกซ์</t>
        </is>
      </c>
      <c r="D763" s="615" t="inlineStr">
        <is>
          <t>ท่าเรือแหลมฉบัง</t>
        </is>
      </c>
      <c r="E763" s="627" t="n">
        <v>7.1</v>
      </c>
      <c r="F763" s="625" t="inlineStr">
        <is>
          <t>Km</t>
        </is>
      </c>
      <c r="G763" s="625" t="inlineStr">
        <is>
          <t>รถเทรลเลอร์</t>
        </is>
      </c>
      <c r="H763" s="625" t="inlineStr">
        <is>
          <t>AUCKLAND, NEW ZEALAND</t>
        </is>
      </c>
      <c r="I763" s="629" t="n">
        <v>9486</v>
      </c>
      <c r="J763" s="628" t="inlineStr">
        <is>
          <t>Km</t>
        </is>
      </c>
      <c r="K763" s="630" t="n">
        <v>3840</v>
      </c>
      <c r="L763" s="640">
        <f>M763-K763</f>
        <v/>
      </c>
      <c r="M763" s="1797" t="n">
        <v>21935</v>
      </c>
      <c r="N763" s="1801" t="n">
        <v>14535.8</v>
      </c>
      <c r="O763" s="615" t="n">
        <v>0</v>
      </c>
      <c r="P763" s="641" t="n">
        <v>100</v>
      </c>
    </row>
    <row r="764" ht="15.75" customHeight="1">
      <c r="A764" s="385" t="inlineStr">
        <is>
          <t>FO23110062</t>
        </is>
      </c>
      <c r="B764" s="649" t="n">
        <v>45251</v>
      </c>
      <c r="C764" s="309" t="inlineStr">
        <is>
          <t>มัลติแบกซ์</t>
        </is>
      </c>
      <c r="D764" s="309" t="inlineStr">
        <is>
          <t>ท่าเรือแหลมฉบัง</t>
        </is>
      </c>
      <c r="E764" s="652" t="n">
        <v>7.1</v>
      </c>
      <c r="F764" s="385" t="inlineStr">
        <is>
          <t>Km</t>
        </is>
      </c>
      <c r="G764" s="385" t="inlineStr">
        <is>
          <t>รถเทรลเลอร์</t>
        </is>
      </c>
      <c r="H764" s="385" t="inlineStr">
        <is>
          <t>AUCKLAND, NEW ZEALAND</t>
        </is>
      </c>
      <c r="I764" s="650" t="n">
        <v>9486</v>
      </c>
      <c r="J764" s="228" t="inlineStr">
        <is>
          <t>Km</t>
        </is>
      </c>
      <c r="K764" s="653" t="n">
        <v>3700</v>
      </c>
      <c r="L764" s="654" t="n">
        <v>17094</v>
      </c>
      <c r="M764" s="1804" t="n">
        <v>20794</v>
      </c>
      <c r="N764" s="1805" t="n">
        <v>12669.6</v>
      </c>
      <c r="O764" s="309" t="n">
        <v>0</v>
      </c>
      <c r="P764" s="655" t="n">
        <v>100</v>
      </c>
    </row>
    <row r="765" ht="15.75" customHeight="1">
      <c r="A765" s="657" t="inlineStr">
        <is>
          <t>FO23110063</t>
        </is>
      </c>
      <c r="B765" s="626" t="n">
        <v>45253</v>
      </c>
      <c r="C765" s="615" t="inlineStr">
        <is>
          <t>มัลติแบกซ์</t>
        </is>
      </c>
      <c r="D765" s="615" t="inlineStr">
        <is>
          <t>ท่าเรือแหลมฉบัง</t>
        </is>
      </c>
      <c r="E765" s="627" t="n">
        <v>6.2</v>
      </c>
      <c r="F765" s="625" t="inlineStr">
        <is>
          <t>Km</t>
        </is>
      </c>
      <c r="G765" s="625" t="inlineStr">
        <is>
          <t>รถเทรลเลอร์</t>
        </is>
      </c>
      <c r="H765" s="625" t="inlineStr">
        <is>
          <t>LOUISVILLE KY, USA</t>
        </is>
      </c>
      <c r="I765" s="629" t="n">
        <v>14253</v>
      </c>
      <c r="J765" s="628" t="inlineStr">
        <is>
          <t>Km</t>
        </is>
      </c>
      <c r="K765" s="630" t="n">
        <v>3900</v>
      </c>
      <c r="L765" s="640">
        <f>M765-K765</f>
        <v/>
      </c>
      <c r="M765" s="1797" t="n">
        <v>15283.54</v>
      </c>
      <c r="N765" s="1801" t="n">
        <v>8514.09</v>
      </c>
      <c r="O765" s="615" t="n">
        <v>0</v>
      </c>
      <c r="P765" s="641" t="n">
        <v>100</v>
      </c>
    </row>
    <row r="766" ht="15.75" customHeight="1">
      <c r="A766" s="658" t="inlineStr">
        <is>
          <t>FO23110064</t>
        </is>
      </c>
      <c r="B766" s="632" t="n">
        <v>45253</v>
      </c>
      <c r="C766" s="633" t="inlineStr">
        <is>
          <t>มัลติแบกซ์</t>
        </is>
      </c>
      <c r="D766" s="633" t="inlineStr">
        <is>
          <t>ท่าเรือแหลมฉบัง</t>
        </is>
      </c>
      <c r="E766" s="634" t="n">
        <v>6.2</v>
      </c>
      <c r="F766" s="631" t="inlineStr">
        <is>
          <t>Km</t>
        </is>
      </c>
      <c r="G766" s="631" t="inlineStr">
        <is>
          <t>รถเทรลเลอร์</t>
        </is>
      </c>
      <c r="H766" s="631" t="inlineStr">
        <is>
          <t>APPLETON WI , USA</t>
        </is>
      </c>
      <c r="I766" s="636" t="n">
        <v>13558</v>
      </c>
      <c r="J766" s="635" t="inlineStr">
        <is>
          <t>Km</t>
        </is>
      </c>
      <c r="K766" s="637" t="n">
        <v>3880</v>
      </c>
      <c r="L766" s="642">
        <f>M766-K766</f>
        <v/>
      </c>
      <c r="M766" s="1799" t="n">
        <v>18995.05</v>
      </c>
      <c r="N766" s="1800" t="n">
        <v>12514.75</v>
      </c>
      <c r="O766" s="633" t="n">
        <v>0</v>
      </c>
      <c r="P766" s="643" t="n">
        <v>100</v>
      </c>
    </row>
    <row r="767" ht="15.75" customHeight="1">
      <c r="A767" s="657" t="inlineStr">
        <is>
          <t>FO23110065</t>
        </is>
      </c>
      <c r="B767" s="626" t="n">
        <v>45254</v>
      </c>
      <c r="C767" s="615" t="inlineStr">
        <is>
          <t>มัลติแบกซ์</t>
        </is>
      </c>
      <c r="D767" s="615" t="inlineStr">
        <is>
          <t>ท่าเรือแหลมฉบัง</t>
        </is>
      </c>
      <c r="E767" s="627" t="n">
        <v>11.7</v>
      </c>
      <c r="F767" s="625" t="inlineStr">
        <is>
          <t>Km</t>
        </is>
      </c>
      <c r="G767" s="625" t="inlineStr">
        <is>
          <t>รถเทรลเลอร์</t>
        </is>
      </c>
      <c r="H767" s="625" t="inlineStr">
        <is>
          <t>CARROLLTON TX, USA</t>
        </is>
      </c>
      <c r="I767" s="629" t="n">
        <v>14544</v>
      </c>
      <c r="J767" s="628" t="inlineStr">
        <is>
          <t>Km</t>
        </is>
      </c>
      <c r="K767" s="630" t="n">
        <v>3890</v>
      </c>
      <c r="L767" s="640">
        <f>M767-K767</f>
        <v/>
      </c>
      <c r="M767" s="1797" t="n">
        <v>16423.05</v>
      </c>
      <c r="N767" s="1801" t="n">
        <v>9630.700000000001</v>
      </c>
      <c r="O767" s="615" t="n">
        <v>0</v>
      </c>
      <c r="P767" s="641" t="n">
        <v>100</v>
      </c>
    </row>
    <row r="768" ht="15.75" customHeight="1">
      <c r="A768" s="658" t="inlineStr">
        <is>
          <t>FO23110066</t>
        </is>
      </c>
      <c r="B768" s="632" t="n">
        <v>45251</v>
      </c>
      <c r="C768" s="633" t="inlineStr">
        <is>
          <t>มัลติแบกซ์</t>
        </is>
      </c>
      <c r="D768" s="633" t="inlineStr">
        <is>
          <t>ท่าเรือแหลมฉบัง</t>
        </is>
      </c>
      <c r="E768" s="634" t="n">
        <v>7.1</v>
      </c>
      <c r="F768" s="631" t="inlineStr">
        <is>
          <t>Km</t>
        </is>
      </c>
      <c r="G768" s="631" t="inlineStr">
        <is>
          <t>รถเทรลเลอร์</t>
        </is>
      </c>
      <c r="H768" s="631" t="inlineStr">
        <is>
          <t>CARROLLTON TX, USA</t>
        </is>
      </c>
      <c r="I768" s="636" t="n">
        <v>14544</v>
      </c>
      <c r="J768" s="635" t="inlineStr">
        <is>
          <t>Km</t>
        </is>
      </c>
      <c r="K768" s="637" t="n">
        <v>3700</v>
      </c>
      <c r="L768" s="642">
        <f>M768-K768</f>
        <v/>
      </c>
      <c r="M768" s="1799" t="n">
        <v>17959.5</v>
      </c>
      <c r="N768" s="1800" t="n">
        <v>12026</v>
      </c>
      <c r="O768" s="633" t="n">
        <v>0</v>
      </c>
      <c r="P768" s="643" t="n">
        <v>100</v>
      </c>
    </row>
    <row r="769" ht="15.75" customHeight="1">
      <c r="A769" s="657" t="inlineStr">
        <is>
          <t>FO23110067</t>
        </is>
      </c>
      <c r="B769" s="626" t="n">
        <v>45251</v>
      </c>
      <c r="C769" s="615" t="inlineStr">
        <is>
          <t>มัลติแบกซ์</t>
        </is>
      </c>
      <c r="D769" s="615" t="inlineStr">
        <is>
          <t>ท่าเรือแหลมฉบัง</t>
        </is>
      </c>
      <c r="E769" s="627" t="n">
        <v>6.5</v>
      </c>
      <c r="F769" s="625" t="inlineStr">
        <is>
          <t>Km</t>
        </is>
      </c>
      <c r="G769" s="625" t="inlineStr">
        <is>
          <t>รถเทรลเลอร์</t>
        </is>
      </c>
      <c r="H769" s="625" t="inlineStr">
        <is>
          <t>PERRIS CA, USA</t>
        </is>
      </c>
      <c r="I769" s="629" t="n">
        <v>13413</v>
      </c>
      <c r="J769" s="628" t="inlineStr">
        <is>
          <t>Km</t>
        </is>
      </c>
      <c r="K769" s="630" t="n">
        <v>3860</v>
      </c>
      <c r="L769" s="640">
        <f>M769-K769</f>
        <v/>
      </c>
      <c r="M769" s="1797" t="n">
        <v>17741.46</v>
      </c>
      <c r="N769" s="1801" t="n">
        <v>10854.74</v>
      </c>
      <c r="O769" s="615" t="n">
        <v>0</v>
      </c>
      <c r="P769" s="641" t="n">
        <v>100</v>
      </c>
    </row>
    <row r="770" ht="15.75" customHeight="1">
      <c r="A770" s="658" t="inlineStr">
        <is>
          <t>FO23110068</t>
        </is>
      </c>
      <c r="B770" s="632" t="n">
        <v>45252</v>
      </c>
      <c r="C770" s="633" t="inlineStr">
        <is>
          <t>มัลติแบกซ์</t>
        </is>
      </c>
      <c r="D770" s="633" t="inlineStr">
        <is>
          <t>ท่าเรือแหลมฉบัง</t>
        </is>
      </c>
      <c r="E770" s="634" t="n">
        <v>6.2</v>
      </c>
      <c r="F770" s="631" t="inlineStr">
        <is>
          <t>Km</t>
        </is>
      </c>
      <c r="G770" s="631" t="inlineStr">
        <is>
          <t>รถเทรลเลอร์</t>
        </is>
      </c>
      <c r="H770" s="631" t="inlineStr">
        <is>
          <t>APPLETON WI , USA</t>
        </is>
      </c>
      <c r="I770" s="636" t="n">
        <v>13558</v>
      </c>
      <c r="J770" s="635" t="inlineStr">
        <is>
          <t>Km</t>
        </is>
      </c>
      <c r="K770" s="637" t="n">
        <v>3860</v>
      </c>
      <c r="L770" s="642">
        <f>M770-K770</f>
        <v/>
      </c>
      <c r="M770" s="1799" t="n">
        <v>18128</v>
      </c>
      <c r="N770" s="1800" t="n">
        <v>10918</v>
      </c>
      <c r="O770" s="633" t="n">
        <v>0</v>
      </c>
      <c r="P770" s="643" t="n">
        <v>100</v>
      </c>
    </row>
    <row r="771" ht="15.75" customHeight="1">
      <c r="A771" s="657" t="inlineStr">
        <is>
          <t>FO23110069</t>
        </is>
      </c>
      <c r="B771" s="626" t="n">
        <v>45252</v>
      </c>
      <c r="C771" s="615" t="inlineStr">
        <is>
          <t>มัลติแบกซ์</t>
        </is>
      </c>
      <c r="D771" s="615" t="inlineStr">
        <is>
          <t>ท่าเรือแหลมฉบัง</t>
        </is>
      </c>
      <c r="E771" s="627" t="n">
        <v>6.2</v>
      </c>
      <c r="F771" s="625" t="inlineStr">
        <is>
          <t>Km</t>
        </is>
      </c>
      <c r="G771" s="625" t="inlineStr">
        <is>
          <t>รถเทรลเลอร์</t>
        </is>
      </c>
      <c r="H771" s="625" t="inlineStr">
        <is>
          <t>PERRIS CA, USA</t>
        </is>
      </c>
      <c r="I771" s="629" t="n">
        <v>13413</v>
      </c>
      <c r="J771" s="628" t="inlineStr">
        <is>
          <t>Km</t>
        </is>
      </c>
      <c r="K771" s="630" t="n">
        <v>3840</v>
      </c>
      <c r="L771" s="640">
        <f>M771-K771</f>
        <v/>
      </c>
      <c r="M771" s="1797" t="n">
        <v>22125.28</v>
      </c>
      <c r="N771" s="1801" t="n">
        <v>14875.32</v>
      </c>
      <c r="O771" s="615" t="n">
        <v>0</v>
      </c>
      <c r="P771" s="641" t="n">
        <v>100</v>
      </c>
    </row>
    <row r="772" ht="15.75" customHeight="1">
      <c r="A772" s="658" t="inlineStr">
        <is>
          <t>FO23110070</t>
        </is>
      </c>
      <c r="B772" s="632" t="n">
        <v>45252</v>
      </c>
      <c r="C772" s="633" t="inlineStr">
        <is>
          <t>มัลติแบกซ์</t>
        </is>
      </c>
      <c r="D772" s="633" t="inlineStr">
        <is>
          <t>ท่าเรือแหลมฉบัง</t>
        </is>
      </c>
      <c r="E772" s="634" t="n">
        <v>6.2</v>
      </c>
      <c r="F772" s="631" t="inlineStr">
        <is>
          <t>Km</t>
        </is>
      </c>
      <c r="G772" s="631" t="inlineStr">
        <is>
          <t>รถเทรลเลอร์</t>
        </is>
      </c>
      <c r="H772" s="631" t="inlineStr">
        <is>
          <t>PERRIS CA, USA</t>
        </is>
      </c>
      <c r="I772" s="636" t="n">
        <v>13413</v>
      </c>
      <c r="J772" s="635" t="inlineStr">
        <is>
          <t>Km</t>
        </is>
      </c>
      <c r="K772" s="637" t="n">
        <v>3870</v>
      </c>
      <c r="L772" s="642">
        <f>M772-K772</f>
        <v/>
      </c>
      <c r="M772" s="1799" t="n">
        <v>18891.02</v>
      </c>
      <c r="N772" s="1800" t="n">
        <v>12389.38</v>
      </c>
      <c r="O772" s="633" t="n">
        <v>0</v>
      </c>
      <c r="P772" s="643" t="n">
        <v>100</v>
      </c>
    </row>
    <row r="773" ht="15.75" customHeight="1">
      <c r="A773" s="657" t="inlineStr">
        <is>
          <t>FO23110071</t>
        </is>
      </c>
      <c r="B773" s="626" t="n">
        <v>45253</v>
      </c>
      <c r="C773" s="615" t="inlineStr">
        <is>
          <t>มัลติแบกซ์</t>
        </is>
      </c>
      <c r="D773" s="615" t="inlineStr">
        <is>
          <t>ท่าเรือแหลมฉบัง</t>
        </is>
      </c>
      <c r="E773" s="627" t="n">
        <v>6.2</v>
      </c>
      <c r="F773" s="625" t="inlineStr">
        <is>
          <t>Km</t>
        </is>
      </c>
      <c r="G773" s="625" t="inlineStr">
        <is>
          <t>รถเทรลเลอร์</t>
        </is>
      </c>
      <c r="H773" s="625" t="inlineStr">
        <is>
          <t>SOUTH BOSTON VA, USA</t>
        </is>
      </c>
      <c r="I773" s="629" t="n">
        <v>13787</v>
      </c>
      <c r="J773" s="628" t="inlineStr">
        <is>
          <t>Km</t>
        </is>
      </c>
      <c r="K773" s="630" t="n">
        <v>3700</v>
      </c>
      <c r="L773" s="640">
        <f>M773-K773</f>
        <v/>
      </c>
      <c r="M773" s="1797" t="n">
        <v>20677.1</v>
      </c>
      <c r="N773" s="1801" t="n">
        <v>13573.63</v>
      </c>
      <c r="O773" s="615" t="n">
        <v>0</v>
      </c>
      <c r="P773" s="641" t="n">
        <v>100</v>
      </c>
    </row>
    <row r="774" ht="15.75" customHeight="1">
      <c r="A774" s="658" t="inlineStr">
        <is>
          <t>FO23110072</t>
        </is>
      </c>
      <c r="B774" s="632" t="n">
        <v>45257</v>
      </c>
      <c r="C774" s="633" t="inlineStr">
        <is>
          <t>มัลติแบกซ์</t>
        </is>
      </c>
      <c r="D774" s="633" t="inlineStr">
        <is>
          <t>ท่าเรือแหลมฉบัง</t>
        </is>
      </c>
      <c r="E774" s="634" t="n">
        <v>7.1</v>
      </c>
      <c r="F774" s="631" t="inlineStr">
        <is>
          <t>Km</t>
        </is>
      </c>
      <c r="G774" s="631" t="inlineStr">
        <is>
          <t>รถเทรลเลอร์</t>
        </is>
      </c>
      <c r="H774" s="631" t="inlineStr">
        <is>
          <t>CARROLLTON TX, USA</t>
        </is>
      </c>
      <c r="I774" s="636" t="n">
        <v>14544</v>
      </c>
      <c r="J774" s="635" t="inlineStr">
        <is>
          <t>Km</t>
        </is>
      </c>
      <c r="K774" s="637" t="n">
        <v>3640</v>
      </c>
      <c r="L774" s="642">
        <f>M774-K774</f>
        <v/>
      </c>
      <c r="M774" s="1799" t="n">
        <v>20521</v>
      </c>
      <c r="N774" s="1800" t="n">
        <v>13860</v>
      </c>
      <c r="O774" s="633" t="n">
        <v>0</v>
      </c>
      <c r="P774" s="643" t="n">
        <v>100</v>
      </c>
    </row>
    <row r="775" ht="15.75" customHeight="1">
      <c r="A775" s="625" t="inlineStr">
        <is>
          <t>FO23110073</t>
        </is>
      </c>
      <c r="B775" s="626" t="n">
        <v>45253</v>
      </c>
      <c r="C775" s="615" t="inlineStr">
        <is>
          <t>มัลติแบกซ์</t>
        </is>
      </c>
      <c r="D775" s="615" t="inlineStr">
        <is>
          <t>ท่าเรือแหลมฉบัง</t>
        </is>
      </c>
      <c r="E775" s="627" t="n">
        <v>6</v>
      </c>
      <c r="F775" s="625" t="inlineStr">
        <is>
          <t>Km</t>
        </is>
      </c>
      <c r="G775" s="625" t="inlineStr">
        <is>
          <t>รถเทรลเลอร์</t>
        </is>
      </c>
      <c r="H775" s="625" t="inlineStr">
        <is>
          <t>SINGAPORE</t>
        </is>
      </c>
      <c r="I775" s="629" t="n">
        <v>1931</v>
      </c>
      <c r="J775" s="628" t="inlineStr">
        <is>
          <t>Km</t>
        </is>
      </c>
      <c r="K775" s="630" t="n">
        <v>5059.8</v>
      </c>
      <c r="L775" s="640" t="n">
        <v>889.6</v>
      </c>
      <c r="M775" s="1797" t="n">
        <v>5949.4</v>
      </c>
      <c r="N775" s="1801" t="n">
        <v>5059.8</v>
      </c>
      <c r="O775" s="615" t="n">
        <v>0</v>
      </c>
      <c r="P775" s="641" t="n">
        <v>100</v>
      </c>
    </row>
    <row r="776" ht="15.75" customHeight="1">
      <c r="A776" s="658" t="inlineStr">
        <is>
          <t>FO23110074</t>
        </is>
      </c>
      <c r="B776" s="632" t="n">
        <v>45257</v>
      </c>
      <c r="C776" s="633" t="inlineStr">
        <is>
          <t>มัลติแบกซ์</t>
        </is>
      </c>
      <c r="D776" s="633" t="inlineStr">
        <is>
          <t>ท่าเรือแหลมฉบัง</t>
        </is>
      </c>
      <c r="E776" s="634" t="n">
        <v>10.2</v>
      </c>
      <c r="F776" s="631" t="inlineStr">
        <is>
          <t>Km</t>
        </is>
      </c>
      <c r="G776" s="631" t="inlineStr">
        <is>
          <t>รถเทรลเลอร์</t>
        </is>
      </c>
      <c r="H776" s="631" t="inlineStr">
        <is>
          <t>CARROLLTON TX, USA</t>
        </is>
      </c>
      <c r="I776" s="636" t="n">
        <v>14544</v>
      </c>
      <c r="J776" s="635" t="inlineStr">
        <is>
          <t>Km</t>
        </is>
      </c>
      <c r="K776" s="637" t="n">
        <v>3830</v>
      </c>
      <c r="L776" s="642">
        <f>M776-K776</f>
        <v/>
      </c>
      <c r="M776" s="1799" t="n">
        <v>17983</v>
      </c>
      <c r="N776" s="1800" t="n">
        <v>11688</v>
      </c>
      <c r="O776" s="633" t="n">
        <v>0</v>
      </c>
      <c r="P776" s="643" t="n">
        <v>100</v>
      </c>
    </row>
    <row r="777" ht="15.75" customHeight="1">
      <c r="A777" s="657" t="inlineStr">
        <is>
          <t>FO23110075</t>
        </is>
      </c>
      <c r="B777" s="626" t="n">
        <v>45258</v>
      </c>
      <c r="C777" s="615" t="inlineStr">
        <is>
          <t>มัลติแบกซ์</t>
        </is>
      </c>
      <c r="D777" s="615" t="inlineStr">
        <is>
          <t>ท่าเรือแหลมฉบัง</t>
        </is>
      </c>
      <c r="E777" s="627" t="n">
        <v>6.2</v>
      </c>
      <c r="F777" s="625" t="inlineStr">
        <is>
          <t>Km</t>
        </is>
      </c>
      <c r="G777" s="625" t="inlineStr">
        <is>
          <t>รถเทรลเลอร์</t>
        </is>
      </c>
      <c r="H777" s="625" t="inlineStr">
        <is>
          <t>CARROLLTON TX, USA</t>
        </is>
      </c>
      <c r="I777" s="629" t="n">
        <v>14544</v>
      </c>
      <c r="J777" s="628" t="inlineStr">
        <is>
          <t>Km</t>
        </is>
      </c>
      <c r="K777" s="630" t="n">
        <v>3830</v>
      </c>
      <c r="L777" s="640">
        <f>M777-K777</f>
        <v/>
      </c>
      <c r="M777" s="1797" t="n">
        <v>13544.5</v>
      </c>
      <c r="N777" s="1801" t="n">
        <v>6937.5</v>
      </c>
      <c r="O777" s="615" t="n">
        <v>0</v>
      </c>
      <c r="P777" s="641" t="n">
        <v>100</v>
      </c>
    </row>
    <row r="778" ht="15.75" customHeight="1">
      <c r="A778" s="658" t="inlineStr">
        <is>
          <t>FO23110076</t>
        </is>
      </c>
      <c r="B778" s="632" t="n">
        <v>45257</v>
      </c>
      <c r="C778" s="633" t="inlineStr">
        <is>
          <t>มัลติแบกซ์</t>
        </is>
      </c>
      <c r="D778" s="633" t="inlineStr">
        <is>
          <t>ท่าเรือแหลมฉบัง</t>
        </is>
      </c>
      <c r="E778" s="634" t="n">
        <v>4.1</v>
      </c>
      <c r="F778" s="631" t="inlineStr">
        <is>
          <t>Km</t>
        </is>
      </c>
      <c r="G778" s="631" t="inlineStr">
        <is>
          <t>รถเทรลเลอร์</t>
        </is>
      </c>
      <c r="H778" s="631" t="inlineStr">
        <is>
          <t>SOUTH BOSTON VA, USA</t>
        </is>
      </c>
      <c r="I778" s="636" t="n">
        <v>13787</v>
      </c>
      <c r="J778" s="635" t="inlineStr">
        <is>
          <t>Km</t>
        </is>
      </c>
      <c r="K778" s="637" t="n">
        <v>3700</v>
      </c>
      <c r="L778" s="642">
        <f>M778-K778</f>
        <v/>
      </c>
      <c r="M778" s="1799" t="n">
        <v>21589.1</v>
      </c>
      <c r="N778" s="1800" t="n">
        <v>14665.2</v>
      </c>
      <c r="O778" s="633" t="n">
        <v>0</v>
      </c>
      <c r="P778" s="643" t="n">
        <v>100</v>
      </c>
    </row>
    <row r="779" ht="15.75" customHeight="1">
      <c r="A779" s="657" t="inlineStr">
        <is>
          <t>FO23110077</t>
        </is>
      </c>
      <c r="B779" s="626" t="n">
        <v>45257</v>
      </c>
      <c r="C779" s="615" t="inlineStr">
        <is>
          <t>มัลติแบกซ์</t>
        </is>
      </c>
      <c r="D779" s="615" t="inlineStr">
        <is>
          <t>ท่าเรือแหลมฉบัง</t>
        </is>
      </c>
      <c r="E779" s="627" t="n">
        <v>11.9</v>
      </c>
      <c r="F779" s="625" t="inlineStr">
        <is>
          <t>Km</t>
        </is>
      </c>
      <c r="G779" s="625" t="inlineStr">
        <is>
          <t>รถเทรลเลอร์</t>
        </is>
      </c>
      <c r="H779" s="625" t="inlineStr">
        <is>
          <t>HONG KONG</t>
        </is>
      </c>
      <c r="I779" s="629" t="n">
        <v>1734</v>
      </c>
      <c r="J779" s="628" t="inlineStr">
        <is>
          <t>Km</t>
        </is>
      </c>
      <c r="K779" s="630" t="n">
        <v>3600</v>
      </c>
      <c r="L779" s="640">
        <f>M779-K779</f>
        <v/>
      </c>
      <c r="M779" s="1797" t="n">
        <v>15032.1</v>
      </c>
      <c r="N779" s="1801" t="n">
        <v>8747.200000000001</v>
      </c>
      <c r="O779" s="615" t="n">
        <v>0</v>
      </c>
      <c r="P779" s="641" t="n">
        <v>100</v>
      </c>
    </row>
    <row r="780" ht="15.75" customHeight="1">
      <c r="A780" s="631" t="inlineStr">
        <is>
          <t>FO23110078</t>
        </is>
      </c>
      <c r="B780" s="632" t="n">
        <v>45259</v>
      </c>
      <c r="C780" s="633" t="inlineStr">
        <is>
          <t>มัลติแบกซ์</t>
        </is>
      </c>
      <c r="D780" s="633" t="inlineStr">
        <is>
          <t>ท่าเรือแหลมฉบัง</t>
        </is>
      </c>
      <c r="E780" s="634" t="n">
        <v>6.5</v>
      </c>
      <c r="F780" s="631" t="inlineStr">
        <is>
          <t>Km</t>
        </is>
      </c>
      <c r="G780" s="631" t="inlineStr">
        <is>
          <t>รถเทรลเลอร์</t>
        </is>
      </c>
      <c r="H780" s="631" t="inlineStr">
        <is>
          <t>UNIVERSITY PARK IL, USA</t>
        </is>
      </c>
      <c r="I780" s="636" t="n">
        <v>13877</v>
      </c>
      <c r="J780" s="635" t="inlineStr">
        <is>
          <t>Km</t>
        </is>
      </c>
      <c r="K780" s="637" t="n"/>
      <c r="L780" s="642" t="n"/>
      <c r="M780" s="1799" t="n"/>
      <c r="N780" s="1803" t="n">
        <v>15795</v>
      </c>
      <c r="O780" s="633" t="n"/>
      <c r="P780" s="643" t="n"/>
    </row>
    <row r="781" ht="15.75" customHeight="1">
      <c r="A781" s="657" t="inlineStr">
        <is>
          <t>FO23110079</t>
        </is>
      </c>
      <c r="B781" s="626" t="n">
        <v>45259</v>
      </c>
      <c r="C781" s="615" t="inlineStr">
        <is>
          <t>มัลติแบกซ์</t>
        </is>
      </c>
      <c r="D781" s="615" t="inlineStr">
        <is>
          <t>ท่าเรือแหลมฉบัง</t>
        </is>
      </c>
      <c r="E781" s="627" t="n">
        <v>6.5</v>
      </c>
      <c r="F781" s="625" t="inlineStr">
        <is>
          <t>Km</t>
        </is>
      </c>
      <c r="G781" s="625" t="inlineStr">
        <is>
          <t>รถเทรลเลอร์</t>
        </is>
      </c>
      <c r="H781" s="625" t="inlineStr">
        <is>
          <t>UNIVERSITY PARK IL, USA</t>
        </is>
      </c>
      <c r="I781" s="629" t="n">
        <v>13877</v>
      </c>
      <c r="J781" s="628" t="inlineStr">
        <is>
          <t>Km</t>
        </is>
      </c>
      <c r="K781" s="630" t="n">
        <v>3840</v>
      </c>
      <c r="L781" s="640">
        <f>M781-K781</f>
        <v/>
      </c>
      <c r="M781" s="1797" t="n">
        <v>23439</v>
      </c>
      <c r="N781" s="1802" t="n">
        <v>7660</v>
      </c>
      <c r="O781" s="615" t="n">
        <v>0</v>
      </c>
      <c r="P781" s="641" t="n">
        <v>100</v>
      </c>
    </row>
    <row r="782" ht="15.75" customHeight="1">
      <c r="A782" s="658" t="inlineStr">
        <is>
          <t>FO23110080</t>
        </is>
      </c>
      <c r="B782" s="632" t="n">
        <v>45259</v>
      </c>
      <c r="C782" s="633" t="inlineStr">
        <is>
          <t>มัลติแบกซ์</t>
        </is>
      </c>
      <c r="D782" s="633" t="inlineStr">
        <is>
          <t>ท่าเรือแหลมฉบัง</t>
        </is>
      </c>
      <c r="E782" s="634" t="n">
        <v>6.5</v>
      </c>
      <c r="F782" s="631" t="inlineStr">
        <is>
          <t>Km</t>
        </is>
      </c>
      <c r="G782" s="631" t="inlineStr">
        <is>
          <t>รถเทรลเลอร์</t>
        </is>
      </c>
      <c r="H782" s="631" t="inlineStr">
        <is>
          <t>SOUTH BOSTON VA, USA</t>
        </is>
      </c>
      <c r="I782" s="636" t="n">
        <v>13787</v>
      </c>
      <c r="J782" s="635" t="inlineStr">
        <is>
          <t>Km</t>
        </is>
      </c>
      <c r="K782" s="637" t="n">
        <v>3860</v>
      </c>
      <c r="L782" s="642">
        <f>M782-K782</f>
        <v/>
      </c>
      <c r="M782" s="1799" t="n">
        <v>22931.6</v>
      </c>
      <c r="N782" s="1800" t="n">
        <v>15602.4</v>
      </c>
      <c r="O782" s="633" t="n">
        <v>0</v>
      </c>
      <c r="P782" s="643" t="n">
        <v>100</v>
      </c>
    </row>
    <row r="783" ht="15.75" customHeight="1">
      <c r="A783" s="657" t="inlineStr">
        <is>
          <t>FO23110081</t>
        </is>
      </c>
      <c r="B783" s="626" t="n">
        <v>45258</v>
      </c>
      <c r="C783" s="615" t="inlineStr">
        <is>
          <t>มัลติแบกซ์</t>
        </is>
      </c>
      <c r="D783" s="615" t="inlineStr">
        <is>
          <t>ท่าเรือแหลมฉบัง</t>
        </is>
      </c>
      <c r="E783" s="627" t="n">
        <v>6.5</v>
      </c>
      <c r="F783" s="625" t="inlineStr">
        <is>
          <t>Km</t>
        </is>
      </c>
      <c r="G783" s="625" t="inlineStr">
        <is>
          <t>รถเทรลเลอร์</t>
        </is>
      </c>
      <c r="H783" s="625" t="inlineStr">
        <is>
          <t>SOUTH BOSTON VA, USA</t>
        </is>
      </c>
      <c r="I783" s="629" t="n">
        <v>13787</v>
      </c>
      <c r="J783" s="628" t="inlineStr">
        <is>
          <t>Km</t>
        </is>
      </c>
      <c r="K783" s="630" t="n">
        <v>3860</v>
      </c>
      <c r="L783" s="640">
        <f>M783-K783</f>
        <v/>
      </c>
      <c r="M783" s="1797" t="n">
        <v>20222.8</v>
      </c>
      <c r="N783" s="1801" t="n">
        <v>14035</v>
      </c>
      <c r="O783" s="615" t="n">
        <v>0</v>
      </c>
      <c r="P783" s="641" t="n">
        <v>100</v>
      </c>
    </row>
    <row r="784" ht="15.75" customHeight="1">
      <c r="A784" s="658" t="inlineStr">
        <is>
          <t>FO23110082</t>
        </is>
      </c>
      <c r="B784" s="632" t="n">
        <v>45258</v>
      </c>
      <c r="C784" s="633" t="inlineStr">
        <is>
          <t>มัลติแบกซ์</t>
        </is>
      </c>
      <c r="D784" s="633" t="inlineStr">
        <is>
          <t>ท่าเรือแหลมฉบัง</t>
        </is>
      </c>
      <c r="E784" s="634" t="n">
        <v>6.5</v>
      </c>
      <c r="F784" s="631" t="inlineStr">
        <is>
          <t>Km</t>
        </is>
      </c>
      <c r="G784" s="631" t="inlineStr">
        <is>
          <t>รถเทรลเลอร์</t>
        </is>
      </c>
      <c r="H784" s="631" t="inlineStr">
        <is>
          <t>JACKSONVILLE IL, USA</t>
        </is>
      </c>
      <c r="I784" s="636" t="n">
        <v>15168</v>
      </c>
      <c r="J784" s="635" t="inlineStr">
        <is>
          <t>Km</t>
        </is>
      </c>
      <c r="K784" s="637" t="n">
        <v>3840</v>
      </c>
      <c r="L784" s="642">
        <f>M784-K784</f>
        <v/>
      </c>
      <c r="M784" s="1799" t="n">
        <v>24064.2</v>
      </c>
      <c r="N784" s="1800" t="n">
        <v>16320</v>
      </c>
      <c r="O784" s="633" t="n">
        <v>0</v>
      </c>
      <c r="P784" s="643" t="n">
        <v>100</v>
      </c>
    </row>
    <row r="785" ht="15.75" customHeight="1">
      <c r="A785" s="657" t="inlineStr">
        <is>
          <t>FO23110083</t>
        </is>
      </c>
      <c r="B785" s="626" t="n">
        <v>45258</v>
      </c>
      <c r="C785" s="615" t="inlineStr">
        <is>
          <t>มัลติแบกซ์</t>
        </is>
      </c>
      <c r="D785" s="615" t="inlineStr">
        <is>
          <t>ท่าเรือแหลมฉบัง</t>
        </is>
      </c>
      <c r="E785" s="627" t="n">
        <v>7.1</v>
      </c>
      <c r="F785" s="625" t="inlineStr">
        <is>
          <t>Km</t>
        </is>
      </c>
      <c r="G785" s="625" t="inlineStr">
        <is>
          <t>รถเทรลเลอร์</t>
        </is>
      </c>
      <c r="H785" s="625" t="inlineStr">
        <is>
          <t>JACKSONVILLE IL, USA</t>
        </is>
      </c>
      <c r="I785" s="629" t="n">
        <v>15168</v>
      </c>
      <c r="J785" s="628" t="inlineStr">
        <is>
          <t>Km</t>
        </is>
      </c>
      <c r="K785" s="630" t="n">
        <v>3830</v>
      </c>
      <c r="L785" s="640">
        <f>M785-K785</f>
        <v/>
      </c>
      <c r="M785" s="1797" t="n">
        <v>24654.6</v>
      </c>
      <c r="N785" s="1801" t="n">
        <v>15523.2</v>
      </c>
      <c r="O785" s="615" t="n">
        <v>0</v>
      </c>
      <c r="P785" s="641" t="n">
        <v>100</v>
      </c>
    </row>
    <row r="786" ht="15.75" customHeight="1">
      <c r="A786" s="658" t="inlineStr">
        <is>
          <t>FO23110084</t>
        </is>
      </c>
      <c r="B786" s="632" t="n">
        <v>45260</v>
      </c>
      <c r="C786" s="633" t="inlineStr">
        <is>
          <t>มัลติแบกซ์</t>
        </is>
      </c>
      <c r="D786" s="633" t="inlineStr">
        <is>
          <t>ท่าเรือแหลมฉบัง</t>
        </is>
      </c>
      <c r="E786" s="634" t="n">
        <v>6.2</v>
      </c>
      <c r="F786" s="631" t="inlineStr">
        <is>
          <t>Km</t>
        </is>
      </c>
      <c r="G786" s="631" t="inlineStr">
        <is>
          <t>รถเทรลเลอร์</t>
        </is>
      </c>
      <c r="H786" s="631" t="inlineStr">
        <is>
          <t>JACKSONVILLE IL, USA</t>
        </is>
      </c>
      <c r="I786" s="636" t="n">
        <v>15168</v>
      </c>
      <c r="J786" s="635" t="inlineStr">
        <is>
          <t>Km</t>
        </is>
      </c>
      <c r="K786" s="634" t="n">
        <v>3890</v>
      </c>
      <c r="L786" s="642">
        <f>M786-K786</f>
        <v/>
      </c>
      <c r="M786" s="1799" t="n">
        <v>24114.2</v>
      </c>
      <c r="N786" s="1803" t="n">
        <v>16320</v>
      </c>
      <c r="O786" s="633" t="n">
        <v>0</v>
      </c>
      <c r="P786" s="643" t="n">
        <v>100</v>
      </c>
    </row>
    <row r="787" ht="15.75" customHeight="1">
      <c r="A787" s="657" t="inlineStr">
        <is>
          <t>FO23110085</t>
        </is>
      </c>
      <c r="B787" s="626" t="n">
        <v>45259</v>
      </c>
      <c r="C787" s="615" t="inlineStr">
        <is>
          <t>มัลติแบกซ์</t>
        </is>
      </c>
      <c r="D787" s="615" t="inlineStr">
        <is>
          <t>ท่าเรือแหลมฉบัง</t>
        </is>
      </c>
      <c r="E787" s="627" t="n">
        <v>11.9</v>
      </c>
      <c r="F787" s="625" t="inlineStr">
        <is>
          <t>Km</t>
        </is>
      </c>
      <c r="G787" s="625" t="inlineStr">
        <is>
          <t>รถเทรลเลอร์</t>
        </is>
      </c>
      <c r="H787" s="625" t="inlineStr">
        <is>
          <t>SHEKOU, CHINA</t>
        </is>
      </c>
      <c r="I787" s="629" t="n">
        <v>2687</v>
      </c>
      <c r="J787" s="628" t="inlineStr">
        <is>
          <t>Km</t>
        </is>
      </c>
      <c r="K787" s="630" t="n">
        <v>3820</v>
      </c>
      <c r="L787" s="640">
        <f>M787-K787</f>
        <v/>
      </c>
      <c r="M787" s="1797" t="n">
        <v>17312.6</v>
      </c>
      <c r="N787" s="1801" t="n">
        <v>10281.6</v>
      </c>
      <c r="O787" s="615" t="n">
        <v>0</v>
      </c>
      <c r="P787" s="641" t="n">
        <v>100</v>
      </c>
    </row>
    <row r="788" ht="15.75" customHeight="1">
      <c r="A788" s="658" t="inlineStr">
        <is>
          <t>FO23110086</t>
        </is>
      </c>
      <c r="B788" s="632" t="n">
        <v>45259</v>
      </c>
      <c r="C788" s="633" t="inlineStr">
        <is>
          <t>มัลติแบกซ์</t>
        </is>
      </c>
      <c r="D788" s="633" t="inlineStr">
        <is>
          <t>ท่าเรือแหลมฉบัง</t>
        </is>
      </c>
      <c r="E788" s="634" t="n">
        <v>6</v>
      </c>
      <c r="F788" s="631" t="inlineStr">
        <is>
          <t>Km</t>
        </is>
      </c>
      <c r="G788" s="631" t="inlineStr">
        <is>
          <t>รถเทรลเลอร์</t>
        </is>
      </c>
      <c r="H788" s="631" t="inlineStr">
        <is>
          <t>XINGANG, CHINA</t>
        </is>
      </c>
      <c r="I788" s="636" t="n">
        <v>4353</v>
      </c>
      <c r="J788" s="635" t="inlineStr">
        <is>
          <t>Km</t>
        </is>
      </c>
      <c r="K788" s="637" t="n">
        <v>3750</v>
      </c>
      <c r="L788" s="642">
        <f>M788-K788</f>
        <v/>
      </c>
      <c r="M788" s="1799" t="n">
        <v>17242.6</v>
      </c>
      <c r="N788" s="1800" t="n">
        <v>10281.6</v>
      </c>
      <c r="O788" s="633" t="n">
        <v>0</v>
      </c>
      <c r="P788" s="643" t="n">
        <v>100</v>
      </c>
    </row>
    <row r="789" ht="15.75" customHeight="1">
      <c r="A789" s="657" t="inlineStr">
        <is>
          <t>FO23110087</t>
        </is>
      </c>
      <c r="B789" s="626" t="n">
        <v>45259</v>
      </c>
      <c r="C789" s="615" t="inlineStr">
        <is>
          <t>มัลติแบกซ์</t>
        </is>
      </c>
      <c r="D789" s="615" t="inlineStr">
        <is>
          <t>ท่าเรือแหลมฉบัง</t>
        </is>
      </c>
      <c r="E789" s="627" t="n">
        <v>5.8</v>
      </c>
      <c r="F789" s="625" t="inlineStr">
        <is>
          <t>Km</t>
        </is>
      </c>
      <c r="G789" s="625" t="inlineStr">
        <is>
          <t>รถเทรลเลอร์</t>
        </is>
      </c>
      <c r="H789" s="625" t="inlineStr">
        <is>
          <t>JEBEL ALI, UAE</t>
        </is>
      </c>
      <c r="I789" s="629" t="n">
        <v>4972</v>
      </c>
      <c r="J789" s="628" t="inlineStr">
        <is>
          <t>Km</t>
        </is>
      </c>
      <c r="K789" s="630" t="n">
        <v>2330</v>
      </c>
      <c r="L789" s="640">
        <f>M789-K789</f>
        <v/>
      </c>
      <c r="M789" s="1797" t="n">
        <v>7368.9</v>
      </c>
      <c r="N789" s="1801" t="n">
        <v>3843.48</v>
      </c>
      <c r="O789" s="615" t="n">
        <v>0</v>
      </c>
      <c r="P789" s="641" t="n">
        <v>100</v>
      </c>
    </row>
    <row r="790" ht="15.75" customHeight="1">
      <c r="A790" s="658" t="inlineStr">
        <is>
          <t>FO23110088</t>
        </is>
      </c>
      <c r="B790" s="632" t="n">
        <v>45259</v>
      </c>
      <c r="C790" s="633" t="inlineStr">
        <is>
          <t>มัลติแบกซ์</t>
        </is>
      </c>
      <c r="D790" s="633" t="inlineStr">
        <is>
          <t>ท่าเรือแหลมฉบัง</t>
        </is>
      </c>
      <c r="E790" s="634" t="n">
        <v>5.8</v>
      </c>
      <c r="F790" s="631" t="inlineStr">
        <is>
          <t>Km</t>
        </is>
      </c>
      <c r="G790" s="631" t="inlineStr">
        <is>
          <t>รถเทรลเลอร์</t>
        </is>
      </c>
      <c r="H790" s="631" t="inlineStr">
        <is>
          <t>JEBEL ALI, UAE</t>
        </is>
      </c>
      <c r="I790" s="636" t="n">
        <v>4972</v>
      </c>
      <c r="J790" s="635" t="inlineStr">
        <is>
          <t>Km</t>
        </is>
      </c>
      <c r="K790" s="637" t="n">
        <v>2220</v>
      </c>
      <c r="L790" s="642">
        <f>M790-K790</f>
        <v/>
      </c>
      <c r="M790" s="1799" t="n">
        <v>6700.58</v>
      </c>
      <c r="N790" s="1800" t="n">
        <v>3324.12</v>
      </c>
      <c r="O790" s="633" t="n">
        <v>0</v>
      </c>
      <c r="P790" s="643" t="n">
        <v>100</v>
      </c>
    </row>
    <row r="791" ht="15.75" customHeight="1">
      <c r="A791" s="657" t="inlineStr">
        <is>
          <t>FO23110089</t>
        </is>
      </c>
      <c r="B791" s="626" t="n">
        <v>45260</v>
      </c>
      <c r="C791" s="615" t="inlineStr">
        <is>
          <t>มัลติแบกซ์</t>
        </is>
      </c>
      <c r="D791" s="615" t="inlineStr">
        <is>
          <t>ท่าเรือแหลมฉบัง</t>
        </is>
      </c>
      <c r="E791" s="627" t="n">
        <v>6.5</v>
      </c>
      <c r="F791" s="625" t="inlineStr">
        <is>
          <t>Km</t>
        </is>
      </c>
      <c r="G791" s="625" t="inlineStr">
        <is>
          <t>รถเทรลเลอร์</t>
        </is>
      </c>
      <c r="H791" s="625" t="inlineStr">
        <is>
          <t>MANZANILLO, MEXICO</t>
        </is>
      </c>
      <c r="I791" s="629" t="n">
        <v>15486</v>
      </c>
      <c r="J791" s="628" t="inlineStr">
        <is>
          <t>Km</t>
        </is>
      </c>
      <c r="K791" s="627" t="n">
        <v>3700</v>
      </c>
      <c r="L791" s="640">
        <f>M791-K791</f>
        <v/>
      </c>
      <c r="M791" s="1797" t="n">
        <v>10577.28</v>
      </c>
      <c r="N791" s="1802" t="n">
        <v>5002.8</v>
      </c>
      <c r="O791" s="615" t="n">
        <v>0</v>
      </c>
      <c r="P791" s="641" t="n">
        <v>100</v>
      </c>
    </row>
    <row r="792" ht="15.75" customHeight="1">
      <c r="A792" s="615" t="inlineStr">
        <is>
          <t>FO23120001</t>
        </is>
      </c>
      <c r="B792" s="626" t="n">
        <v>45278</v>
      </c>
      <c r="C792" s="607" t="inlineStr">
        <is>
          <t>มัลติแบกซ์</t>
        </is>
      </c>
      <c r="D792" s="607" t="inlineStr">
        <is>
          <t>ท่าเรือแหลมฉบัง</t>
        </is>
      </c>
      <c r="E792" s="609" t="n">
        <v>11.9</v>
      </c>
      <c r="F792" s="607" t="inlineStr">
        <is>
          <t>Km</t>
        </is>
      </c>
      <c r="G792" s="607" t="inlineStr">
        <is>
          <t>รถเทรลเลอร์</t>
        </is>
      </c>
      <c r="H792" s="669" t="inlineStr">
        <is>
          <t>UK PORT</t>
        </is>
      </c>
      <c r="I792" s="629" t="n">
        <v>9687</v>
      </c>
      <c r="J792" s="612" t="inlineStr">
        <is>
          <t>Km</t>
        </is>
      </c>
      <c r="K792" s="613" t="n">
        <v>3580</v>
      </c>
      <c r="L792" s="645" t="n">
        <v>24964</v>
      </c>
      <c r="M792" s="1791" t="n">
        <v>28544</v>
      </c>
      <c r="N792" s="1801" t="n">
        <v>4025</v>
      </c>
      <c r="O792" s="615" t="n">
        <v>0</v>
      </c>
      <c r="P792" s="641" t="n">
        <v>100</v>
      </c>
    </row>
    <row r="793" ht="15.75" customFormat="1" customHeight="1" s="680">
      <c r="A793" s="670" t="inlineStr">
        <is>
          <t>FO23120002</t>
        </is>
      </c>
      <c r="B793" s="671" t="n">
        <v>45265</v>
      </c>
      <c r="C793" s="672" t="inlineStr">
        <is>
          <t>มัลติแบกซ์</t>
        </is>
      </c>
      <c r="D793" s="672" t="inlineStr">
        <is>
          <t>ท่าเรือแหลมฉบัง</t>
        </is>
      </c>
      <c r="E793" s="673" t="n">
        <v>4.1</v>
      </c>
      <c r="F793" s="670" t="inlineStr">
        <is>
          <t>Km</t>
        </is>
      </c>
      <c r="G793" s="670" t="inlineStr">
        <is>
          <t>รถเทรลเลอร์</t>
        </is>
      </c>
      <c r="H793" s="674" t="inlineStr">
        <is>
          <t>SOUTH BOSTON VA, USA</t>
        </is>
      </c>
      <c r="I793" s="675" t="n">
        <v>13787</v>
      </c>
      <c r="J793" s="676" t="inlineStr">
        <is>
          <t>Km</t>
        </is>
      </c>
      <c r="K793" s="677" t="n">
        <v>3700</v>
      </c>
      <c r="L793" s="678">
        <f>M793-K793</f>
        <v/>
      </c>
      <c r="M793" s="1808" t="n">
        <v>20062.8</v>
      </c>
      <c r="N793" s="1809" t="n">
        <v>14035</v>
      </c>
      <c r="O793" s="670" t="n">
        <v>0</v>
      </c>
      <c r="P793" s="679" t="n">
        <v>100</v>
      </c>
    </row>
    <row r="794" ht="15.75" customHeight="1">
      <c r="A794" s="615" t="inlineStr">
        <is>
          <t>FO23120003</t>
        </is>
      </c>
      <c r="B794" s="626" t="n">
        <v>45262</v>
      </c>
      <c r="C794" s="615" t="inlineStr">
        <is>
          <t>มัลติแบกซ์</t>
        </is>
      </c>
      <c r="D794" s="615" t="inlineStr">
        <is>
          <t>ท่าเรือแหลมฉบัง</t>
        </is>
      </c>
      <c r="E794" s="627" t="n">
        <v>4.1</v>
      </c>
      <c r="F794" s="615" t="inlineStr">
        <is>
          <t>Km</t>
        </is>
      </c>
      <c r="G794" s="615" t="inlineStr">
        <is>
          <t>รถเทรลเลอร์</t>
        </is>
      </c>
      <c r="H794" s="669" t="inlineStr">
        <is>
          <t>SOUTH BOSTON VA, USA</t>
        </is>
      </c>
      <c r="I794" s="629" t="n">
        <v>13787</v>
      </c>
      <c r="J794" s="651" t="inlineStr">
        <is>
          <t>Km</t>
        </is>
      </c>
      <c r="K794" s="630" t="n">
        <v>3840</v>
      </c>
      <c r="L794" s="640">
        <f>M794-K794</f>
        <v/>
      </c>
      <c r="M794" s="1797" t="n">
        <v>22911.6</v>
      </c>
      <c r="N794" s="1801" t="n">
        <v>15602.4</v>
      </c>
      <c r="O794" s="615" t="n">
        <v>0</v>
      </c>
      <c r="P794" s="641" t="n">
        <v>100</v>
      </c>
    </row>
    <row r="795" ht="15.75" customFormat="1" customHeight="1" s="680">
      <c r="A795" s="681" t="inlineStr">
        <is>
          <t>FO23120004</t>
        </is>
      </c>
      <c r="B795" s="671" t="n">
        <v>45266</v>
      </c>
      <c r="C795" s="672" t="inlineStr">
        <is>
          <t>มัลติแบกซ์</t>
        </is>
      </c>
      <c r="D795" s="672" t="inlineStr">
        <is>
          <t>ท่าเรือแหลมฉบัง</t>
        </is>
      </c>
      <c r="E795" s="673" t="n">
        <v>6.2</v>
      </c>
      <c r="F795" s="670" t="inlineStr">
        <is>
          <t>Km</t>
        </is>
      </c>
      <c r="G795" s="670" t="inlineStr">
        <is>
          <t>รถเทรลเลอร์</t>
        </is>
      </c>
      <c r="H795" s="674" t="inlineStr">
        <is>
          <t>APPLETON WI , USA</t>
        </is>
      </c>
      <c r="I795" s="675" t="n">
        <v>13558</v>
      </c>
      <c r="J795" s="676" t="inlineStr">
        <is>
          <t>Km</t>
        </is>
      </c>
      <c r="K795" s="677" t="n">
        <v>3860</v>
      </c>
      <c r="L795" s="678">
        <f>M795-K795</f>
        <v/>
      </c>
      <c r="M795" s="1808" t="n">
        <v>21749.1</v>
      </c>
      <c r="N795" s="1809" t="n">
        <v>14665.2</v>
      </c>
      <c r="O795" s="670" t="n">
        <v>0</v>
      </c>
      <c r="P795" s="679" t="n">
        <v>100</v>
      </c>
    </row>
    <row r="796" ht="15.75" customHeight="1">
      <c r="A796" s="657" t="inlineStr">
        <is>
          <t>FO23120005</t>
        </is>
      </c>
      <c r="B796" s="626" t="n">
        <v>45266</v>
      </c>
      <c r="C796" s="625" t="inlineStr">
        <is>
          <t>มัลติแบกซ์</t>
        </is>
      </c>
      <c r="D796" s="625" t="inlineStr">
        <is>
          <t>ท่าเรือแหลมฉบัง</t>
        </is>
      </c>
      <c r="E796" s="627" t="n">
        <v>5.2</v>
      </c>
      <c r="F796" s="615" t="inlineStr">
        <is>
          <t>Km</t>
        </is>
      </c>
      <c r="G796" s="615" t="inlineStr">
        <is>
          <t>รถเทรลเลอร์</t>
        </is>
      </c>
      <c r="H796" s="669" t="inlineStr">
        <is>
          <t>CARROLLTON TX, USA</t>
        </is>
      </c>
      <c r="I796" s="629" t="n">
        <v>14544</v>
      </c>
      <c r="J796" s="651" t="inlineStr">
        <is>
          <t>Km</t>
        </is>
      </c>
      <c r="K796" s="630" t="n">
        <v>3830</v>
      </c>
      <c r="L796" s="640">
        <f>M796-K796</f>
        <v/>
      </c>
      <c r="M796" s="1797" t="n">
        <v>13544.5</v>
      </c>
      <c r="N796" s="1801" t="n">
        <v>6937.5</v>
      </c>
      <c r="O796" s="615" t="n">
        <v>0</v>
      </c>
      <c r="P796" s="641" t="n">
        <v>100</v>
      </c>
    </row>
    <row r="797" ht="15.75" customFormat="1" customHeight="1" s="680">
      <c r="A797" s="670" t="inlineStr">
        <is>
          <t>FO23120006</t>
        </is>
      </c>
      <c r="B797" s="671" t="n">
        <v>45264</v>
      </c>
      <c r="C797" s="672" t="inlineStr">
        <is>
          <t>มัลติแบกซ์</t>
        </is>
      </c>
      <c r="D797" s="672" t="inlineStr">
        <is>
          <t>ท่าเรือแหลมฉบัง</t>
        </is>
      </c>
      <c r="E797" s="673" t="n">
        <v>6.5</v>
      </c>
      <c r="F797" s="670" t="inlineStr">
        <is>
          <t>Km</t>
        </is>
      </c>
      <c r="G797" s="670" t="inlineStr">
        <is>
          <t>รถเทรลเลอร์</t>
        </is>
      </c>
      <c r="H797" s="674" t="inlineStr">
        <is>
          <t>UK PORT</t>
        </is>
      </c>
      <c r="I797" s="675" t="n">
        <v>9687</v>
      </c>
      <c r="J797" s="676" t="inlineStr">
        <is>
          <t>Km</t>
        </is>
      </c>
      <c r="K797" s="677" t="n">
        <v>3660</v>
      </c>
      <c r="L797" s="678">
        <f>M797-K797</f>
        <v/>
      </c>
      <c r="M797" s="1808" t="n">
        <v>23647</v>
      </c>
      <c r="N797" s="1809" t="n">
        <v>18538.2</v>
      </c>
      <c r="O797" s="670" t="n">
        <v>0</v>
      </c>
      <c r="P797" s="679" t="n">
        <v>100</v>
      </c>
    </row>
    <row r="798" ht="15.75" customHeight="1">
      <c r="A798" s="615" t="inlineStr">
        <is>
          <t>FO23120007</t>
        </is>
      </c>
      <c r="B798" s="626" t="n">
        <v>45264</v>
      </c>
      <c r="C798" s="625" t="inlineStr">
        <is>
          <t>มัลติแบกซ์</t>
        </is>
      </c>
      <c r="D798" s="625" t="inlineStr">
        <is>
          <t>ท่าเรือแหลมฉบัง</t>
        </is>
      </c>
      <c r="E798" s="627" t="n">
        <v>6.5</v>
      </c>
      <c r="F798" s="615" t="inlineStr">
        <is>
          <t>Km</t>
        </is>
      </c>
      <c r="G798" s="615" t="inlineStr">
        <is>
          <t>รถเทรลเลอร์</t>
        </is>
      </c>
      <c r="H798" s="669" t="inlineStr">
        <is>
          <t>UK PORT</t>
        </is>
      </c>
      <c r="I798" s="629" t="n">
        <v>9687</v>
      </c>
      <c r="J798" s="651" t="inlineStr">
        <is>
          <t>Km</t>
        </is>
      </c>
      <c r="K798" s="630" t="n">
        <v>3730</v>
      </c>
      <c r="L798" s="640">
        <f>M798-K798</f>
        <v/>
      </c>
      <c r="M798" s="1797" t="n">
        <v>23115.8</v>
      </c>
      <c r="N798" s="1801" t="n">
        <v>18145.8</v>
      </c>
      <c r="O798" s="615" t="n">
        <v>0</v>
      </c>
      <c r="P798" s="641" t="n">
        <v>100</v>
      </c>
    </row>
    <row r="799" ht="15.75" customFormat="1" customHeight="1" s="680">
      <c r="A799" s="681" t="inlineStr">
        <is>
          <t>FO23120008</t>
        </is>
      </c>
      <c r="B799" s="671" t="n">
        <v>45267</v>
      </c>
      <c r="C799" s="672" t="inlineStr">
        <is>
          <t>มัลติแบกซ์</t>
        </is>
      </c>
      <c r="D799" s="672" t="inlineStr">
        <is>
          <t>ท่าเรือแหลมฉบัง</t>
        </is>
      </c>
      <c r="E799" s="673" t="n">
        <v>6.2</v>
      </c>
      <c r="F799" s="670" t="inlineStr">
        <is>
          <t>Km</t>
        </is>
      </c>
      <c r="G799" s="670" t="inlineStr">
        <is>
          <t>รถเทรลเลอร์</t>
        </is>
      </c>
      <c r="H799" s="674" t="inlineStr">
        <is>
          <t>SANTA TERESA, NM USA</t>
        </is>
      </c>
      <c r="I799" s="675" t="n">
        <v>17387</v>
      </c>
      <c r="J799" s="676" t="inlineStr">
        <is>
          <t>Km</t>
        </is>
      </c>
      <c r="K799" s="677" t="n">
        <v>3890</v>
      </c>
      <c r="L799" s="678">
        <f>M799-K799</f>
        <v/>
      </c>
      <c r="M799" s="1808" t="n">
        <v>21958.62</v>
      </c>
      <c r="N799" s="1809" t="n">
        <v>15629.54</v>
      </c>
      <c r="O799" s="670" t="n">
        <v>0</v>
      </c>
      <c r="P799" s="679" t="n">
        <v>100</v>
      </c>
    </row>
    <row r="800" ht="15.75" customHeight="1">
      <c r="A800" s="615" t="inlineStr">
        <is>
          <t>FO23120009</t>
        </is>
      </c>
      <c r="B800" s="626" t="n">
        <v>45265</v>
      </c>
      <c r="C800" s="625" t="inlineStr">
        <is>
          <t>มัลติแบกซ์</t>
        </is>
      </c>
      <c r="D800" s="625" t="inlineStr">
        <is>
          <t>ท่าเรือแหลมฉบัง</t>
        </is>
      </c>
      <c r="E800" s="627" t="n">
        <v>7.1</v>
      </c>
      <c r="F800" s="615" t="inlineStr">
        <is>
          <t>Km</t>
        </is>
      </c>
      <c r="G800" s="615" t="inlineStr">
        <is>
          <t>รถเทรลเลอร์</t>
        </is>
      </c>
      <c r="H800" s="669" t="inlineStr">
        <is>
          <t>MELBOURNE, AUSTRALIA</t>
        </is>
      </c>
      <c r="I800" s="629" t="n">
        <v>7283</v>
      </c>
      <c r="J800" s="651" t="inlineStr">
        <is>
          <t>Km</t>
        </is>
      </c>
      <c r="K800" s="630" t="n">
        <v>3640</v>
      </c>
      <c r="L800" s="640">
        <f>M800-K800</f>
        <v/>
      </c>
      <c r="M800" s="1797" t="n">
        <v>27717</v>
      </c>
      <c r="N800" s="1801" t="n">
        <v>20569</v>
      </c>
      <c r="O800" s="615" t="n">
        <v>0</v>
      </c>
      <c r="P800" s="641" t="n">
        <v>100</v>
      </c>
    </row>
    <row r="801" ht="15.75" customFormat="1" customHeight="1" s="680">
      <c r="A801" s="681" t="inlineStr">
        <is>
          <t>FO23120010</t>
        </is>
      </c>
      <c r="B801" s="671" t="n">
        <v>45266</v>
      </c>
      <c r="C801" s="672" t="inlineStr">
        <is>
          <t>มัลติแบกซ์</t>
        </is>
      </c>
      <c r="D801" s="672" t="inlineStr">
        <is>
          <t>ท่าเรือแหลมฉบัง</t>
        </is>
      </c>
      <c r="E801" s="673" t="n">
        <v>7.1</v>
      </c>
      <c r="F801" s="670" t="inlineStr">
        <is>
          <t>Km</t>
        </is>
      </c>
      <c r="G801" s="670" t="inlineStr">
        <is>
          <t>รถเทรลเลอร์</t>
        </is>
      </c>
      <c r="H801" s="674" t="inlineStr">
        <is>
          <t>MELBOURNE, AUSTRALIA</t>
        </is>
      </c>
      <c r="I801" s="675" t="n">
        <v>7283</v>
      </c>
      <c r="J801" s="676" t="inlineStr">
        <is>
          <t>Km</t>
        </is>
      </c>
      <c r="K801" s="677" t="n">
        <v>3770</v>
      </c>
      <c r="L801" s="678">
        <f>M801-K801</f>
        <v/>
      </c>
      <c r="M801" s="1808" t="n">
        <v>28807</v>
      </c>
      <c r="N801" s="1809" t="n">
        <v>19570.5</v>
      </c>
      <c r="O801" s="670" t="n">
        <v>0</v>
      </c>
      <c r="P801" s="679" t="n">
        <v>100</v>
      </c>
    </row>
    <row r="802" ht="15.75" customHeight="1">
      <c r="A802" s="657" t="inlineStr">
        <is>
          <t>FO23120011</t>
        </is>
      </c>
      <c r="B802" s="626" t="n">
        <v>45276</v>
      </c>
      <c r="C802" s="625" t="inlineStr">
        <is>
          <t>มัลติแบกซ์</t>
        </is>
      </c>
      <c r="D802" s="625" t="inlineStr">
        <is>
          <t>ท่าเรือแหลมฉบัง</t>
        </is>
      </c>
      <c r="E802" s="627" t="n">
        <v>4.1</v>
      </c>
      <c r="F802" s="615" t="inlineStr">
        <is>
          <t>Km</t>
        </is>
      </c>
      <c r="G802" s="615" t="inlineStr">
        <is>
          <t>รถเทรลเลอร์</t>
        </is>
      </c>
      <c r="H802" s="669" t="inlineStr">
        <is>
          <t>UK PORT</t>
        </is>
      </c>
      <c r="I802" s="629" t="n">
        <v>9687</v>
      </c>
      <c r="J802" s="651" t="inlineStr">
        <is>
          <t>Km</t>
        </is>
      </c>
      <c r="K802" s="630" t="n">
        <v>2220</v>
      </c>
      <c r="L802" s="640">
        <f>M802-K802</f>
        <v/>
      </c>
      <c r="M802" s="1797" t="n">
        <v>7997</v>
      </c>
      <c r="N802" s="1801" t="n">
        <v>4550</v>
      </c>
      <c r="O802" s="615" t="n">
        <v>0</v>
      </c>
      <c r="P802" s="641" t="n">
        <v>100</v>
      </c>
    </row>
    <row r="803" ht="15.75" customFormat="1" customHeight="1" s="680">
      <c r="A803" s="681" t="inlineStr">
        <is>
          <t>FO23120012</t>
        </is>
      </c>
      <c r="B803" s="671" t="n">
        <v>45267</v>
      </c>
      <c r="C803" s="672" t="inlineStr">
        <is>
          <t>มัลติแบกซ์</t>
        </is>
      </c>
      <c r="D803" s="672" t="inlineStr">
        <is>
          <t>ท่าเรือแหลมฉบัง</t>
        </is>
      </c>
      <c r="E803" s="673" t="n">
        <v>6.5</v>
      </c>
      <c r="F803" s="670" t="inlineStr">
        <is>
          <t>Km</t>
        </is>
      </c>
      <c r="G803" s="670" t="inlineStr">
        <is>
          <t>รถเทรลเลอร์</t>
        </is>
      </c>
      <c r="H803" s="674" t="inlineStr">
        <is>
          <t>UNIVERSITY PARK IL, USA</t>
        </is>
      </c>
      <c r="I803" s="675" t="n">
        <v>13877</v>
      </c>
      <c r="J803" s="676" t="inlineStr">
        <is>
          <t>Km</t>
        </is>
      </c>
      <c r="K803" s="677" t="n">
        <v>3620</v>
      </c>
      <c r="L803" s="678">
        <f>M803-K803</f>
        <v/>
      </c>
      <c r="M803" s="1808" t="n">
        <v>14346</v>
      </c>
      <c r="N803" s="1809" t="n">
        <v>8196.200000000001</v>
      </c>
      <c r="O803" s="670" t="n">
        <v>0</v>
      </c>
      <c r="P803" s="679" t="n">
        <v>100</v>
      </c>
    </row>
    <row r="804" ht="15.75" customHeight="1">
      <c r="A804" s="657" t="inlineStr">
        <is>
          <t>FO23120013</t>
        </is>
      </c>
      <c r="B804" s="626" t="n">
        <v>45267</v>
      </c>
      <c r="C804" s="625" t="inlineStr">
        <is>
          <t>มัลติแบกซ์</t>
        </is>
      </c>
      <c r="D804" s="625" t="inlineStr">
        <is>
          <t>ท่าเรือแหลมฉบัง</t>
        </is>
      </c>
      <c r="E804" s="627" t="n">
        <v>6.5</v>
      </c>
      <c r="F804" s="615" t="inlineStr">
        <is>
          <t>Km</t>
        </is>
      </c>
      <c r="G804" s="615" t="inlineStr">
        <is>
          <t>รถเทรลเลอร์</t>
        </is>
      </c>
      <c r="H804" s="669" t="inlineStr">
        <is>
          <t>UNIVERSITY PARK IL, USA</t>
        </is>
      </c>
      <c r="I804" s="629" t="n">
        <v>13877</v>
      </c>
      <c r="J804" s="651" t="inlineStr">
        <is>
          <t>Km</t>
        </is>
      </c>
      <c r="K804" s="630" t="n">
        <v>3700</v>
      </c>
      <c r="L804" s="640">
        <f>M804-K804</f>
        <v/>
      </c>
      <c r="M804" s="1797" t="n">
        <v>15714</v>
      </c>
      <c r="N804" s="1801" t="n">
        <v>8988</v>
      </c>
      <c r="O804" s="615" t="n">
        <v>0</v>
      </c>
      <c r="P804" s="641" t="n">
        <v>100</v>
      </c>
    </row>
    <row r="805" ht="15.75" customFormat="1" customHeight="1" s="680">
      <c r="A805" s="681" t="inlineStr">
        <is>
          <t>FO23120014</t>
        </is>
      </c>
      <c r="B805" s="671" t="n">
        <v>45267</v>
      </c>
      <c r="C805" s="672" t="inlineStr">
        <is>
          <t>มัลติแบกซ์</t>
        </is>
      </c>
      <c r="D805" s="672" t="inlineStr">
        <is>
          <t>ท่าเรือแหลมฉบัง</t>
        </is>
      </c>
      <c r="E805" s="673" t="n">
        <v>6.5</v>
      </c>
      <c r="F805" s="670" t="inlineStr">
        <is>
          <t>Km</t>
        </is>
      </c>
      <c r="G805" s="670" t="inlineStr">
        <is>
          <t>รถเทรลเลอร์</t>
        </is>
      </c>
      <c r="H805" s="674" t="inlineStr">
        <is>
          <t>UNIVERSITY PARK IL, USA</t>
        </is>
      </c>
      <c r="I805" s="675" t="n">
        <v>13877</v>
      </c>
      <c r="J805" s="676" t="inlineStr">
        <is>
          <t>Km</t>
        </is>
      </c>
      <c r="K805" s="677" t="n">
        <v>3840</v>
      </c>
      <c r="L805" s="678">
        <f>M805-K805</f>
        <v/>
      </c>
      <c r="M805" s="1808" t="n">
        <v>14029.8</v>
      </c>
      <c r="N805" s="1809" t="n">
        <v>7660</v>
      </c>
      <c r="O805" s="670" t="n">
        <v>0</v>
      </c>
      <c r="P805" s="679" t="n">
        <v>100</v>
      </c>
    </row>
    <row r="806" ht="15.75" customHeight="1">
      <c r="A806" s="615" t="inlineStr">
        <is>
          <t>FO23120015</t>
        </is>
      </c>
      <c r="B806" s="626" t="n">
        <v>45266</v>
      </c>
      <c r="C806" s="625" t="inlineStr">
        <is>
          <t>มัลติแบกซ์</t>
        </is>
      </c>
      <c r="D806" s="625" t="inlineStr">
        <is>
          <t>ท่าเรือแหลมฉบัง</t>
        </is>
      </c>
      <c r="E806" s="627" t="n">
        <v>5.2</v>
      </c>
      <c r="F806" s="615" t="inlineStr">
        <is>
          <t>Km</t>
        </is>
      </c>
      <c r="G806" s="615" t="inlineStr">
        <is>
          <t>รถเทรลเลอร์</t>
        </is>
      </c>
      <c r="H806" s="669" t="inlineStr">
        <is>
          <t>SINGAPORE</t>
        </is>
      </c>
      <c r="I806" s="629" t="n">
        <v>1931</v>
      </c>
      <c r="J806" s="651" t="inlineStr">
        <is>
          <t>Km</t>
        </is>
      </c>
      <c r="K806" s="630" t="n">
        <v>5217.21</v>
      </c>
      <c r="L806" s="640">
        <f>M806-K806</f>
        <v/>
      </c>
      <c r="M806" s="1797" t="n">
        <v>6184.99</v>
      </c>
      <c r="N806" s="1801" t="n">
        <v>5217.21</v>
      </c>
      <c r="O806" s="615" t="n">
        <v>0</v>
      </c>
      <c r="P806" s="641" t="n">
        <v>100</v>
      </c>
    </row>
    <row r="807" ht="15.75" customFormat="1" customHeight="1" s="680">
      <c r="A807" s="681" t="inlineStr">
        <is>
          <t>FO23120016</t>
        </is>
      </c>
      <c r="B807" s="671" t="n">
        <v>45272</v>
      </c>
      <c r="C807" s="672" t="inlineStr">
        <is>
          <t>มัลติแบกซ์</t>
        </is>
      </c>
      <c r="D807" s="672" t="inlineStr">
        <is>
          <t>ท่าเรือแหลมฉบัง</t>
        </is>
      </c>
      <c r="E807" s="673" t="n">
        <v>6.2</v>
      </c>
      <c r="F807" s="670" t="inlineStr">
        <is>
          <t>Km</t>
        </is>
      </c>
      <c r="G807" s="670" t="inlineStr">
        <is>
          <t>รถเทรลเลอร์</t>
        </is>
      </c>
      <c r="H807" s="674" t="inlineStr">
        <is>
          <t>HONG KONG</t>
        </is>
      </c>
      <c r="I807" s="675" t="n">
        <v>1734</v>
      </c>
      <c r="J807" s="676" t="inlineStr">
        <is>
          <t>Km</t>
        </is>
      </c>
      <c r="K807" s="677" t="n">
        <v>3650</v>
      </c>
      <c r="L807" s="678">
        <f>M807-K807</f>
        <v/>
      </c>
      <c r="M807" s="1808" t="n">
        <v>15811.7</v>
      </c>
      <c r="N807" s="1809" t="n">
        <v>9457.4</v>
      </c>
      <c r="O807" s="670" t="n">
        <v>0</v>
      </c>
      <c r="P807" s="679" t="n">
        <v>100</v>
      </c>
    </row>
    <row r="808" ht="15.75" customHeight="1">
      <c r="A808" s="657" t="inlineStr">
        <is>
          <t>FO23120017</t>
        </is>
      </c>
      <c r="B808" s="626" t="n">
        <v>45279</v>
      </c>
      <c r="C808" s="625" t="inlineStr">
        <is>
          <t>มัลติแบกซ์</t>
        </is>
      </c>
      <c r="D808" s="625" t="inlineStr">
        <is>
          <t>ท่าเรือแหลมฉบัง</t>
        </is>
      </c>
      <c r="E808" s="627" t="n">
        <v>6.5</v>
      </c>
      <c r="F808" s="615" t="inlineStr">
        <is>
          <t>Km</t>
        </is>
      </c>
      <c r="G808" s="615" t="inlineStr">
        <is>
          <t>รถเทรลเลอร์</t>
        </is>
      </c>
      <c r="H808" s="669" t="inlineStr">
        <is>
          <t>AUCKLAND, NEW ZEALAND</t>
        </is>
      </c>
      <c r="I808" s="629" t="n">
        <v>9486</v>
      </c>
      <c r="J808" s="651" t="inlineStr">
        <is>
          <t>Km</t>
        </is>
      </c>
      <c r="K808" s="630" t="n">
        <v>3830</v>
      </c>
      <c r="L808" s="640">
        <f>M808-K808</f>
        <v/>
      </c>
      <c r="M808" s="1797" t="n">
        <v>18871.1</v>
      </c>
      <c r="N808" s="1801" t="n">
        <v>11254.87</v>
      </c>
      <c r="O808" s="615" t="n">
        <v>0</v>
      </c>
      <c r="P808" s="641" t="n">
        <v>100</v>
      </c>
    </row>
    <row r="809" ht="15.75" customFormat="1" customHeight="1" s="680">
      <c r="A809" s="681" t="inlineStr">
        <is>
          <t>FO23120018</t>
        </is>
      </c>
      <c r="B809" s="671" t="n">
        <v>45279</v>
      </c>
      <c r="C809" s="672" t="inlineStr">
        <is>
          <t>มัลติแบกซ์</t>
        </is>
      </c>
      <c r="D809" s="672" t="inlineStr">
        <is>
          <t>ท่าเรือแหลมฉบัง</t>
        </is>
      </c>
      <c r="E809" s="673" t="n">
        <v>6.5</v>
      </c>
      <c r="F809" s="670" t="inlineStr">
        <is>
          <t>Km</t>
        </is>
      </c>
      <c r="G809" s="670" t="inlineStr">
        <is>
          <t>รถเทรลเลอร์</t>
        </is>
      </c>
      <c r="H809" s="674" t="inlineStr">
        <is>
          <t>AUCKLAND, NEW ZEALAND</t>
        </is>
      </c>
      <c r="I809" s="675" t="n">
        <v>9486</v>
      </c>
      <c r="J809" s="676" t="inlineStr">
        <is>
          <t>Km</t>
        </is>
      </c>
      <c r="K809" s="677" t="n">
        <v>3770</v>
      </c>
      <c r="L809" s="678">
        <f>M809-K809</f>
        <v/>
      </c>
      <c r="M809" s="1808" t="n">
        <v>24221</v>
      </c>
      <c r="N809" s="1809" t="n">
        <v>15031.48</v>
      </c>
      <c r="O809" s="670" t="n">
        <v>0</v>
      </c>
      <c r="P809" s="679" t="n">
        <v>100</v>
      </c>
    </row>
    <row r="810" ht="15.75" customHeight="1">
      <c r="A810" s="657" t="inlineStr">
        <is>
          <t>FO23120019</t>
        </is>
      </c>
      <c r="B810" s="626" t="n">
        <v>45279</v>
      </c>
      <c r="C810" s="625" t="inlineStr">
        <is>
          <t>มัลติแบกซ์</t>
        </is>
      </c>
      <c r="D810" s="625" t="inlineStr">
        <is>
          <t>ท่าเรือแหลมฉบัง</t>
        </is>
      </c>
      <c r="E810" s="627" t="n">
        <v>6.5</v>
      </c>
      <c r="F810" s="615" t="inlineStr">
        <is>
          <t>Km</t>
        </is>
      </c>
      <c r="G810" s="615" t="inlineStr">
        <is>
          <t>รถเทรลเลอร์</t>
        </is>
      </c>
      <c r="H810" s="669" t="inlineStr">
        <is>
          <t>AUCKLAND, NEW ZEALAND</t>
        </is>
      </c>
      <c r="I810" s="629" t="n">
        <v>9486</v>
      </c>
      <c r="J810" s="651" t="inlineStr">
        <is>
          <t>Km</t>
        </is>
      </c>
      <c r="K810" s="630" t="n">
        <v>3830</v>
      </c>
      <c r="L810" s="640">
        <f>M810-K810</f>
        <v/>
      </c>
      <c r="M810" s="1797" t="n">
        <v>20809.7</v>
      </c>
      <c r="N810" s="1801" t="n">
        <v>13441.45</v>
      </c>
      <c r="O810" s="615" t="n">
        <v>0</v>
      </c>
      <c r="P810" s="641" t="n">
        <v>100</v>
      </c>
    </row>
    <row r="811" ht="15.75" customFormat="1" customHeight="1" s="680">
      <c r="A811" s="670" t="inlineStr">
        <is>
          <t>FO23120020</t>
        </is>
      </c>
      <c r="B811" s="671" t="n">
        <v>45266</v>
      </c>
      <c r="C811" s="672" t="inlineStr">
        <is>
          <t>มัลติแบกซ์</t>
        </is>
      </c>
      <c r="D811" s="672" t="inlineStr">
        <is>
          <t>ท่าเรือแหลมฉบัง</t>
        </is>
      </c>
      <c r="E811" s="673" t="n">
        <v>6.2</v>
      </c>
      <c r="F811" s="670" t="inlineStr">
        <is>
          <t>Km</t>
        </is>
      </c>
      <c r="G811" s="670" t="inlineStr">
        <is>
          <t>รถเทรลเลอร์</t>
        </is>
      </c>
      <c r="H811" s="674" t="inlineStr">
        <is>
          <t>LOUISVILLE KY, USA</t>
        </is>
      </c>
      <c r="I811" s="675" t="n">
        <v>14253</v>
      </c>
      <c r="J811" s="676" t="inlineStr">
        <is>
          <t>Km</t>
        </is>
      </c>
      <c r="K811" s="677" t="n">
        <v>3700</v>
      </c>
      <c r="L811" s="678">
        <f>M811-K811</f>
        <v/>
      </c>
      <c r="M811" s="1808" t="n">
        <v>15102.82</v>
      </c>
      <c r="N811" s="1809" t="n">
        <v>8563.440000000001</v>
      </c>
      <c r="O811" s="670" t="n">
        <v>0</v>
      </c>
      <c r="P811" s="679" t="n">
        <v>100</v>
      </c>
    </row>
    <row r="812" ht="15.75" customHeight="1">
      <c r="A812" s="615" t="inlineStr">
        <is>
          <t>FO23120021</t>
        </is>
      </c>
      <c r="B812" s="626" t="n">
        <v>45266</v>
      </c>
      <c r="C812" s="625" t="inlineStr">
        <is>
          <t>มัลติแบกซ์</t>
        </is>
      </c>
      <c r="D812" s="625" t="inlineStr">
        <is>
          <t>ท่าเรือแหลมฉบัง</t>
        </is>
      </c>
      <c r="E812" s="627" t="n">
        <v>6.2</v>
      </c>
      <c r="F812" s="615" t="inlineStr">
        <is>
          <t>Km</t>
        </is>
      </c>
      <c r="G812" s="615" t="inlineStr">
        <is>
          <t>รถเทรลเลอร์</t>
        </is>
      </c>
      <c r="H812" s="669" t="inlineStr">
        <is>
          <t>LOUISVILLE KY, USA</t>
        </is>
      </c>
      <c r="I812" s="629" t="n">
        <v>14253</v>
      </c>
      <c r="J812" s="651" t="inlineStr">
        <is>
          <t>Km</t>
        </is>
      </c>
      <c r="K812" s="630" t="n">
        <v>3700</v>
      </c>
      <c r="L812" s="640">
        <f>M812-K812</f>
        <v/>
      </c>
      <c r="M812" s="1797" t="n">
        <v>15936.38</v>
      </c>
      <c r="N812" s="1801" t="n">
        <v>9343.92</v>
      </c>
      <c r="O812" s="615" t="n">
        <v>0</v>
      </c>
      <c r="P812" s="641" t="n">
        <v>100</v>
      </c>
    </row>
    <row r="813" ht="15.75" customFormat="1" customHeight="1" s="680">
      <c r="A813" s="670" t="inlineStr">
        <is>
          <t>FO23120022</t>
        </is>
      </c>
      <c r="B813" s="671" t="n">
        <v>45274</v>
      </c>
      <c r="C813" s="682" t="inlineStr">
        <is>
          <t>มัลติแบกซ์</t>
        </is>
      </c>
      <c r="D813" s="682" t="inlineStr">
        <is>
          <t>ท่าเรือแหลมฉบัง</t>
        </is>
      </c>
      <c r="E813" s="683" t="n">
        <v>6.2</v>
      </c>
      <c r="F813" s="682" t="inlineStr">
        <is>
          <t>Km</t>
        </is>
      </c>
      <c r="G813" s="682" t="inlineStr">
        <is>
          <t>รถเทรลเลอร์</t>
        </is>
      </c>
      <c r="H813" s="674" t="inlineStr">
        <is>
          <t>SINGAPORE</t>
        </is>
      </c>
      <c r="I813" s="675" t="n">
        <v>1931</v>
      </c>
      <c r="J813" s="684" t="inlineStr">
        <is>
          <t>Km</t>
        </is>
      </c>
      <c r="K813" s="685" t="n">
        <v>2272.2</v>
      </c>
      <c r="L813" s="686" t="n">
        <v>1125.6</v>
      </c>
      <c r="M813" s="1810" t="n">
        <v>3397.8</v>
      </c>
      <c r="N813" s="1811" t="n">
        <v>2272.2</v>
      </c>
      <c r="O813" s="670" t="n">
        <v>0</v>
      </c>
      <c r="P813" s="679" t="n">
        <v>100</v>
      </c>
    </row>
    <row r="814" ht="15.75" customHeight="1">
      <c r="A814" s="615" t="inlineStr">
        <is>
          <t>FO23120023</t>
        </is>
      </c>
      <c r="B814" s="626" t="n">
        <v>45272</v>
      </c>
      <c r="C814" s="607" t="inlineStr">
        <is>
          <t>มัลติแบกซ์</t>
        </is>
      </c>
      <c r="D814" s="607" t="inlineStr">
        <is>
          <t>ท่าเรือแหลมฉบัง</t>
        </is>
      </c>
      <c r="E814" s="609" t="n">
        <v>6.2</v>
      </c>
      <c r="F814" s="607" t="inlineStr">
        <is>
          <t>Km</t>
        </is>
      </c>
      <c r="G814" s="607" t="inlineStr">
        <is>
          <t>รถเทรลเลอร์</t>
        </is>
      </c>
      <c r="H814" s="669" t="inlineStr">
        <is>
          <t>SINGAPORE</t>
        </is>
      </c>
      <c r="I814" s="629" t="n">
        <v>1931</v>
      </c>
      <c r="J814" s="612" t="inlineStr">
        <is>
          <t>Km</t>
        </is>
      </c>
      <c r="K814" s="613" t="n">
        <v>4186.24</v>
      </c>
      <c r="L814" s="645" t="n">
        <v>1496.12</v>
      </c>
      <c r="M814" s="1791" t="n">
        <v>5682.36</v>
      </c>
      <c r="N814" s="1802" t="n">
        <v>4186.24</v>
      </c>
      <c r="O814" s="615" t="n">
        <v>0</v>
      </c>
      <c r="P814" s="641" t="n">
        <v>100</v>
      </c>
    </row>
    <row r="815" ht="15.75" customFormat="1" customHeight="1" s="680">
      <c r="A815" s="681" t="inlineStr">
        <is>
          <t>FO23120024</t>
        </is>
      </c>
      <c r="B815" s="671" t="n">
        <v>45267</v>
      </c>
      <c r="C815" s="672" t="inlineStr">
        <is>
          <t>มัลติแบกซ์</t>
        </is>
      </c>
      <c r="D815" s="672" t="inlineStr">
        <is>
          <t>ท่าเรือแหลมฉบัง</t>
        </is>
      </c>
      <c r="E815" s="673" t="n">
        <v>6.2</v>
      </c>
      <c r="F815" s="670" t="inlineStr">
        <is>
          <t>Km</t>
        </is>
      </c>
      <c r="G815" s="670" t="inlineStr">
        <is>
          <t>รถเทรลเลอร์</t>
        </is>
      </c>
      <c r="H815" s="674" t="inlineStr">
        <is>
          <t>JACKSONVILLE IL, USA</t>
        </is>
      </c>
      <c r="I815" s="675" t="n">
        <v>15168</v>
      </c>
      <c r="J815" s="676" t="inlineStr">
        <is>
          <t>Km</t>
        </is>
      </c>
      <c r="K815" s="677" t="n">
        <v>3690</v>
      </c>
      <c r="L815" s="678">
        <f>M815-K815</f>
        <v/>
      </c>
      <c r="M815" s="1808" t="n">
        <v>23915.2</v>
      </c>
      <c r="N815" s="1809" t="n">
        <v>16320</v>
      </c>
      <c r="O815" s="670" t="n">
        <v>0</v>
      </c>
      <c r="P815" s="679" t="n">
        <v>100</v>
      </c>
    </row>
    <row r="816" ht="15.75" customHeight="1">
      <c r="A816" s="657" t="inlineStr">
        <is>
          <t>FO23120025</t>
        </is>
      </c>
      <c r="B816" s="626" t="n">
        <v>45268</v>
      </c>
      <c r="C816" s="625" t="inlineStr">
        <is>
          <t>มัลติแบกซ์</t>
        </is>
      </c>
      <c r="D816" s="625" t="inlineStr">
        <is>
          <t>ท่าเรือแหลมฉบัง</t>
        </is>
      </c>
      <c r="E816" s="627" t="n">
        <v>6.2</v>
      </c>
      <c r="F816" s="615" t="inlineStr">
        <is>
          <t>Km</t>
        </is>
      </c>
      <c r="G816" s="615" t="inlineStr">
        <is>
          <t>รถเทรลเลอร์</t>
        </is>
      </c>
      <c r="H816" s="669" t="inlineStr">
        <is>
          <t>LOUISVILLE KY, USA</t>
        </is>
      </c>
      <c r="I816" s="629" t="n">
        <v>14253</v>
      </c>
      <c r="J816" s="651" t="inlineStr">
        <is>
          <t>Km</t>
        </is>
      </c>
      <c r="K816" s="630" t="n">
        <v>3850</v>
      </c>
      <c r="L816" s="640">
        <f>M816-K816</f>
        <v/>
      </c>
      <c r="M816" s="1797" t="n">
        <v>15155.4</v>
      </c>
      <c r="N816" s="1801" t="n">
        <v>8474.360000000001</v>
      </c>
      <c r="O816" s="615" t="n">
        <v>0</v>
      </c>
      <c r="P816" s="641" t="n">
        <v>100</v>
      </c>
    </row>
    <row r="817" ht="15.75" customFormat="1" customHeight="1" s="680">
      <c r="A817" s="681" t="inlineStr">
        <is>
          <t>FO23120026</t>
        </is>
      </c>
      <c r="B817" s="671" t="n">
        <v>45270</v>
      </c>
      <c r="C817" s="672" t="inlineStr">
        <is>
          <t>มัลติแบกซ์</t>
        </is>
      </c>
      <c r="D817" s="672" t="inlineStr">
        <is>
          <t>ท่าเรือแหลมฉบัง</t>
        </is>
      </c>
      <c r="E817" s="673" t="n">
        <v>7.1</v>
      </c>
      <c r="F817" s="670" t="inlineStr">
        <is>
          <t>Km</t>
        </is>
      </c>
      <c r="G817" s="670" t="inlineStr">
        <is>
          <t>รถเทรลเลอร์</t>
        </is>
      </c>
      <c r="H817" s="674" t="inlineStr">
        <is>
          <t>APPLETON WI , USA</t>
        </is>
      </c>
      <c r="I817" s="675" t="n">
        <v>13558</v>
      </c>
      <c r="J817" s="676" t="inlineStr">
        <is>
          <t>Km</t>
        </is>
      </c>
      <c r="K817" s="677" t="n">
        <v>3700</v>
      </c>
      <c r="L817" s="678">
        <f>M817-K817</f>
        <v/>
      </c>
      <c r="M817" s="1808" t="n">
        <v>20062.8</v>
      </c>
      <c r="N817" s="1809" t="n">
        <v>14035</v>
      </c>
      <c r="O817" s="670" t="n">
        <v>0</v>
      </c>
      <c r="P817" s="679" t="n">
        <v>100</v>
      </c>
    </row>
    <row r="818" ht="15.75" customHeight="1">
      <c r="A818" s="657" t="inlineStr">
        <is>
          <t>FO23120027</t>
        </is>
      </c>
      <c r="B818" s="626" t="n">
        <v>45271</v>
      </c>
      <c r="C818" s="625" t="inlineStr">
        <is>
          <t>มัลติแบกซ์</t>
        </is>
      </c>
      <c r="D818" s="625" t="inlineStr">
        <is>
          <t>ท่าเรือแหลมฉบัง</t>
        </is>
      </c>
      <c r="E818" s="627" t="n">
        <v>7.1</v>
      </c>
      <c r="F818" s="615" t="inlineStr">
        <is>
          <t>Km</t>
        </is>
      </c>
      <c r="G818" s="615" t="inlineStr">
        <is>
          <t>รถเทรลเลอร์</t>
        </is>
      </c>
      <c r="H818" s="669" t="inlineStr">
        <is>
          <t>MANILA, PHILIPPINES</t>
        </is>
      </c>
      <c r="I818" s="629" t="n">
        <v>2167</v>
      </c>
      <c r="J818" s="651" t="inlineStr">
        <is>
          <t>Km</t>
        </is>
      </c>
      <c r="K818" s="630" t="n">
        <v>2200</v>
      </c>
      <c r="L818" s="640">
        <f>M818-K818</f>
        <v/>
      </c>
      <c r="M818" s="1797" t="n">
        <v>6642.55</v>
      </c>
      <c r="N818" s="1801" t="n">
        <v>3332.95</v>
      </c>
      <c r="O818" s="615" t="n">
        <v>0</v>
      </c>
      <c r="P818" s="641" t="n">
        <v>100</v>
      </c>
    </row>
    <row r="819" ht="15.75" customFormat="1" customHeight="1" s="680">
      <c r="A819" s="681" t="inlineStr">
        <is>
          <t>FO23120028</t>
        </is>
      </c>
      <c r="B819" s="671" t="n">
        <v>45272</v>
      </c>
      <c r="C819" s="672" t="inlineStr">
        <is>
          <t>มัลติแบกซ์</t>
        </is>
      </c>
      <c r="D819" s="672" t="inlineStr">
        <is>
          <t>ท่าเรือแหลมฉบัง</t>
        </is>
      </c>
      <c r="E819" s="673" t="n">
        <v>6.5</v>
      </c>
      <c r="F819" s="670" t="inlineStr">
        <is>
          <t>Km</t>
        </is>
      </c>
      <c r="G819" s="670" t="inlineStr">
        <is>
          <t>รถเทรลเลอร์</t>
        </is>
      </c>
      <c r="H819" s="674" t="inlineStr">
        <is>
          <t>CARROLLTON TX, USA</t>
        </is>
      </c>
      <c r="I819" s="675" t="n">
        <v>14544</v>
      </c>
      <c r="J819" s="676" t="inlineStr">
        <is>
          <t>Km</t>
        </is>
      </c>
      <c r="K819" s="677" t="n">
        <v>3840</v>
      </c>
      <c r="L819" s="678">
        <f>M819-K819</f>
        <v/>
      </c>
      <c r="M819" s="1808" t="n">
        <v>21729.1</v>
      </c>
      <c r="N819" s="1809" t="n">
        <v>14665.2</v>
      </c>
      <c r="O819" s="670" t="n">
        <v>0</v>
      </c>
      <c r="P819" s="679" t="n">
        <v>100</v>
      </c>
    </row>
    <row r="820" ht="15.75" customHeight="1">
      <c r="A820" s="657" t="inlineStr">
        <is>
          <t>FO23120029</t>
        </is>
      </c>
      <c r="B820" s="626" t="n">
        <v>45274</v>
      </c>
      <c r="C820" s="625" t="inlineStr">
        <is>
          <t>มัลติแบกซ์</t>
        </is>
      </c>
      <c r="D820" s="625" t="inlineStr">
        <is>
          <t>ท่าเรือแหลมฉบัง</t>
        </is>
      </c>
      <c r="E820" s="627" t="n">
        <v>6.2</v>
      </c>
      <c r="F820" s="615" t="inlineStr">
        <is>
          <t>Km</t>
        </is>
      </c>
      <c r="G820" s="615" t="inlineStr">
        <is>
          <t>รถเทรลเลอร์</t>
        </is>
      </c>
      <c r="H820" s="669" t="inlineStr">
        <is>
          <t>SANTA TERESA, NM USA</t>
        </is>
      </c>
      <c r="I820" s="629" t="n">
        <v>17387</v>
      </c>
      <c r="J820" s="651" t="inlineStr">
        <is>
          <t>Km</t>
        </is>
      </c>
      <c r="K820" s="630" t="n">
        <v>3840</v>
      </c>
      <c r="L820" s="640">
        <f>M820-K820</f>
        <v/>
      </c>
      <c r="M820" s="1797" t="n">
        <v>21010.88</v>
      </c>
      <c r="N820" s="1801" t="n">
        <v>14892.1</v>
      </c>
      <c r="O820" s="615" t="n">
        <v>0</v>
      </c>
      <c r="P820" s="641" t="n">
        <v>100</v>
      </c>
    </row>
    <row r="821" ht="15.75" customFormat="1" customHeight="1" s="680">
      <c r="A821" s="681" t="inlineStr">
        <is>
          <t>FO23120030</t>
        </is>
      </c>
      <c r="B821" s="671" t="n">
        <v>45273</v>
      </c>
      <c r="C821" s="672" t="inlineStr">
        <is>
          <t>มัลติแบกซ์</t>
        </is>
      </c>
      <c r="D821" s="672" t="inlineStr">
        <is>
          <t>ท่าเรือแหลมฉบัง</t>
        </is>
      </c>
      <c r="E821" s="673" t="n">
        <v>6.2</v>
      </c>
      <c r="F821" s="670" t="inlineStr">
        <is>
          <t>Km</t>
        </is>
      </c>
      <c r="G821" s="670" t="inlineStr">
        <is>
          <t>รถเทรลเลอร์</t>
        </is>
      </c>
      <c r="H821" s="674" t="inlineStr">
        <is>
          <t>APPLETON WI , USA</t>
        </is>
      </c>
      <c r="I821" s="675" t="n">
        <v>13558</v>
      </c>
      <c r="J821" s="676" t="inlineStr">
        <is>
          <t>Km</t>
        </is>
      </c>
      <c r="K821" s="677" t="n">
        <v>3700</v>
      </c>
      <c r="L821" s="678">
        <f>M821-K821</f>
        <v/>
      </c>
      <c r="M821" s="1808" t="n">
        <v>22771.6</v>
      </c>
      <c r="N821" s="1809" t="n">
        <v>15602.4</v>
      </c>
      <c r="O821" s="670" t="n">
        <v>0</v>
      </c>
      <c r="P821" s="679" t="n">
        <v>100</v>
      </c>
    </row>
    <row r="822" ht="15.75" customHeight="1">
      <c r="A822" s="657" t="inlineStr">
        <is>
          <t>FO23120031</t>
        </is>
      </c>
      <c r="B822" s="626" t="n">
        <v>45271</v>
      </c>
      <c r="C822" s="625" t="inlineStr">
        <is>
          <t>มัลติแบกซ์</t>
        </is>
      </c>
      <c r="D822" s="625" t="inlineStr">
        <is>
          <t>ท่าเรือแหลมฉบัง</t>
        </is>
      </c>
      <c r="E822" s="627" t="n">
        <v>6.5</v>
      </c>
      <c r="F822" s="615" t="inlineStr">
        <is>
          <t>Km</t>
        </is>
      </c>
      <c r="G822" s="615" t="inlineStr">
        <is>
          <t>รถเทรลเลอร์</t>
        </is>
      </c>
      <c r="H822" s="669" t="inlineStr">
        <is>
          <t>HAMBURG, GERMANY</t>
        </is>
      </c>
      <c r="I822" s="629" t="n">
        <v>8894</v>
      </c>
      <c r="J822" s="651" t="inlineStr">
        <is>
          <t>Km</t>
        </is>
      </c>
      <c r="K822" s="630" t="n">
        <v>2260</v>
      </c>
      <c r="L822" s="640">
        <f>M822-K822</f>
        <v/>
      </c>
      <c r="M822" s="1797" t="n">
        <v>15727</v>
      </c>
      <c r="N822" s="1801" t="n">
        <v>12812.32</v>
      </c>
      <c r="O822" s="615" t="n">
        <v>0</v>
      </c>
      <c r="P822" s="641" t="n">
        <v>100</v>
      </c>
    </row>
    <row r="823" ht="15.75" customFormat="1" customHeight="1" s="680">
      <c r="A823" s="681" t="inlineStr">
        <is>
          <t>FO23120032</t>
        </is>
      </c>
      <c r="B823" s="671" t="n">
        <v>45273</v>
      </c>
      <c r="C823" s="672" t="inlineStr">
        <is>
          <t>มัลติแบกซ์</t>
        </is>
      </c>
      <c r="D823" s="672" t="inlineStr">
        <is>
          <t>ท่าเรือแหลมฉบัง</t>
        </is>
      </c>
      <c r="E823" s="673" t="n">
        <v>6</v>
      </c>
      <c r="F823" s="670" t="inlineStr">
        <is>
          <t>Km</t>
        </is>
      </c>
      <c r="G823" s="670" t="inlineStr">
        <is>
          <t>รถเทรลเลอร์</t>
        </is>
      </c>
      <c r="H823" s="674" t="inlineStr">
        <is>
          <t>COLUMBUS OHIO, USA</t>
        </is>
      </c>
      <c r="I823" s="675" t="n">
        <v>14000</v>
      </c>
      <c r="J823" s="676" t="inlineStr">
        <is>
          <t>Km</t>
        </is>
      </c>
      <c r="K823" s="677" t="n">
        <v>3820</v>
      </c>
      <c r="L823" s="678">
        <f>M823-K823</f>
        <v/>
      </c>
      <c r="M823" s="1808" t="n">
        <v>22149.92</v>
      </c>
      <c r="N823" s="1809" t="n">
        <v>16103.96</v>
      </c>
      <c r="O823" s="670" t="n">
        <v>0</v>
      </c>
      <c r="P823" s="679" t="n">
        <v>100</v>
      </c>
    </row>
    <row r="824" ht="15.75" customHeight="1">
      <c r="A824" s="657" t="inlineStr">
        <is>
          <t>FO23120033</t>
        </is>
      </c>
      <c r="B824" s="626" t="n">
        <v>45273</v>
      </c>
      <c r="C824" s="625" t="inlineStr">
        <is>
          <t>มัลติแบกซ์</t>
        </is>
      </c>
      <c r="D824" s="625" t="inlineStr">
        <is>
          <t>ท่าเรือแหลมฉบัง</t>
        </is>
      </c>
      <c r="E824" s="627" t="n">
        <v>6</v>
      </c>
      <c r="F824" s="615" t="inlineStr">
        <is>
          <t>Km</t>
        </is>
      </c>
      <c r="G824" s="615" t="inlineStr">
        <is>
          <t>รถเทรลเลอร์</t>
        </is>
      </c>
      <c r="H824" s="669" t="inlineStr">
        <is>
          <t>COLUMBUS OHIO, USA</t>
        </is>
      </c>
      <c r="I824" s="629" t="n">
        <v>14000</v>
      </c>
      <c r="J824" s="651" t="inlineStr">
        <is>
          <t>Km</t>
        </is>
      </c>
      <c r="K824" s="630" t="n">
        <v>3750</v>
      </c>
      <c r="L824" s="640">
        <f>M824-K824</f>
        <v/>
      </c>
      <c r="M824" s="1797" t="n">
        <v>21670.98</v>
      </c>
      <c r="N824" s="1801" t="n">
        <v>15745.74</v>
      </c>
      <c r="O824" s="615" t="n">
        <v>0</v>
      </c>
      <c r="P824" s="641" t="n">
        <v>100</v>
      </c>
    </row>
    <row r="825" ht="15.75" customFormat="1" customHeight="1" s="680">
      <c r="A825" s="672" t="inlineStr">
        <is>
          <t>FO23120034</t>
        </is>
      </c>
      <c r="B825" s="671" t="n">
        <v>45273</v>
      </c>
      <c r="C825" s="672" t="inlineStr">
        <is>
          <t>มัลติแบกซ์</t>
        </is>
      </c>
      <c r="D825" s="672" t="inlineStr">
        <is>
          <t>ท่าเรือแหลมฉบัง</t>
        </is>
      </c>
      <c r="E825" s="673" t="n">
        <v>6</v>
      </c>
      <c r="F825" s="670" t="inlineStr">
        <is>
          <t>Km</t>
        </is>
      </c>
      <c r="G825" s="670" t="inlineStr">
        <is>
          <t>รถเทรลเลอร์</t>
        </is>
      </c>
      <c r="H825" s="674" t="inlineStr">
        <is>
          <t>COLUMBUS OHIO, USA</t>
        </is>
      </c>
      <c r="I825" s="675" t="n">
        <v>14000</v>
      </c>
      <c r="J825" s="676" t="inlineStr">
        <is>
          <t>Km</t>
        </is>
      </c>
      <c r="K825" s="677" t="n">
        <v>3700</v>
      </c>
      <c r="L825" s="678">
        <f>M825-K825</f>
        <v/>
      </c>
      <c r="M825" s="1808" t="n">
        <v>21329.98</v>
      </c>
      <c r="N825" s="1809" t="n">
        <v>15474.22</v>
      </c>
      <c r="O825" s="670" t="n">
        <v>0</v>
      </c>
      <c r="P825" s="679" t="n">
        <v>100</v>
      </c>
    </row>
    <row r="826" ht="15.75" customHeight="1">
      <c r="A826" s="657" t="inlineStr">
        <is>
          <t>FO23120035</t>
        </is>
      </c>
      <c r="B826" s="626" t="n">
        <v>45273</v>
      </c>
      <c r="C826" s="625" t="inlineStr">
        <is>
          <t>มัลติแบกซ์</t>
        </is>
      </c>
      <c r="D826" s="625" t="inlineStr">
        <is>
          <t>ท่าเรือแหลมฉบัง</t>
        </is>
      </c>
      <c r="E826" s="627" t="n">
        <v>6</v>
      </c>
      <c r="F826" s="615" t="inlineStr">
        <is>
          <t>Km</t>
        </is>
      </c>
      <c r="G826" s="615" t="inlineStr">
        <is>
          <t>รถเทรลเลอร์</t>
        </is>
      </c>
      <c r="H826" s="669" t="inlineStr">
        <is>
          <t>COLUMBUS OHIO, USA</t>
        </is>
      </c>
      <c r="I826" s="629" t="n">
        <v>14000</v>
      </c>
      <c r="J826" s="651" t="inlineStr">
        <is>
          <t>Km</t>
        </is>
      </c>
      <c r="K826" s="630" t="n">
        <v>3670</v>
      </c>
      <c r="L826" s="640">
        <f>M826-K826</f>
        <v/>
      </c>
      <c r="M826" s="1797" t="n">
        <v>21607.72</v>
      </c>
      <c r="N826" s="1801" t="n">
        <v>15964.7</v>
      </c>
      <c r="O826" s="615" t="n">
        <v>0</v>
      </c>
      <c r="P826" s="641" t="n">
        <v>100</v>
      </c>
    </row>
    <row r="827" ht="15.75" customFormat="1" customHeight="1" s="680">
      <c r="A827" s="681" t="inlineStr">
        <is>
          <t>FO23120036</t>
        </is>
      </c>
      <c r="B827" s="671" t="n">
        <v>45285</v>
      </c>
      <c r="C827" s="672" t="inlineStr">
        <is>
          <t>มัลติแบกซ์</t>
        </is>
      </c>
      <c r="D827" s="672" t="inlineStr">
        <is>
          <t>ท่าเรือแหลมฉบัง</t>
        </is>
      </c>
      <c r="E827" s="673" t="n">
        <v>3.6</v>
      </c>
      <c r="F827" s="670" t="inlineStr">
        <is>
          <t>Km</t>
        </is>
      </c>
      <c r="G827" s="670" t="inlineStr">
        <is>
          <t>รถเทรลเลอร์</t>
        </is>
      </c>
      <c r="H827" s="674" t="inlineStr">
        <is>
          <t>OSAKA, JAPAN</t>
        </is>
      </c>
      <c r="I827" s="675" t="n">
        <v>4220</v>
      </c>
      <c r="J827" s="676" t="inlineStr">
        <is>
          <t>Km</t>
        </is>
      </c>
      <c r="K827" s="673" t="n">
        <v>2210</v>
      </c>
      <c r="L827" s="678">
        <f>M827-K827</f>
        <v/>
      </c>
      <c r="M827" s="1808" t="n">
        <v>7450.35</v>
      </c>
      <c r="N827" s="1809" t="n">
        <v>4100.44</v>
      </c>
      <c r="O827" s="670" t="n">
        <v>0</v>
      </c>
      <c r="P827" s="679" t="n">
        <v>100</v>
      </c>
    </row>
    <row r="828" ht="15.75" customHeight="1">
      <c r="A828" s="657" t="inlineStr">
        <is>
          <t>FO23120037</t>
        </is>
      </c>
      <c r="B828" s="626" t="n">
        <v>45273</v>
      </c>
      <c r="C828" s="625" t="inlineStr">
        <is>
          <t>มัลติแบกซ์</t>
        </is>
      </c>
      <c r="D828" s="625" t="inlineStr">
        <is>
          <t>ท่าเรือแหลมฉบัง</t>
        </is>
      </c>
      <c r="E828" s="627" t="n">
        <v>5.8</v>
      </c>
      <c r="F828" s="615" t="inlineStr">
        <is>
          <t>Km</t>
        </is>
      </c>
      <c r="G828" s="615" t="inlineStr">
        <is>
          <t>รถเทรลเลอร์</t>
        </is>
      </c>
      <c r="H828" s="669" t="inlineStr">
        <is>
          <t>UK PORT</t>
        </is>
      </c>
      <c r="I828" s="629" t="n">
        <v>9687</v>
      </c>
      <c r="J828" s="651" t="inlineStr">
        <is>
          <t>Km</t>
        </is>
      </c>
      <c r="K828" s="630" t="n">
        <v>3800</v>
      </c>
      <c r="L828" s="640">
        <f>M828-K828</f>
        <v/>
      </c>
      <c r="M828" s="1797" t="n">
        <v>23697</v>
      </c>
      <c r="N828" s="1801" t="n">
        <v>18561</v>
      </c>
      <c r="O828" s="615" t="n">
        <v>0</v>
      </c>
      <c r="P828" s="641" t="n">
        <v>100</v>
      </c>
    </row>
    <row r="829" ht="15.75" customFormat="1" customHeight="1" s="680">
      <c r="A829" s="681" t="inlineStr">
        <is>
          <t>FO23120038</t>
        </is>
      </c>
      <c r="B829" s="671" t="n">
        <v>45274</v>
      </c>
      <c r="C829" s="672" t="inlineStr">
        <is>
          <t>มัลติแบกซ์</t>
        </is>
      </c>
      <c r="D829" s="672" t="inlineStr">
        <is>
          <t>ท่าเรือแหลมฉบัง</t>
        </is>
      </c>
      <c r="E829" s="673" t="n">
        <v>6.2</v>
      </c>
      <c r="F829" s="670" t="inlineStr">
        <is>
          <t>Km</t>
        </is>
      </c>
      <c r="G829" s="670" t="inlineStr">
        <is>
          <t>รถเทรลเลอร์</t>
        </is>
      </c>
      <c r="H829" s="674" t="inlineStr">
        <is>
          <t>CARROLLTON TX, USA</t>
        </is>
      </c>
      <c r="I829" s="675" t="n">
        <v>14544</v>
      </c>
      <c r="J829" s="676" t="inlineStr">
        <is>
          <t>Km</t>
        </is>
      </c>
      <c r="K829" s="677" t="n">
        <v>3700</v>
      </c>
      <c r="L829" s="678">
        <f>M829-K829</f>
        <v/>
      </c>
      <c r="M829" s="1808" t="n">
        <v>20062.8</v>
      </c>
      <c r="N829" s="1809" t="n">
        <v>14035</v>
      </c>
      <c r="O829" s="670" t="n">
        <v>0</v>
      </c>
      <c r="P829" s="679" t="n">
        <v>100</v>
      </c>
    </row>
    <row r="830" ht="15.75" customHeight="1">
      <c r="A830" s="657" t="inlineStr">
        <is>
          <t>FO23120039</t>
        </is>
      </c>
      <c r="B830" s="626" t="n">
        <v>45275</v>
      </c>
      <c r="C830" s="625" t="inlineStr">
        <is>
          <t>มัลติแบกซ์</t>
        </is>
      </c>
      <c r="D830" s="625" t="inlineStr">
        <is>
          <t>ท่าเรือแหลมฉบัง</t>
        </is>
      </c>
      <c r="E830" s="627" t="n">
        <v>7.1</v>
      </c>
      <c r="F830" s="615" t="inlineStr">
        <is>
          <t>Km</t>
        </is>
      </c>
      <c r="G830" s="615" t="inlineStr">
        <is>
          <t>รถเทรลเลอร์</t>
        </is>
      </c>
      <c r="H830" s="669" t="inlineStr">
        <is>
          <t>APPLETON WI , USA</t>
        </is>
      </c>
      <c r="I830" s="629" t="n">
        <v>13558</v>
      </c>
      <c r="J830" s="651" t="inlineStr">
        <is>
          <t>Km</t>
        </is>
      </c>
      <c r="K830" s="630" t="n">
        <v>3700</v>
      </c>
      <c r="L830" s="640">
        <f>M830-K830</f>
        <v/>
      </c>
      <c r="M830" s="1797" t="n">
        <v>20062.8</v>
      </c>
      <c r="N830" s="1801" t="n">
        <v>14035</v>
      </c>
      <c r="O830" s="615" t="n">
        <v>0</v>
      </c>
      <c r="P830" s="641" t="n">
        <v>100</v>
      </c>
    </row>
    <row r="831" ht="15.75" customFormat="1" customHeight="1" s="680">
      <c r="A831" s="681" t="inlineStr">
        <is>
          <t>FO23120040</t>
        </is>
      </c>
      <c r="B831" s="671" t="n">
        <v>45275</v>
      </c>
      <c r="C831" s="672" t="inlineStr">
        <is>
          <t>มัลติแบกซ์</t>
        </is>
      </c>
      <c r="D831" s="672" t="inlineStr">
        <is>
          <t>ท่าเรือแหลมฉบัง</t>
        </is>
      </c>
      <c r="E831" s="673" t="n">
        <v>7.1</v>
      </c>
      <c r="F831" s="670" t="inlineStr">
        <is>
          <t>Km</t>
        </is>
      </c>
      <c r="G831" s="670" t="inlineStr">
        <is>
          <t>รถเทรลเลอร์</t>
        </is>
      </c>
      <c r="H831" s="674" t="inlineStr">
        <is>
          <t>APPLETON WI , USA</t>
        </is>
      </c>
      <c r="I831" s="675" t="n">
        <v>13558</v>
      </c>
      <c r="J831" s="676" t="inlineStr">
        <is>
          <t>Km</t>
        </is>
      </c>
      <c r="K831" s="677" t="n">
        <v>3900</v>
      </c>
      <c r="L831" s="678">
        <f>M831-K831</f>
        <v/>
      </c>
      <c r="M831" s="1808" t="n">
        <v>16460</v>
      </c>
      <c r="N831" s="1809" t="n">
        <v>9747.4</v>
      </c>
      <c r="O831" s="670" t="n">
        <v>0</v>
      </c>
      <c r="P831" s="679" t="n">
        <v>100</v>
      </c>
    </row>
    <row r="832" ht="15.75" customHeight="1">
      <c r="A832" s="657" t="inlineStr">
        <is>
          <t>FO23120041</t>
        </is>
      </c>
      <c r="B832" s="626" t="n">
        <v>45276</v>
      </c>
      <c r="C832" s="625" t="inlineStr">
        <is>
          <t>มัลติแบกซ์</t>
        </is>
      </c>
      <c r="D832" s="625" t="inlineStr">
        <is>
          <t>ท่าเรือแหลมฉบัง</t>
        </is>
      </c>
      <c r="E832" s="627" t="n">
        <v>7.5</v>
      </c>
      <c r="F832" s="615" t="inlineStr">
        <is>
          <t>Km</t>
        </is>
      </c>
      <c r="G832" s="615" t="inlineStr">
        <is>
          <t>รถเทรลเลอร์</t>
        </is>
      </c>
      <c r="H832" s="669" t="inlineStr">
        <is>
          <t>SHUWAIKH, KUWAIT</t>
        </is>
      </c>
      <c r="I832" s="629" t="n">
        <v>5727</v>
      </c>
      <c r="J832" s="651" t="inlineStr">
        <is>
          <t>Km</t>
        </is>
      </c>
      <c r="K832" s="630" t="n">
        <v>3770</v>
      </c>
      <c r="L832" s="640">
        <f>M832-K832</f>
        <v/>
      </c>
      <c r="M832" s="1797" t="n">
        <v>11987.26</v>
      </c>
      <c r="N832" s="1801" t="n">
        <v>6143.94</v>
      </c>
      <c r="O832" s="615" t="n">
        <v>0</v>
      </c>
      <c r="P832" s="641" t="n">
        <v>100</v>
      </c>
    </row>
    <row r="833" ht="15.75" customFormat="1" customHeight="1" s="680">
      <c r="A833" s="681" t="inlineStr">
        <is>
          <t>FO23120042</t>
        </is>
      </c>
      <c r="B833" s="671" t="n">
        <v>45285</v>
      </c>
      <c r="C833" s="672" t="inlineStr">
        <is>
          <t>มัลติแบกซ์</t>
        </is>
      </c>
      <c r="D833" s="672" t="inlineStr">
        <is>
          <t>ท่าเรือแหลมฉบัง</t>
        </is>
      </c>
      <c r="E833" s="673" t="n">
        <v>5.8</v>
      </c>
      <c r="F833" s="670" t="inlineStr">
        <is>
          <t>Km</t>
        </is>
      </c>
      <c r="G833" s="670" t="inlineStr">
        <is>
          <t>รถเทรลเลอร์</t>
        </is>
      </c>
      <c r="H833" s="674" t="inlineStr">
        <is>
          <t>DURBAN, SOUTH AFRICA</t>
        </is>
      </c>
      <c r="I833" s="675" t="n">
        <v>8865</v>
      </c>
      <c r="J833" s="676" t="inlineStr">
        <is>
          <t>Km</t>
        </is>
      </c>
      <c r="K833" s="673" t="n">
        <v>2150</v>
      </c>
      <c r="L833" s="678">
        <f>M833-K833</f>
        <v/>
      </c>
      <c r="M833" s="1808" t="n">
        <v>13768</v>
      </c>
      <c r="N833" s="1809" t="n">
        <v>9875</v>
      </c>
      <c r="O833" s="670" t="n">
        <v>0</v>
      </c>
      <c r="P833" s="679" t="n">
        <v>100</v>
      </c>
    </row>
    <row r="834" ht="15.75" customHeight="1">
      <c r="A834" s="657" t="inlineStr">
        <is>
          <t>FO23120044</t>
        </is>
      </c>
      <c r="B834" s="626" t="n">
        <v>45281</v>
      </c>
      <c r="C834" s="625" t="inlineStr">
        <is>
          <t>มัลติแบกซ์</t>
        </is>
      </c>
      <c r="D834" s="625" t="inlineStr">
        <is>
          <t>ท่าเรือแหลมฉบัง</t>
        </is>
      </c>
      <c r="E834" s="627" t="n">
        <v>3.6</v>
      </c>
      <c r="F834" s="615" t="inlineStr">
        <is>
          <t>Km</t>
        </is>
      </c>
      <c r="G834" s="615" t="inlineStr">
        <is>
          <t>รถเทรลเลอร์</t>
        </is>
      </c>
      <c r="H834" s="669" t="inlineStr">
        <is>
          <t>TOKYO, JAPAN</t>
        </is>
      </c>
      <c r="I834" s="629" t="n">
        <v>4608</v>
      </c>
      <c r="J834" s="651" t="inlineStr">
        <is>
          <t>Km</t>
        </is>
      </c>
      <c r="K834" s="630" t="n">
        <v>2100</v>
      </c>
      <c r="L834" s="640">
        <f>M834-K834</f>
        <v/>
      </c>
      <c r="M834" s="1797" t="n">
        <v>7449.3</v>
      </c>
      <c r="N834" s="1801" t="n">
        <v>4211.98</v>
      </c>
      <c r="O834" s="615" t="n">
        <v>0</v>
      </c>
      <c r="P834" s="641" t="n">
        <v>100</v>
      </c>
    </row>
    <row r="835" ht="15.75" customFormat="1" customHeight="1" s="680">
      <c r="A835" s="681" t="inlineStr">
        <is>
          <t>FO23120045</t>
        </is>
      </c>
      <c r="B835" s="671" t="n">
        <v>45275</v>
      </c>
      <c r="C835" s="672" t="inlineStr">
        <is>
          <t>มัลติแบกซ์</t>
        </is>
      </c>
      <c r="D835" s="672" t="inlineStr">
        <is>
          <t>ท่าเรือแหลมฉบัง</t>
        </is>
      </c>
      <c r="E835" s="673" t="n">
        <v>7.1</v>
      </c>
      <c r="F835" s="670" t="inlineStr">
        <is>
          <t>Km</t>
        </is>
      </c>
      <c r="G835" s="670" t="inlineStr">
        <is>
          <t>รถเทรลเลอร์</t>
        </is>
      </c>
      <c r="H835" s="674" t="inlineStr">
        <is>
          <t>JACKSONVILLE IL, USA</t>
        </is>
      </c>
      <c r="I835" s="675" t="n">
        <v>15168</v>
      </c>
      <c r="J835" s="676" t="inlineStr">
        <is>
          <t>Km</t>
        </is>
      </c>
      <c r="K835" s="677" t="n">
        <v>3950</v>
      </c>
      <c r="L835" s="678">
        <f>M835-K835</f>
        <v/>
      </c>
      <c r="M835" s="1808" t="n">
        <v>24614.6</v>
      </c>
      <c r="N835" s="1809" t="n">
        <v>16464</v>
      </c>
      <c r="O835" s="670" t="n">
        <v>0</v>
      </c>
      <c r="P835" s="679" t="n">
        <v>100</v>
      </c>
    </row>
    <row r="836" ht="15.75" customHeight="1">
      <c r="A836" s="657" t="inlineStr">
        <is>
          <t>FO23120046</t>
        </is>
      </c>
      <c r="B836" s="626" t="n">
        <v>45278</v>
      </c>
      <c r="C836" s="625" t="inlineStr">
        <is>
          <t>มัลติแบกซ์</t>
        </is>
      </c>
      <c r="D836" s="625" t="inlineStr">
        <is>
          <t>ท่าเรือแหลมฉบัง</t>
        </is>
      </c>
      <c r="E836" s="627" t="n">
        <v>11.9</v>
      </c>
      <c r="F836" s="615" t="inlineStr">
        <is>
          <t>Km</t>
        </is>
      </c>
      <c r="G836" s="615" t="inlineStr">
        <is>
          <t>รถเทรลเลอร์</t>
        </is>
      </c>
      <c r="H836" s="669" t="inlineStr">
        <is>
          <t>HONG KONG</t>
        </is>
      </c>
      <c r="I836" s="629" t="n">
        <v>1734</v>
      </c>
      <c r="J836" s="651" t="inlineStr">
        <is>
          <t>Km</t>
        </is>
      </c>
      <c r="K836" s="630" t="n">
        <v>3650</v>
      </c>
      <c r="L836" s="640">
        <f>M836-K836</f>
        <v/>
      </c>
      <c r="M836" s="1797" t="n">
        <v>13708.6</v>
      </c>
      <c r="N836" s="1801" t="n">
        <v>7931.1</v>
      </c>
      <c r="O836" s="615" t="n">
        <v>0</v>
      </c>
      <c r="P836" s="641" t="n">
        <v>100</v>
      </c>
    </row>
    <row r="837" ht="15.75" customFormat="1" customHeight="1" s="680">
      <c r="A837" s="681" t="inlineStr">
        <is>
          <t>FO23120047</t>
        </is>
      </c>
      <c r="B837" s="671" t="n">
        <v>45278</v>
      </c>
      <c r="C837" s="672" t="inlineStr">
        <is>
          <t>มัลติแบกซ์</t>
        </is>
      </c>
      <c r="D837" s="672" t="inlineStr">
        <is>
          <t>ท่าเรือแหลมฉบัง</t>
        </is>
      </c>
      <c r="E837" s="673" t="n">
        <v>11.9</v>
      </c>
      <c r="F837" s="670" t="inlineStr">
        <is>
          <t>Km</t>
        </is>
      </c>
      <c r="G837" s="670" t="inlineStr">
        <is>
          <t>รถเทรลเลอร์</t>
        </is>
      </c>
      <c r="H837" s="674" t="inlineStr">
        <is>
          <t>HONG KONG</t>
        </is>
      </c>
      <c r="I837" s="675" t="n">
        <v>1734</v>
      </c>
      <c r="J837" s="676" t="inlineStr">
        <is>
          <t>Km</t>
        </is>
      </c>
      <c r="K837" s="677" t="n">
        <v>3590</v>
      </c>
      <c r="L837" s="678">
        <f>M837-K837</f>
        <v/>
      </c>
      <c r="M837" s="1808" t="n">
        <v>15932</v>
      </c>
      <c r="N837" s="1809" t="n">
        <v>9511</v>
      </c>
      <c r="O837" s="670" t="n">
        <v>0</v>
      </c>
      <c r="P837" s="679" t="n">
        <v>100</v>
      </c>
    </row>
    <row r="838" ht="15.75" customHeight="1">
      <c r="A838" s="657" t="inlineStr">
        <is>
          <t>FO23120048</t>
        </is>
      </c>
      <c r="B838" s="626" t="n">
        <v>45278</v>
      </c>
      <c r="C838" s="625" t="inlineStr">
        <is>
          <t>มัลติแบกซ์</t>
        </is>
      </c>
      <c r="D838" s="625" t="inlineStr">
        <is>
          <t>ท่าเรือแหลมฉบัง</t>
        </is>
      </c>
      <c r="E838" s="627" t="n">
        <v>6.5</v>
      </c>
      <c r="F838" s="615" t="inlineStr">
        <is>
          <t>Km</t>
        </is>
      </c>
      <c r="G838" s="615" t="inlineStr">
        <is>
          <t>รถเทรลเลอร์</t>
        </is>
      </c>
      <c r="H838" s="669" t="inlineStr">
        <is>
          <t>LOUISVILLE KY, USA</t>
        </is>
      </c>
      <c r="I838" s="629" t="n">
        <v>14253</v>
      </c>
      <c r="J838" s="651" t="inlineStr">
        <is>
          <t>Km</t>
        </is>
      </c>
      <c r="K838" s="630" t="n">
        <v>3700</v>
      </c>
      <c r="L838" s="640">
        <f>M838-K838</f>
        <v/>
      </c>
      <c r="M838" s="1797" t="n">
        <v>14082.77</v>
      </c>
      <c r="N838" s="1801" t="n">
        <v>7650.69</v>
      </c>
      <c r="O838" s="615" t="n">
        <v>0</v>
      </c>
      <c r="P838" s="641" t="n">
        <v>100</v>
      </c>
    </row>
    <row r="839" ht="15.75" customFormat="1" customHeight="1" s="680">
      <c r="A839" s="681" t="inlineStr">
        <is>
          <t>FO23120049</t>
        </is>
      </c>
      <c r="B839" s="671" t="n">
        <v>45279</v>
      </c>
      <c r="C839" s="672" t="inlineStr">
        <is>
          <t>มัลติแบกซ์</t>
        </is>
      </c>
      <c r="D839" s="672" t="inlineStr">
        <is>
          <t>ท่าเรือแหลมฉบัง</t>
        </is>
      </c>
      <c r="E839" s="673" t="n">
        <v>6.2</v>
      </c>
      <c r="F839" s="670" t="inlineStr">
        <is>
          <t>Km</t>
        </is>
      </c>
      <c r="G839" s="670" t="inlineStr">
        <is>
          <t>รถเทรลเลอร์</t>
        </is>
      </c>
      <c r="H839" s="674" t="inlineStr">
        <is>
          <t>CARROLLTON TX, USA</t>
        </is>
      </c>
      <c r="I839" s="675" t="n">
        <v>14544</v>
      </c>
      <c r="J839" s="676" t="inlineStr">
        <is>
          <t>Km</t>
        </is>
      </c>
      <c r="K839" s="677" t="n">
        <v>3700</v>
      </c>
      <c r="L839" s="678">
        <f>M839-K839</f>
        <v/>
      </c>
      <c r="M839" s="1808" t="n">
        <v>21589.1</v>
      </c>
      <c r="N839" s="1809" t="n">
        <v>14665.2</v>
      </c>
      <c r="O839" s="670" t="n">
        <v>0</v>
      </c>
      <c r="P839" s="679" t="n">
        <v>100</v>
      </c>
    </row>
    <row r="840" ht="15.75" customHeight="1">
      <c r="A840" s="625" t="inlineStr">
        <is>
          <t>FO23120050</t>
        </is>
      </c>
      <c r="B840" s="626" t="n">
        <v>45279</v>
      </c>
      <c r="C840" s="607" t="inlineStr">
        <is>
          <t>มัลติแบกซ์</t>
        </is>
      </c>
      <c r="D840" s="607" t="inlineStr">
        <is>
          <t>ท่าเรือแหลมฉบัง</t>
        </is>
      </c>
      <c r="E840" s="609" t="n">
        <v>6.5</v>
      </c>
      <c r="F840" s="607" t="inlineStr">
        <is>
          <t>Km</t>
        </is>
      </c>
      <c r="G840" s="607" t="inlineStr">
        <is>
          <t>รถเทรลเลอร์</t>
        </is>
      </c>
      <c r="H840" s="669" t="inlineStr">
        <is>
          <t>HAMAD, QATAR</t>
        </is>
      </c>
      <c r="I840" s="629" t="n">
        <v>5317</v>
      </c>
      <c r="J840" s="612" t="inlineStr">
        <is>
          <t>Km</t>
        </is>
      </c>
      <c r="K840" s="613" t="n">
        <v>2220</v>
      </c>
      <c r="L840" s="645" t="n">
        <v>3802.89</v>
      </c>
      <c r="M840" s="1791" t="n">
        <v>6023</v>
      </c>
      <c r="N840" s="1801" t="n">
        <v>2636.01</v>
      </c>
      <c r="O840" s="615" t="n">
        <v>0</v>
      </c>
      <c r="P840" s="641" t="n">
        <v>100</v>
      </c>
    </row>
    <row r="841" ht="15.75" customFormat="1" customHeight="1" s="680">
      <c r="A841" s="681" t="inlineStr">
        <is>
          <t>FO23120051</t>
        </is>
      </c>
      <c r="B841" s="671" t="n">
        <v>45280</v>
      </c>
      <c r="C841" s="672" t="inlineStr">
        <is>
          <t>มัลติแบกซ์</t>
        </is>
      </c>
      <c r="D841" s="672" t="inlineStr">
        <is>
          <t>ท่าเรือแหลมฉบัง</t>
        </is>
      </c>
      <c r="E841" s="673" t="n">
        <v>6.2</v>
      </c>
      <c r="F841" s="670" t="inlineStr">
        <is>
          <t>Km</t>
        </is>
      </c>
      <c r="G841" s="670" t="inlineStr">
        <is>
          <t>รถเทรลเลอร์</t>
        </is>
      </c>
      <c r="H841" s="674" t="inlineStr">
        <is>
          <t>APPLETON WI , USA</t>
        </is>
      </c>
      <c r="I841" s="675" t="n">
        <v>13558</v>
      </c>
      <c r="J841" s="676" t="inlineStr">
        <is>
          <t>Km</t>
        </is>
      </c>
      <c r="K841" s="677" t="n">
        <v>3700</v>
      </c>
      <c r="L841" s="678">
        <f>M841-K841</f>
        <v/>
      </c>
      <c r="M841" s="1808" t="n">
        <v>22771.6</v>
      </c>
      <c r="N841" s="1809" t="n">
        <v>15602.4</v>
      </c>
      <c r="O841" s="670" t="n">
        <v>0</v>
      </c>
      <c r="P841" s="679" t="n">
        <v>100</v>
      </c>
    </row>
    <row r="842" ht="15.75" customHeight="1">
      <c r="A842" s="657" t="inlineStr">
        <is>
          <t>FO23120052</t>
        </is>
      </c>
      <c r="B842" s="626" t="n">
        <v>45279</v>
      </c>
      <c r="C842" s="625" t="inlineStr">
        <is>
          <t>มัลติแบกซ์</t>
        </is>
      </c>
      <c r="D842" s="625" t="inlineStr">
        <is>
          <t>ท่าเรือแหลมฉบัง</t>
        </is>
      </c>
      <c r="E842" s="627" t="n">
        <v>6.5</v>
      </c>
      <c r="F842" s="615" t="inlineStr">
        <is>
          <t>Km</t>
        </is>
      </c>
      <c r="G842" s="615" t="inlineStr">
        <is>
          <t>รถเทรลเลอร์</t>
        </is>
      </c>
      <c r="H842" s="669" t="inlineStr">
        <is>
          <t>UNIVERSITY PARK IL, USA</t>
        </is>
      </c>
      <c r="I842" s="629" t="n">
        <v>13877</v>
      </c>
      <c r="J842" s="651" t="inlineStr">
        <is>
          <t>Km</t>
        </is>
      </c>
      <c r="K842" s="630" t="n">
        <v>3870</v>
      </c>
      <c r="L842" s="640">
        <f>M842-K842</f>
        <v/>
      </c>
      <c r="M842" s="1797" t="n">
        <v>13644.2</v>
      </c>
      <c r="N842" s="1801" t="n">
        <v>6917.4</v>
      </c>
      <c r="O842" s="615" t="n">
        <v>0</v>
      </c>
      <c r="P842" s="641" t="n">
        <v>100</v>
      </c>
    </row>
    <row r="843" ht="15.75" customFormat="1" customHeight="1" s="680">
      <c r="A843" s="681" t="inlineStr">
        <is>
          <t>FO23120053</t>
        </is>
      </c>
      <c r="B843" s="671" t="n">
        <v>45281</v>
      </c>
      <c r="C843" s="672" t="inlineStr">
        <is>
          <t>มัลติแบกซ์</t>
        </is>
      </c>
      <c r="D843" s="672" t="inlineStr">
        <is>
          <t>ท่าเรือแหลมฉบัง</t>
        </is>
      </c>
      <c r="E843" s="673" t="n">
        <v>6.5</v>
      </c>
      <c r="F843" s="670" t="inlineStr">
        <is>
          <t>Km</t>
        </is>
      </c>
      <c r="G843" s="670" t="inlineStr">
        <is>
          <t>รถเทรลเลอร์</t>
        </is>
      </c>
      <c r="H843" s="674" t="inlineStr">
        <is>
          <t>UNIVERSITY PARK IL, USA</t>
        </is>
      </c>
      <c r="I843" s="675" t="n">
        <v>13877</v>
      </c>
      <c r="J843" s="676" t="inlineStr">
        <is>
          <t>Km</t>
        </is>
      </c>
      <c r="K843" s="677" t="n">
        <v>3900</v>
      </c>
      <c r="L843" s="678">
        <f>M843-K843</f>
        <v/>
      </c>
      <c r="M843" s="1808" t="n">
        <v>14113.4</v>
      </c>
      <c r="N843" s="1809" t="n">
        <v>7356.6</v>
      </c>
      <c r="O843" s="670" t="n">
        <v>0</v>
      </c>
      <c r="P843" s="679" t="n">
        <v>100</v>
      </c>
    </row>
    <row r="844" ht="15.75" customHeight="1">
      <c r="A844" s="657" t="inlineStr">
        <is>
          <t>FO23120054</t>
        </is>
      </c>
      <c r="B844" s="626" t="n">
        <v>45281</v>
      </c>
      <c r="C844" s="625" t="inlineStr">
        <is>
          <t>มัลติแบกซ์</t>
        </is>
      </c>
      <c r="D844" s="625" t="inlineStr">
        <is>
          <t>ท่าเรือแหลมฉบัง</t>
        </is>
      </c>
      <c r="E844" s="627" t="n">
        <v>6.5</v>
      </c>
      <c r="F844" s="615" t="inlineStr">
        <is>
          <t>Km</t>
        </is>
      </c>
      <c r="G844" s="615" t="inlineStr">
        <is>
          <t>รถเทรลเลอร์</t>
        </is>
      </c>
      <c r="H844" s="669" t="inlineStr">
        <is>
          <t>UNIVERSITY PARK IL, USA</t>
        </is>
      </c>
      <c r="I844" s="629" t="n">
        <v>13877</v>
      </c>
      <c r="J844" s="651" t="inlineStr">
        <is>
          <t>Km</t>
        </is>
      </c>
      <c r="K844" s="630" t="n">
        <v>3840</v>
      </c>
      <c r="L844" s="640">
        <f>M844-K844</f>
        <v/>
      </c>
      <c r="M844" s="1797" t="n">
        <v>14566</v>
      </c>
      <c r="N844" s="1801" t="n">
        <v>8196.200000000001</v>
      </c>
      <c r="O844" s="615" t="n">
        <v>0</v>
      </c>
      <c r="P844" s="641" t="n">
        <v>100</v>
      </c>
    </row>
    <row r="845" ht="15.75" customFormat="1" customHeight="1" s="680">
      <c r="A845" s="681" t="inlineStr">
        <is>
          <t>FO23120055</t>
        </is>
      </c>
      <c r="B845" s="671" t="n">
        <v>45280</v>
      </c>
      <c r="C845" s="672" t="inlineStr">
        <is>
          <t>มัลติแบกซ์</t>
        </is>
      </c>
      <c r="D845" s="672" t="inlineStr">
        <is>
          <t>ท่าเรือแหลมฉบัง</t>
        </is>
      </c>
      <c r="E845" s="673" t="n">
        <v>6.5</v>
      </c>
      <c r="F845" s="670" t="inlineStr">
        <is>
          <t>Km</t>
        </is>
      </c>
      <c r="G845" s="670" t="inlineStr">
        <is>
          <t>รถเทรลเลอร์</t>
        </is>
      </c>
      <c r="H845" s="674" t="inlineStr">
        <is>
          <t>UNIVERSITY PARK IL, USA</t>
        </is>
      </c>
      <c r="I845" s="675" t="n">
        <v>13877</v>
      </c>
      <c r="J845" s="676" t="inlineStr">
        <is>
          <t>Km</t>
        </is>
      </c>
      <c r="K845" s="677" t="n">
        <v>3860</v>
      </c>
      <c r="L845" s="678">
        <f>M845-K845</f>
        <v/>
      </c>
      <c r="M845" s="1808" t="n">
        <v>14049.8</v>
      </c>
      <c r="N845" s="1809" t="n">
        <v>7660</v>
      </c>
      <c r="O845" s="670" t="n">
        <v>0</v>
      </c>
      <c r="P845" s="679" t="n">
        <v>100</v>
      </c>
    </row>
    <row r="846" ht="15.75" customHeight="1">
      <c r="A846" s="657" t="inlineStr">
        <is>
          <t>FO23120056</t>
        </is>
      </c>
      <c r="B846" s="626" t="n">
        <v>45280</v>
      </c>
      <c r="C846" s="625" t="inlineStr">
        <is>
          <t>มัลติแบกซ์</t>
        </is>
      </c>
      <c r="D846" s="625" t="inlineStr">
        <is>
          <t>ท่าเรือแหลมฉบัง</t>
        </is>
      </c>
      <c r="E846" s="627" t="n">
        <v>6</v>
      </c>
      <c r="F846" s="615" t="inlineStr">
        <is>
          <t>Km</t>
        </is>
      </c>
      <c r="G846" s="615" t="inlineStr">
        <is>
          <t>รถเทรลเลอร์</t>
        </is>
      </c>
      <c r="H846" s="669" t="inlineStr">
        <is>
          <t>NAGOYA, JAPAN</t>
        </is>
      </c>
      <c r="I846" s="629" t="n">
        <v>4358</v>
      </c>
      <c r="J846" s="651" t="inlineStr">
        <is>
          <t>Km</t>
        </is>
      </c>
      <c r="K846" s="630" t="n">
        <v>2245</v>
      </c>
      <c r="L846" s="640">
        <f>M846-K846</f>
        <v/>
      </c>
      <c r="M846" s="1797" t="n">
        <v>7598.25</v>
      </c>
      <c r="N846" s="1801" t="n">
        <v>4242.94</v>
      </c>
      <c r="O846" s="615" t="n">
        <v>0</v>
      </c>
      <c r="P846" s="641" t="n">
        <v>100</v>
      </c>
    </row>
    <row r="847" ht="15.75" customFormat="1" customHeight="1" s="680">
      <c r="A847" s="681" t="inlineStr">
        <is>
          <t>FO23120057</t>
        </is>
      </c>
      <c r="B847" s="671" t="n">
        <v>45282</v>
      </c>
      <c r="C847" s="672" t="inlineStr">
        <is>
          <t>มัลติแบกซ์</t>
        </is>
      </c>
      <c r="D847" s="672" t="inlineStr">
        <is>
          <t>ท่าเรือแหลมฉบัง</t>
        </is>
      </c>
      <c r="E847" s="673" t="n">
        <v>3.6</v>
      </c>
      <c r="F847" s="670" t="inlineStr">
        <is>
          <t>Km</t>
        </is>
      </c>
      <c r="G847" s="670" t="inlineStr">
        <is>
          <t>รถเทรลเลอร์</t>
        </is>
      </c>
      <c r="H847" s="674" t="inlineStr">
        <is>
          <t>TOMAKOMAI, JAPAN</t>
        </is>
      </c>
      <c r="I847" s="675" t="n">
        <v>5092</v>
      </c>
      <c r="J847" s="676" t="inlineStr">
        <is>
          <t>Km</t>
        </is>
      </c>
      <c r="K847" s="677" t="n">
        <v>2200</v>
      </c>
      <c r="L847" s="678">
        <f>M847-K847</f>
        <v/>
      </c>
      <c r="M847" s="1808" t="n">
        <v>7536.4</v>
      </c>
      <c r="N847" s="1809" t="n">
        <v>4173.4</v>
      </c>
      <c r="O847" s="670" t="n">
        <v>0</v>
      </c>
      <c r="P847" s="679" t="n">
        <v>100</v>
      </c>
    </row>
    <row r="848" ht="15.75" customHeight="1">
      <c r="A848" s="657" t="inlineStr">
        <is>
          <t>FO23120058</t>
        </is>
      </c>
      <c r="B848" s="626" t="n">
        <v>45285</v>
      </c>
      <c r="C848" s="625" t="inlineStr">
        <is>
          <t>มัลติแบกซ์</t>
        </is>
      </c>
      <c r="D848" s="625" t="inlineStr">
        <is>
          <t>ท่าเรือแหลมฉบัง</t>
        </is>
      </c>
      <c r="E848" s="627" t="n">
        <v>3.6</v>
      </c>
      <c r="F848" s="615" t="inlineStr">
        <is>
          <t>Km</t>
        </is>
      </c>
      <c r="G848" s="615" t="inlineStr">
        <is>
          <t>รถเทรลเลอร์</t>
        </is>
      </c>
      <c r="H848" s="669" t="inlineStr">
        <is>
          <t>SENDAI, JAPAN</t>
        </is>
      </c>
      <c r="I848" s="629" t="n">
        <v>4823</v>
      </c>
      <c r="J848" s="651" t="inlineStr">
        <is>
          <t>Km</t>
        </is>
      </c>
      <c r="K848" s="627" t="n">
        <v>2180</v>
      </c>
      <c r="L848" s="640">
        <f>M848-K848</f>
        <v/>
      </c>
      <c r="M848" s="1797" t="n">
        <v>7560.1</v>
      </c>
      <c r="N848" s="1801" t="n">
        <v>4218.92</v>
      </c>
      <c r="O848" s="615" t="n">
        <v>0</v>
      </c>
      <c r="P848" s="641" t="n">
        <v>100</v>
      </c>
    </row>
    <row r="849" ht="15.75" customFormat="1" customHeight="1" s="680">
      <c r="A849" s="681" t="inlineStr">
        <is>
          <t>FO23120059</t>
        </is>
      </c>
      <c r="B849" s="671" t="n">
        <v>45279</v>
      </c>
      <c r="C849" s="672" t="inlineStr">
        <is>
          <t>มัลติแบกซ์</t>
        </is>
      </c>
      <c r="D849" s="672" t="inlineStr">
        <is>
          <t>ท่าเรือแหลมฉบัง</t>
        </is>
      </c>
      <c r="E849" s="673" t="n">
        <v>5.2</v>
      </c>
      <c r="F849" s="670" t="inlineStr">
        <is>
          <t>Km</t>
        </is>
      </c>
      <c r="G849" s="670" t="inlineStr">
        <is>
          <t>รถเทรลเลอร์</t>
        </is>
      </c>
      <c r="H849" s="674" t="inlineStr">
        <is>
          <t>MANZANILLO, MEXICO</t>
        </is>
      </c>
      <c r="I849" s="675" t="n">
        <v>15486</v>
      </c>
      <c r="J849" s="676" t="inlineStr">
        <is>
          <t>Km</t>
        </is>
      </c>
      <c r="K849" s="677" t="n">
        <v>3800</v>
      </c>
      <c r="L849" s="678">
        <f>M849-K849</f>
        <v/>
      </c>
      <c r="M849" s="1808" t="n">
        <v>14706.4</v>
      </c>
      <c r="N849" s="1809" t="n">
        <v>8324.879999999999</v>
      </c>
      <c r="O849" s="670" t="n">
        <v>0</v>
      </c>
      <c r="P849" s="679" t="n">
        <v>100</v>
      </c>
    </row>
    <row r="850" ht="15.75" customHeight="1">
      <c r="A850" s="657" t="inlineStr">
        <is>
          <t>FO23120060</t>
        </is>
      </c>
      <c r="B850" s="626" t="n">
        <v>45281</v>
      </c>
      <c r="C850" s="625" t="inlineStr">
        <is>
          <t>มัลติแบกซ์</t>
        </is>
      </c>
      <c r="D850" s="625" t="inlineStr">
        <is>
          <t>ท่าเรือแหลมฉบัง</t>
        </is>
      </c>
      <c r="E850" s="627" t="n">
        <v>6.2</v>
      </c>
      <c r="F850" s="615" t="inlineStr">
        <is>
          <t>Km</t>
        </is>
      </c>
      <c r="G850" s="615" t="inlineStr">
        <is>
          <t>รถเทรลเลอร์</t>
        </is>
      </c>
      <c r="H850" s="669" t="inlineStr">
        <is>
          <t>SANTA TERESA, NM USA</t>
        </is>
      </c>
      <c r="I850" s="629" t="n">
        <v>17387</v>
      </c>
      <c r="J850" s="651" t="inlineStr">
        <is>
          <t>Km</t>
        </is>
      </c>
      <c r="K850" s="630" t="n">
        <v>3860</v>
      </c>
      <c r="L850" s="640">
        <f>M850-K850</f>
        <v/>
      </c>
      <c r="M850" s="1797" t="n">
        <v>22909.16</v>
      </c>
      <c r="N850" s="1801" t="n">
        <v>16904.16</v>
      </c>
      <c r="O850" s="615" t="n">
        <v>0</v>
      </c>
      <c r="P850" s="641" t="n">
        <v>100</v>
      </c>
    </row>
    <row r="851" ht="15.75" customFormat="1" customHeight="1" s="680">
      <c r="A851" s="681" t="inlineStr">
        <is>
          <t>FO23120061</t>
        </is>
      </c>
      <c r="B851" s="671" t="n">
        <v>45280</v>
      </c>
      <c r="C851" s="672" t="inlineStr">
        <is>
          <t>มัลติแบกซ์</t>
        </is>
      </c>
      <c r="D851" s="672" t="inlineStr">
        <is>
          <t>ท่าเรือแหลมฉบัง</t>
        </is>
      </c>
      <c r="E851" s="673" t="n">
        <v>6.2</v>
      </c>
      <c r="F851" s="670" t="inlineStr">
        <is>
          <t>Km</t>
        </is>
      </c>
      <c r="G851" s="670" t="inlineStr">
        <is>
          <t>รถเทรลเลอร์</t>
        </is>
      </c>
      <c r="H851" s="674" t="inlineStr">
        <is>
          <t>MELBOURNE, AUSTRALIA</t>
        </is>
      </c>
      <c r="I851" s="675" t="n">
        <v>7283</v>
      </c>
      <c r="J851" s="676" t="inlineStr">
        <is>
          <t>Km</t>
        </is>
      </c>
      <c r="K851" s="677" t="n">
        <v>3700</v>
      </c>
      <c r="L851" s="678">
        <f>M851-K851</f>
        <v/>
      </c>
      <c r="M851" s="1808" t="n">
        <v>28342</v>
      </c>
      <c r="N851" s="1809" t="n">
        <v>20093</v>
      </c>
      <c r="O851" s="670" t="n">
        <v>0</v>
      </c>
      <c r="P851" s="679" t="n">
        <v>100</v>
      </c>
    </row>
    <row r="852" ht="15.75" customHeight="1">
      <c r="A852" s="657" t="inlineStr">
        <is>
          <t>FO23120062</t>
        </is>
      </c>
      <c r="B852" s="626" t="n">
        <v>45279</v>
      </c>
      <c r="C852" s="625" t="inlineStr">
        <is>
          <t>มัลติแบกซ์</t>
        </is>
      </c>
      <c r="D852" s="625" t="inlineStr">
        <is>
          <t>ท่าเรือแหลมฉบัง</t>
        </is>
      </c>
      <c r="E852" s="627" t="n">
        <v>5.2</v>
      </c>
      <c r="F852" s="615" t="inlineStr">
        <is>
          <t>Km</t>
        </is>
      </c>
      <c r="G852" s="615" t="inlineStr">
        <is>
          <t>รถเทรลเลอร์</t>
        </is>
      </c>
      <c r="H852" s="669" t="inlineStr">
        <is>
          <t>MANZANILLO, MEXICO</t>
        </is>
      </c>
      <c r="I852" s="629" t="n">
        <v>15486</v>
      </c>
      <c r="J852" s="651" t="inlineStr">
        <is>
          <t>Km</t>
        </is>
      </c>
      <c r="K852" s="630" t="n">
        <v>3700</v>
      </c>
      <c r="L852" s="640">
        <f>M852-K852</f>
        <v/>
      </c>
      <c r="M852" s="1797" t="n">
        <v>14288</v>
      </c>
      <c r="N852" s="1801" t="n">
        <v>7899</v>
      </c>
      <c r="O852" s="615" t="n">
        <v>0</v>
      </c>
      <c r="P852" s="641" t="n">
        <v>100</v>
      </c>
    </row>
    <row r="853" ht="15.75" customFormat="1" customHeight="1" s="680">
      <c r="A853" s="681" t="inlineStr">
        <is>
          <t>FO23120063</t>
        </is>
      </c>
      <c r="B853" s="671" t="n">
        <v>45282</v>
      </c>
      <c r="C853" s="672" t="inlineStr">
        <is>
          <t>มัลติแบกซ์</t>
        </is>
      </c>
      <c r="D853" s="672" t="inlineStr">
        <is>
          <t>ท่าเรือแหลมฉบัง</t>
        </is>
      </c>
      <c r="E853" s="673" t="n">
        <v>6.2</v>
      </c>
      <c r="F853" s="670" t="inlineStr">
        <is>
          <t>Km</t>
        </is>
      </c>
      <c r="G853" s="670" t="inlineStr">
        <is>
          <t>รถเทรลเลอร์</t>
        </is>
      </c>
      <c r="H853" s="674" t="inlineStr">
        <is>
          <t>CARROLLTON TX, USA</t>
        </is>
      </c>
      <c r="I853" s="675" t="n">
        <v>14544</v>
      </c>
      <c r="J853" s="676" t="inlineStr">
        <is>
          <t>Km</t>
        </is>
      </c>
      <c r="K853" s="677" t="n">
        <v>3800</v>
      </c>
      <c r="L853" s="678">
        <f>M853-K853</f>
        <v/>
      </c>
      <c r="M853" s="1808" t="n">
        <v>20162.8</v>
      </c>
      <c r="N853" s="1809" t="n">
        <v>14035</v>
      </c>
      <c r="O853" s="670" t="n">
        <v>0</v>
      </c>
      <c r="P853" s="679" t="n">
        <v>100</v>
      </c>
    </row>
    <row r="854" ht="15.75" customHeight="1">
      <c r="A854" s="657" t="inlineStr">
        <is>
          <t>FO23120064</t>
        </is>
      </c>
      <c r="B854" s="626" t="n">
        <v>45281</v>
      </c>
      <c r="C854" s="625" t="inlineStr">
        <is>
          <t>มัลติแบกซ์</t>
        </is>
      </c>
      <c r="D854" s="625" t="inlineStr">
        <is>
          <t>ท่าเรือแหลมฉบัง</t>
        </is>
      </c>
      <c r="E854" s="627" t="n">
        <v>6.2</v>
      </c>
      <c r="F854" s="615" t="inlineStr">
        <is>
          <t>Km</t>
        </is>
      </c>
      <c r="G854" s="615" t="inlineStr">
        <is>
          <t>รถเทรลเลอร์</t>
        </is>
      </c>
      <c r="H854" s="669" t="inlineStr">
        <is>
          <t>CARROLLTON TX, USA</t>
        </is>
      </c>
      <c r="I854" s="629" t="n">
        <v>14544</v>
      </c>
      <c r="J854" s="651" t="inlineStr">
        <is>
          <t>Km</t>
        </is>
      </c>
      <c r="K854" s="630" t="n">
        <v>3840</v>
      </c>
      <c r="L854" s="640">
        <f>M854-K854</f>
        <v/>
      </c>
      <c r="M854" s="1797" t="n">
        <v>20202.8</v>
      </c>
      <c r="N854" s="1801" t="n">
        <v>14035</v>
      </c>
      <c r="O854" s="615" t="n">
        <v>0</v>
      </c>
      <c r="P854" s="641" t="n">
        <v>100</v>
      </c>
    </row>
    <row r="855" ht="15.75" customFormat="1" customHeight="1" s="680">
      <c r="A855" s="681" t="inlineStr">
        <is>
          <t>FO23120065</t>
        </is>
      </c>
      <c r="B855" s="671" t="n">
        <v>45282</v>
      </c>
      <c r="C855" s="672" t="inlineStr">
        <is>
          <t>มัลติแบกซ์</t>
        </is>
      </c>
      <c r="D855" s="672" t="inlineStr">
        <is>
          <t>ท่าเรือแหลมฉบัง</t>
        </is>
      </c>
      <c r="E855" s="673" t="n">
        <v>6.5</v>
      </c>
      <c r="F855" s="670" t="inlineStr">
        <is>
          <t>Km</t>
        </is>
      </c>
      <c r="G855" s="670" t="inlineStr">
        <is>
          <t>รถเทรลเลอร์</t>
        </is>
      </c>
      <c r="H855" s="674" t="inlineStr">
        <is>
          <t>CARROLLTON TX, USA</t>
        </is>
      </c>
      <c r="I855" s="675" t="n">
        <v>14544</v>
      </c>
      <c r="J855" s="676" t="inlineStr">
        <is>
          <t>Km</t>
        </is>
      </c>
      <c r="K855" s="677" t="n">
        <v>3840</v>
      </c>
      <c r="L855" s="678">
        <f>M855-K855</f>
        <v/>
      </c>
      <c r="M855" s="1808" t="n">
        <v>22911.6</v>
      </c>
      <c r="N855" s="1809" t="n">
        <v>15602.4</v>
      </c>
      <c r="O855" s="670" t="n">
        <v>0</v>
      </c>
      <c r="P855" s="679" t="n">
        <v>100</v>
      </c>
    </row>
    <row r="856" ht="15.75" customHeight="1">
      <c r="A856" s="657" t="inlineStr">
        <is>
          <t>FO23120066</t>
        </is>
      </c>
      <c r="B856" s="626" t="n">
        <v>45282</v>
      </c>
      <c r="C856" s="625" t="inlineStr">
        <is>
          <t>มัลติแบกซ์</t>
        </is>
      </c>
      <c r="D856" s="625" t="inlineStr">
        <is>
          <t>ท่าเรือแหลมฉบัง</t>
        </is>
      </c>
      <c r="E856" s="627" t="n">
        <v>6.2</v>
      </c>
      <c r="F856" s="615" t="inlineStr">
        <is>
          <t>Km</t>
        </is>
      </c>
      <c r="G856" s="615" t="inlineStr">
        <is>
          <t>รถเทรลเลอร์</t>
        </is>
      </c>
      <c r="H856" s="669" t="inlineStr">
        <is>
          <t>LOUISVILLE KY, USA</t>
        </is>
      </c>
      <c r="I856" s="629" t="n">
        <v>14253</v>
      </c>
      <c r="J856" s="651" t="inlineStr">
        <is>
          <t>Km</t>
        </is>
      </c>
      <c r="K856" s="630" t="n">
        <v>3700</v>
      </c>
      <c r="L856" s="640">
        <f>M856-K856</f>
        <v/>
      </c>
      <c r="M856" s="1812" t="n">
        <v>14565.66</v>
      </c>
      <c r="N856" s="1801" t="n">
        <v>8109.74</v>
      </c>
      <c r="O856" s="615" t="n">
        <v>0</v>
      </c>
      <c r="P856" s="641" t="n">
        <v>100</v>
      </c>
    </row>
    <row r="857" ht="15.75" customFormat="1" customHeight="1" s="680">
      <c r="A857" s="681" t="inlineStr">
        <is>
          <t>FO23120067</t>
        </is>
      </c>
      <c r="B857" s="671" t="n">
        <v>45283</v>
      </c>
      <c r="C857" s="672" t="inlineStr">
        <is>
          <t>มัลติแบกซ์</t>
        </is>
      </c>
      <c r="D857" s="672" t="inlineStr">
        <is>
          <t>ท่าเรือแหลมฉบัง</t>
        </is>
      </c>
      <c r="E857" s="673" t="n">
        <v>6.5</v>
      </c>
      <c r="F857" s="670" t="inlineStr">
        <is>
          <t>Km</t>
        </is>
      </c>
      <c r="G857" s="670" t="inlineStr">
        <is>
          <t>รถเทรลเลอร์</t>
        </is>
      </c>
      <c r="H857" s="674" t="inlineStr">
        <is>
          <t>PERRIS CA, USA</t>
        </is>
      </c>
      <c r="I857" s="675" t="n">
        <v>13413</v>
      </c>
      <c r="J857" s="676" t="inlineStr">
        <is>
          <t>Km</t>
        </is>
      </c>
      <c r="K857" s="677" t="n">
        <v>3700</v>
      </c>
      <c r="L857" s="678">
        <f>M857-K857</f>
        <v/>
      </c>
      <c r="M857" s="1808" t="n">
        <v>16260</v>
      </c>
      <c r="N857" s="1809" t="n">
        <v>9747.4</v>
      </c>
      <c r="O857" s="670" t="n">
        <v>0</v>
      </c>
      <c r="P857" s="679" t="n">
        <v>100</v>
      </c>
    </row>
    <row r="858" ht="15.75" customHeight="1">
      <c r="A858" s="625" t="inlineStr">
        <is>
          <t>FO23120068</t>
        </is>
      </c>
      <c r="B858" s="626" t="n">
        <v>45285</v>
      </c>
      <c r="C858" s="625" t="inlineStr">
        <is>
          <t>มัลติแบกซ์</t>
        </is>
      </c>
      <c r="D858" s="625" t="inlineStr">
        <is>
          <t>ท่าเรือแหลมฉบัง</t>
        </is>
      </c>
      <c r="E858" s="627" t="n">
        <v>6.5</v>
      </c>
      <c r="F858" s="615" t="inlineStr">
        <is>
          <t>Km</t>
        </is>
      </c>
      <c r="G858" s="615" t="inlineStr">
        <is>
          <t>รถเทรลเลอร์</t>
        </is>
      </c>
      <c r="H858" s="669" t="inlineStr">
        <is>
          <t>PERRIS CA, USA</t>
        </is>
      </c>
      <c r="I858" s="629" t="n">
        <v>13413</v>
      </c>
      <c r="J858" s="651" t="inlineStr">
        <is>
          <t>Km</t>
        </is>
      </c>
      <c r="K858" s="627" t="n">
        <v>3750</v>
      </c>
      <c r="L858" s="640">
        <f>M858-K858</f>
        <v/>
      </c>
      <c r="M858" s="1797" t="n">
        <v>20112.8</v>
      </c>
      <c r="N858" s="1801" t="n">
        <v>14035</v>
      </c>
      <c r="O858" s="615" t="n">
        <v>0</v>
      </c>
      <c r="P858" s="641" t="n">
        <v>100</v>
      </c>
    </row>
    <row r="859" ht="15.75" customFormat="1" customHeight="1" s="680">
      <c r="A859" s="681" t="inlineStr">
        <is>
          <t>FO23120069</t>
        </is>
      </c>
      <c r="B859" s="671" t="n">
        <v>45281</v>
      </c>
      <c r="C859" s="672" t="inlineStr">
        <is>
          <t>มัลติแบกซ์</t>
        </is>
      </c>
      <c r="D859" s="672" t="inlineStr">
        <is>
          <t>ท่าเรือแหลมฉบัง</t>
        </is>
      </c>
      <c r="E859" s="673" t="n">
        <v>6.2</v>
      </c>
      <c r="F859" s="670" t="inlineStr">
        <is>
          <t>Km</t>
        </is>
      </c>
      <c r="G859" s="670" t="inlineStr">
        <is>
          <t>รถเทรลเลอร์</t>
        </is>
      </c>
      <c r="H859" s="674" t="inlineStr">
        <is>
          <t>SYDNEY, AUSTRALIA</t>
        </is>
      </c>
      <c r="I859" s="675" t="n">
        <v>7448</v>
      </c>
      <c r="J859" s="676" t="inlineStr">
        <is>
          <t>Km</t>
        </is>
      </c>
      <c r="K859" s="677" t="n">
        <v>3890</v>
      </c>
      <c r="L859" s="678">
        <f>M859-K859</f>
        <v/>
      </c>
      <c r="M859" s="1808" t="n">
        <v>27792</v>
      </c>
      <c r="N859" s="1809" t="n">
        <v>16992</v>
      </c>
      <c r="O859" s="670" t="n">
        <v>0</v>
      </c>
      <c r="P859" s="679" t="n">
        <v>100</v>
      </c>
    </row>
    <row r="860" ht="15.75" customHeight="1">
      <c r="A860" s="657" t="inlineStr">
        <is>
          <t>FO23120070</t>
        </is>
      </c>
      <c r="B860" s="626" t="n">
        <v>45280</v>
      </c>
      <c r="C860" s="625" t="inlineStr">
        <is>
          <t>มัลติแบกซ์</t>
        </is>
      </c>
      <c r="D860" s="625" t="inlineStr">
        <is>
          <t>ท่าเรือแหลมฉบัง</t>
        </is>
      </c>
      <c r="E860" s="627" t="n">
        <v>6.2</v>
      </c>
      <c r="F860" s="615" t="inlineStr">
        <is>
          <t>Km</t>
        </is>
      </c>
      <c r="G860" s="615" t="inlineStr">
        <is>
          <t>รถเทรลเลอร์</t>
        </is>
      </c>
      <c r="H860" s="669" t="inlineStr">
        <is>
          <t>SYDNEY, AUSTRALIA</t>
        </is>
      </c>
      <c r="I860" s="629" t="n">
        <v>7448</v>
      </c>
      <c r="J860" s="651" t="inlineStr">
        <is>
          <t>Km</t>
        </is>
      </c>
      <c r="K860" s="630" t="n">
        <v>3900</v>
      </c>
      <c r="L860" s="640">
        <f>M860-K860</f>
        <v/>
      </c>
      <c r="M860" s="1797" t="n">
        <v>23252</v>
      </c>
      <c r="N860" s="1801" t="n">
        <v>15181.5</v>
      </c>
      <c r="O860" s="615" t="n">
        <v>0</v>
      </c>
      <c r="P860" s="641" t="n">
        <v>100</v>
      </c>
    </row>
    <row r="861" ht="15.75" customFormat="1" customHeight="1" s="680">
      <c r="A861" s="681" t="inlineStr">
        <is>
          <t>FO23120071</t>
        </is>
      </c>
      <c r="B861" s="671" t="n">
        <v>45280</v>
      </c>
      <c r="C861" s="672" t="inlineStr">
        <is>
          <t>มัลติแบกซ์</t>
        </is>
      </c>
      <c r="D861" s="672" t="inlineStr">
        <is>
          <t>ท่าเรือแหลมฉบัง</t>
        </is>
      </c>
      <c r="E861" s="673" t="n">
        <v>6.2</v>
      </c>
      <c r="F861" s="670" t="inlineStr">
        <is>
          <t>Km</t>
        </is>
      </c>
      <c r="G861" s="670" t="inlineStr">
        <is>
          <t>รถเทรลเลอร์</t>
        </is>
      </c>
      <c r="H861" s="674" t="inlineStr">
        <is>
          <t>SYDNEY, AUSTRALIA</t>
        </is>
      </c>
      <c r="I861" s="675" t="n">
        <v>7448</v>
      </c>
      <c r="J861" s="676" t="inlineStr">
        <is>
          <t>Km</t>
        </is>
      </c>
      <c r="K861" s="677" t="n">
        <v>3850</v>
      </c>
      <c r="L861" s="678">
        <f>M861-K861</f>
        <v/>
      </c>
      <c r="M861" s="1808" t="n">
        <v>28582</v>
      </c>
      <c r="N861" s="1809" t="n">
        <v>21189.5</v>
      </c>
      <c r="O861" s="670" t="n">
        <v>0</v>
      </c>
      <c r="P861" s="679" t="n">
        <v>100</v>
      </c>
    </row>
    <row r="862" ht="15.75" customHeight="1">
      <c r="A862" s="657" t="inlineStr">
        <is>
          <t>FO23120072</t>
        </is>
      </c>
      <c r="B862" s="626" t="n">
        <v>45280</v>
      </c>
      <c r="C862" s="625" t="inlineStr">
        <is>
          <t>มัลติแบกซ์</t>
        </is>
      </c>
      <c r="D862" s="625" t="inlineStr">
        <is>
          <t>ท่าเรือแหลมฉบัง</t>
        </is>
      </c>
      <c r="E862" s="627" t="n">
        <v>6.2</v>
      </c>
      <c r="F862" s="615" t="inlineStr">
        <is>
          <t>Km</t>
        </is>
      </c>
      <c r="G862" s="615" t="inlineStr">
        <is>
          <t>รถเทรลเลอร์</t>
        </is>
      </c>
      <c r="H862" s="669" t="inlineStr">
        <is>
          <t>SYDNEY, AUSTRALIA</t>
        </is>
      </c>
      <c r="I862" s="629" t="n">
        <v>7448</v>
      </c>
      <c r="J862" s="651" t="inlineStr">
        <is>
          <t>Km</t>
        </is>
      </c>
      <c r="K862" s="630" t="n">
        <v>3680</v>
      </c>
      <c r="L862" s="640">
        <f>M862-K862</f>
        <v/>
      </c>
      <c r="M862" s="1797" t="n">
        <v>28687</v>
      </c>
      <c r="N862" s="1801" t="n">
        <v>21405</v>
      </c>
      <c r="O862" s="615" t="n">
        <v>0</v>
      </c>
      <c r="P862" s="641" t="n">
        <v>100</v>
      </c>
    </row>
    <row r="863" ht="15.75" customFormat="1" customHeight="1" s="680">
      <c r="A863" s="681" t="inlineStr">
        <is>
          <t>FO23120073</t>
        </is>
      </c>
      <c r="B863" s="671" t="n">
        <v>45280</v>
      </c>
      <c r="C863" s="672" t="inlineStr">
        <is>
          <t>มัลติแบกซ์</t>
        </is>
      </c>
      <c r="D863" s="672" t="inlineStr">
        <is>
          <t>ท่าเรือแหลมฉบัง</t>
        </is>
      </c>
      <c r="E863" s="673" t="n">
        <v>6.2</v>
      </c>
      <c r="F863" s="670" t="inlineStr">
        <is>
          <t>Km</t>
        </is>
      </c>
      <c r="G863" s="670" t="inlineStr">
        <is>
          <t>รถเทรลเลอร์</t>
        </is>
      </c>
      <c r="H863" s="674" t="inlineStr">
        <is>
          <t>SYDNEY, AUSTRALIA</t>
        </is>
      </c>
      <c r="I863" s="675" t="n">
        <v>7448</v>
      </c>
      <c r="J863" s="676" t="inlineStr">
        <is>
          <t>Km</t>
        </is>
      </c>
      <c r="K863" s="677" t="n">
        <v>3750</v>
      </c>
      <c r="L863" s="678">
        <f>M863-K863</f>
        <v/>
      </c>
      <c r="M863" s="1808" t="n">
        <v>15952</v>
      </c>
      <c r="N863" s="1809" t="n">
        <v>6797.5</v>
      </c>
      <c r="O863" s="670" t="n">
        <v>0</v>
      </c>
      <c r="P863" s="679" t="n">
        <v>100</v>
      </c>
    </row>
    <row r="864" ht="15.75" customHeight="1">
      <c r="A864" s="657" t="inlineStr">
        <is>
          <t>FO23120074</t>
        </is>
      </c>
      <c r="B864" s="626" t="n">
        <v>45281</v>
      </c>
      <c r="C864" s="625" t="inlineStr">
        <is>
          <t>มัลติแบกซ์</t>
        </is>
      </c>
      <c r="D864" s="625" t="inlineStr">
        <is>
          <t>ท่าเรือแหลมฉบัง</t>
        </is>
      </c>
      <c r="E864" s="627" t="n">
        <v>6.2</v>
      </c>
      <c r="F864" s="615" t="inlineStr">
        <is>
          <t>Km</t>
        </is>
      </c>
      <c r="G864" s="615" t="inlineStr">
        <is>
          <t>รถเทรลเลอร์</t>
        </is>
      </c>
      <c r="H864" s="669" t="inlineStr">
        <is>
          <t>SYDNEY, AUSTRALIA</t>
        </is>
      </c>
      <c r="I864" s="629" t="n">
        <v>7448</v>
      </c>
      <c r="J864" s="651" t="inlineStr">
        <is>
          <t>Km</t>
        </is>
      </c>
      <c r="K864" s="630" t="n">
        <v>3750</v>
      </c>
      <c r="L864" s="640">
        <f>M864-K864</f>
        <v/>
      </c>
      <c r="M864" s="1797" t="n">
        <v>22977</v>
      </c>
      <c r="N864" s="1801" t="n">
        <v>14621</v>
      </c>
      <c r="O864" s="615" t="n">
        <v>0</v>
      </c>
      <c r="P864" s="641" t="n">
        <v>100</v>
      </c>
    </row>
    <row r="865" ht="15.75" customFormat="1" customHeight="1" s="680">
      <c r="A865" s="681" t="inlineStr">
        <is>
          <t>FO23120075</t>
        </is>
      </c>
      <c r="B865" s="671" t="n">
        <v>45282</v>
      </c>
      <c r="C865" s="672" t="inlineStr">
        <is>
          <t>มัลติแบกซ์</t>
        </is>
      </c>
      <c r="D865" s="672" t="inlineStr">
        <is>
          <t>ท่าเรือแหลมฉบัง</t>
        </is>
      </c>
      <c r="E865" s="673" t="n">
        <v>6</v>
      </c>
      <c r="F865" s="670" t="inlineStr">
        <is>
          <t>Km</t>
        </is>
      </c>
      <c r="G865" s="670" t="inlineStr">
        <is>
          <t>รถเทรลเลอร์</t>
        </is>
      </c>
      <c r="H865" s="674" t="inlineStr">
        <is>
          <t>JEBEL ALI, UAE</t>
        </is>
      </c>
      <c r="I865" s="675" t="n">
        <v>4972</v>
      </c>
      <c r="J865" s="676" t="inlineStr">
        <is>
          <t>Km</t>
        </is>
      </c>
      <c r="K865" s="677" t="n">
        <v>2210</v>
      </c>
      <c r="L865" s="678">
        <f>M865-K865</f>
        <v/>
      </c>
      <c r="M865" s="1808" t="n">
        <v>7899.66</v>
      </c>
      <c r="N865" s="1809" t="n">
        <v>4646.82</v>
      </c>
      <c r="O865" s="670" t="n">
        <v>0</v>
      </c>
      <c r="P865" s="679" t="n">
        <v>100</v>
      </c>
    </row>
    <row r="866" ht="15.75" customHeight="1">
      <c r="A866" s="657" t="inlineStr">
        <is>
          <t>FO23120076</t>
        </is>
      </c>
      <c r="B866" s="626" t="n">
        <v>45285</v>
      </c>
      <c r="C866" s="625" t="inlineStr">
        <is>
          <t>มัลติแบกซ์</t>
        </is>
      </c>
      <c r="D866" s="625" t="inlineStr">
        <is>
          <t>ท่าเรือแหลมฉบัง</t>
        </is>
      </c>
      <c r="E866" s="627" t="n">
        <v>6</v>
      </c>
      <c r="F866" s="615" t="inlineStr">
        <is>
          <t>Km</t>
        </is>
      </c>
      <c r="G866" s="615" t="inlineStr">
        <is>
          <t>รถเทรลเลอร์</t>
        </is>
      </c>
      <c r="H866" s="669" t="inlineStr">
        <is>
          <t>HAMAD, QATAR</t>
        </is>
      </c>
      <c r="I866" s="629" t="n">
        <v>5317</v>
      </c>
      <c r="J866" s="651" t="inlineStr">
        <is>
          <t>Km</t>
        </is>
      </c>
      <c r="K866" s="627" t="n">
        <v>2245</v>
      </c>
      <c r="L866" s="640">
        <f>M866-K866</f>
        <v/>
      </c>
      <c r="M866" s="1797" t="n">
        <v>6039.72</v>
      </c>
      <c r="N866" s="1801" t="n">
        <v>2768.85</v>
      </c>
      <c r="O866" s="615" t="n">
        <v>0</v>
      </c>
      <c r="P866" s="641" t="n">
        <v>100</v>
      </c>
    </row>
    <row r="867" ht="15.75" customHeight="1">
      <c r="A867" s="635" t="n"/>
      <c r="B867" s="635" t="n"/>
      <c r="C867" s="635" t="n"/>
      <c r="D867" s="635" t="n"/>
      <c r="E867" s="634" t="n"/>
      <c r="F867" s="631" t="n"/>
      <c r="G867" s="631" t="n"/>
      <c r="H867" s="635" t="n"/>
      <c r="I867" s="687" t="n"/>
      <c r="J867" s="635" t="n"/>
      <c r="K867" s="634" t="n"/>
      <c r="L867" s="635" t="n"/>
      <c r="M867" s="634" t="n"/>
      <c r="N867" s="631" t="n"/>
      <c r="O867" s="635" t="n"/>
      <c r="P867" s="635" t="n"/>
    </row>
    <row r="868" ht="15.75" customHeight="1">
      <c r="A868" s="628" t="n"/>
      <c r="B868" s="628" t="n"/>
      <c r="C868" s="628" t="n"/>
      <c r="D868" s="628" t="n"/>
      <c r="E868" s="627" t="n"/>
      <c r="F868" s="625" t="n"/>
      <c r="G868" s="625" t="n"/>
      <c r="H868" s="628" t="n"/>
      <c r="I868" s="688" t="n"/>
      <c r="J868" s="628" t="n"/>
      <c r="K868" s="627" t="n"/>
      <c r="L868" s="628" t="n"/>
      <c r="M868" s="627" t="n"/>
      <c r="N868" s="625" t="n"/>
      <c r="O868" s="628" t="n"/>
      <c r="P868" s="628" t="n"/>
    </row>
    <row r="869" ht="15.75" customHeight="1">
      <c r="A869" s="635" t="n"/>
      <c r="B869" s="635" t="n"/>
      <c r="C869" s="635" t="n"/>
      <c r="D869" s="635" t="n"/>
      <c r="E869" s="634" t="n"/>
      <c r="F869" s="631" t="n"/>
      <c r="G869" s="631" t="n"/>
      <c r="H869" s="635" t="n"/>
      <c r="I869" s="687" t="n"/>
      <c r="J869" s="635" t="n"/>
      <c r="K869" s="634" t="n"/>
      <c r="L869" s="635" t="n"/>
      <c r="M869" s="634" t="n"/>
      <c r="N869" s="631" t="n"/>
      <c r="O869" s="635" t="n"/>
      <c r="P869" s="635" t="n"/>
    </row>
    <row r="870" ht="15.75" customHeight="1">
      <c r="A870" s="628" t="n"/>
      <c r="B870" s="628" t="n"/>
      <c r="C870" s="628" t="n"/>
      <c r="D870" s="628" t="n"/>
      <c r="E870" s="627" t="n"/>
      <c r="F870" s="625" t="n"/>
      <c r="G870" s="625" t="n"/>
      <c r="H870" s="628" t="n"/>
      <c r="I870" s="688" t="n"/>
      <c r="J870" s="628" t="n"/>
      <c r="K870" s="627" t="n"/>
      <c r="L870" s="628" t="n"/>
      <c r="M870" s="627" t="n"/>
      <c r="N870" s="625" t="n"/>
      <c r="O870" s="628" t="n"/>
      <c r="P870" s="628" t="n"/>
    </row>
    <row r="871" ht="15.75" customHeight="1">
      <c r="A871" s="635" t="n"/>
      <c r="B871" s="635" t="n"/>
      <c r="C871" s="635" t="n"/>
      <c r="D871" s="635" t="n"/>
      <c r="E871" s="634" t="n"/>
      <c r="F871" s="631" t="n"/>
      <c r="G871" s="631" t="n"/>
      <c r="H871" s="635" t="n"/>
      <c r="I871" s="687" t="n"/>
      <c r="J871" s="635" t="n"/>
      <c r="K871" s="634" t="n"/>
      <c r="L871" s="635" t="n"/>
      <c r="M871" s="634" t="n"/>
      <c r="N871" s="631" t="n"/>
      <c r="O871" s="635" t="n"/>
      <c r="P871" s="635" t="n"/>
    </row>
    <row r="872" ht="15.75" customHeight="1">
      <c r="A872" s="628" t="n"/>
      <c r="B872" s="628" t="n"/>
      <c r="C872" s="628" t="n"/>
      <c r="D872" s="628" t="n"/>
      <c r="E872" s="627" t="n"/>
      <c r="F872" s="625" t="n"/>
      <c r="G872" s="625" t="n"/>
      <c r="H872" s="628" t="n"/>
      <c r="I872" s="688" t="n"/>
      <c r="J872" s="628" t="n"/>
      <c r="K872" s="627" t="n"/>
      <c r="L872" s="628" t="n"/>
      <c r="M872" s="627" t="n"/>
      <c r="N872" s="625" t="n"/>
      <c r="O872" s="628" t="n"/>
      <c r="P872" s="628" t="n"/>
    </row>
    <row r="873" ht="15.75" customHeight="1">
      <c r="A873" s="635" t="n"/>
      <c r="B873" s="635" t="n"/>
      <c r="C873" s="635" t="n"/>
      <c r="D873" s="635" t="n"/>
      <c r="E873" s="634" t="n"/>
      <c r="F873" s="631" t="n"/>
      <c r="G873" s="631" t="n"/>
      <c r="H873" s="635" t="n"/>
      <c r="I873" s="687" t="n"/>
      <c r="J873" s="635" t="n"/>
      <c r="K873" s="634" t="n"/>
      <c r="L873" s="635" t="n"/>
      <c r="M873" s="634" t="n"/>
      <c r="N873" s="631" t="n"/>
      <c r="O873" s="635" t="n"/>
      <c r="P873" s="635" t="n"/>
    </row>
    <row r="874" ht="15.75" customHeight="1">
      <c r="A874" s="628" t="n"/>
      <c r="B874" s="628" t="n"/>
      <c r="C874" s="628" t="n"/>
      <c r="D874" s="628" t="n"/>
      <c r="E874" s="627" t="n"/>
      <c r="F874" s="625" t="n"/>
      <c r="G874" s="625" t="n"/>
      <c r="H874" s="628" t="n"/>
      <c r="I874" s="688" t="n"/>
      <c r="J874" s="628" t="n"/>
      <c r="K874" s="627" t="n"/>
      <c r="L874" s="628" t="n"/>
      <c r="M874" s="627" t="n"/>
      <c r="N874" s="625" t="n"/>
      <c r="O874" s="628" t="n"/>
      <c r="P874" s="628" t="n"/>
    </row>
    <row r="875" ht="15.75" customHeight="1">
      <c r="A875" s="635" t="n"/>
      <c r="B875" s="635" t="n"/>
      <c r="C875" s="635" t="n"/>
      <c r="D875" s="635" t="n"/>
      <c r="E875" s="634" t="n"/>
      <c r="F875" s="631" t="n"/>
      <c r="G875" s="631" t="n"/>
      <c r="H875" s="635" t="n"/>
      <c r="I875" s="687" t="n"/>
      <c r="J875" s="635" t="n"/>
      <c r="K875" s="634" t="n"/>
      <c r="L875" s="635" t="n"/>
      <c r="M875" s="634" t="n"/>
      <c r="N875" s="631" t="n"/>
      <c r="O875" s="635" t="n"/>
      <c r="P875" s="635" t="n"/>
    </row>
    <row r="876" ht="15.75" customHeight="1">
      <c r="A876" s="628" t="n"/>
      <c r="B876" s="628" t="n"/>
      <c r="C876" s="628" t="n"/>
      <c r="D876" s="628" t="n"/>
      <c r="E876" s="627" t="n"/>
      <c r="F876" s="625" t="n"/>
      <c r="G876" s="625" t="n"/>
      <c r="H876" s="628" t="n"/>
      <c r="I876" s="688" t="n"/>
      <c r="J876" s="628" t="n"/>
      <c r="K876" s="627" t="n"/>
      <c r="L876" s="628" t="n"/>
      <c r="M876" s="627" t="n"/>
      <c r="N876" s="625" t="n"/>
      <c r="O876" s="628" t="n"/>
      <c r="P876" s="628" t="n"/>
    </row>
    <row r="877" ht="15.75" customHeight="1">
      <c r="A877" s="635" t="n"/>
      <c r="B877" s="635" t="n"/>
      <c r="C877" s="635" t="n"/>
      <c r="D877" s="635" t="n"/>
      <c r="E877" s="634" t="n"/>
      <c r="F877" s="631" t="n"/>
      <c r="G877" s="631" t="n"/>
      <c r="H877" s="635" t="n"/>
      <c r="I877" s="687" t="n"/>
      <c r="J877" s="635" t="n"/>
      <c r="K877" s="634" t="n"/>
      <c r="L877" s="635" t="n"/>
      <c r="M877" s="634" t="n"/>
      <c r="N877" s="631" t="n"/>
      <c r="O877" s="635" t="n"/>
      <c r="P877" s="635" t="n"/>
    </row>
    <row r="878" ht="15.75" customHeight="1">
      <c r="A878" s="628" t="n"/>
      <c r="B878" s="628" t="n"/>
      <c r="C878" s="628" t="n"/>
      <c r="D878" s="628" t="n"/>
      <c r="E878" s="627" t="n"/>
      <c r="F878" s="625" t="n"/>
      <c r="G878" s="625" t="n"/>
      <c r="H878" s="628" t="n"/>
      <c r="I878" s="688" t="n"/>
      <c r="J878" s="628" t="n"/>
      <c r="K878" s="627" t="n"/>
      <c r="L878" s="628" t="n"/>
      <c r="M878" s="627" t="n"/>
      <c r="N878" s="625" t="n"/>
      <c r="O878" s="628" t="n"/>
      <c r="P878" s="628" t="n"/>
    </row>
    <row r="879" ht="15.75" customHeight="1">
      <c r="A879" s="635" t="n"/>
      <c r="B879" s="635" t="n"/>
      <c r="C879" s="635" t="n"/>
      <c r="D879" s="635" t="n"/>
      <c r="E879" s="634" t="n"/>
      <c r="F879" s="631" t="n"/>
      <c r="G879" s="631" t="n"/>
      <c r="H879" s="635" t="n"/>
      <c r="I879" s="687" t="n"/>
      <c r="J879" s="635" t="n"/>
      <c r="K879" s="634" t="n"/>
      <c r="L879" s="635" t="n"/>
      <c r="M879" s="634" t="n"/>
      <c r="N879" s="631" t="n"/>
      <c r="O879" s="635" t="n"/>
      <c r="P879" s="635" t="n"/>
    </row>
    <row r="880" ht="15.75" customHeight="1">
      <c r="A880" s="628" t="n"/>
      <c r="B880" s="628" t="n"/>
      <c r="C880" s="628" t="n"/>
      <c r="D880" s="628" t="n"/>
      <c r="E880" s="627" t="n"/>
      <c r="F880" s="625" t="n"/>
      <c r="G880" s="625" t="n"/>
      <c r="H880" s="628" t="n"/>
      <c r="I880" s="688" t="n"/>
      <c r="J880" s="628" t="n"/>
      <c r="K880" s="627" t="n"/>
      <c r="L880" s="628" t="n"/>
      <c r="M880" s="627" t="n"/>
      <c r="N880" s="625" t="n"/>
      <c r="O880" s="628" t="n"/>
      <c r="P880" s="628" t="n"/>
    </row>
    <row r="881" ht="15.75" customHeight="1">
      <c r="A881" s="635" t="n"/>
      <c r="B881" s="635" t="n"/>
      <c r="C881" s="635" t="n"/>
      <c r="D881" s="635" t="n"/>
      <c r="E881" s="634" t="n"/>
      <c r="F881" s="631" t="n"/>
      <c r="G881" s="631" t="n"/>
      <c r="H881" s="635" t="n"/>
      <c r="I881" s="687" t="n"/>
      <c r="J881" s="635" t="n"/>
      <c r="K881" s="634" t="n"/>
      <c r="L881" s="635" t="n"/>
      <c r="M881" s="634" t="n"/>
      <c r="N881" s="631" t="n"/>
      <c r="O881" s="635" t="n"/>
      <c r="P881" s="635" t="n"/>
    </row>
    <row r="882" ht="15.75" customHeight="1">
      <c r="A882" s="628" t="n"/>
      <c r="B882" s="628" t="n"/>
      <c r="C882" s="628" t="n"/>
      <c r="D882" s="628" t="n"/>
      <c r="E882" s="627" t="n"/>
      <c r="F882" s="625" t="n"/>
      <c r="G882" s="625" t="n"/>
      <c r="H882" s="628" t="n"/>
      <c r="I882" s="688" t="n"/>
      <c r="J882" s="628" t="n"/>
      <c r="K882" s="627" t="n"/>
      <c r="L882" s="628" t="n"/>
      <c r="M882" s="627" t="n"/>
      <c r="N882" s="625" t="n"/>
      <c r="O882" s="628" t="n"/>
      <c r="P882" s="628" t="n"/>
    </row>
    <row r="883" ht="15.75" customHeight="1">
      <c r="A883" s="635" t="n"/>
      <c r="B883" s="635" t="n"/>
      <c r="C883" s="635" t="n"/>
      <c r="D883" s="635" t="n"/>
      <c r="E883" s="634" t="n"/>
      <c r="F883" s="631" t="n"/>
      <c r="G883" s="631" t="n"/>
      <c r="H883" s="635" t="n"/>
      <c r="I883" s="687" t="n"/>
      <c r="J883" s="635" t="n"/>
      <c r="K883" s="634" t="n"/>
      <c r="L883" s="635" t="n"/>
      <c r="M883" s="634" t="n"/>
      <c r="N883" s="631" t="n"/>
      <c r="O883" s="635" t="n"/>
      <c r="P883" s="635" t="n"/>
    </row>
    <row r="884" ht="15.75" customHeight="1">
      <c r="A884" s="628" t="n"/>
      <c r="B884" s="628" t="n"/>
      <c r="C884" s="628" t="n"/>
      <c r="D884" s="628" t="n"/>
      <c r="E884" s="627" t="n"/>
      <c r="F884" s="625" t="n"/>
      <c r="G884" s="625" t="n"/>
      <c r="H884" s="628" t="n"/>
      <c r="I884" s="688" t="n"/>
      <c r="J884" s="628" t="n"/>
      <c r="K884" s="627" t="n"/>
      <c r="L884" s="628" t="n"/>
      <c r="M884" s="627" t="n"/>
      <c r="N884" s="625" t="n"/>
      <c r="O884" s="628" t="n"/>
      <c r="P884" s="628" t="n"/>
    </row>
    <row r="885" ht="15.75" customHeight="1">
      <c r="A885" s="635" t="n"/>
      <c r="B885" s="635" t="n"/>
      <c r="C885" s="635" t="n"/>
      <c r="D885" s="635" t="n"/>
      <c r="E885" s="634" t="n"/>
      <c r="F885" s="631" t="n"/>
      <c r="G885" s="631" t="n"/>
      <c r="H885" s="635" t="n"/>
      <c r="I885" s="687" t="n"/>
      <c r="J885" s="635" t="n"/>
      <c r="K885" s="634" t="n"/>
      <c r="L885" s="635" t="n"/>
      <c r="M885" s="634" t="n"/>
      <c r="N885" s="631" t="n"/>
      <c r="O885" s="635" t="n"/>
      <c r="P885" s="635" t="n"/>
    </row>
    <row r="886" ht="15.75" customHeight="1">
      <c r="A886" s="628" t="n"/>
      <c r="B886" s="628" t="n"/>
      <c r="C886" s="628" t="n"/>
      <c r="D886" s="628" t="n"/>
      <c r="E886" s="627" t="n"/>
      <c r="F886" s="625" t="n"/>
      <c r="G886" s="625" t="n"/>
      <c r="H886" s="628" t="n"/>
      <c r="I886" s="688" t="n"/>
      <c r="J886" s="628" t="n"/>
      <c r="K886" s="627" t="n"/>
      <c r="L886" s="628" t="n"/>
      <c r="M886" s="627" t="n"/>
      <c r="N886" s="625" t="n"/>
      <c r="O886" s="628" t="n"/>
      <c r="P886" s="628" t="n"/>
    </row>
    <row r="887" ht="15.75" customHeight="1">
      <c r="A887" s="635" t="n"/>
      <c r="B887" s="635" t="n"/>
      <c r="C887" s="635" t="n"/>
      <c r="D887" s="635" t="n"/>
      <c r="E887" s="634" t="n"/>
      <c r="F887" s="631" t="n"/>
      <c r="G887" s="631" t="n"/>
      <c r="H887" s="635" t="n"/>
      <c r="I887" s="687" t="n"/>
      <c r="J887" s="635" t="n"/>
      <c r="K887" s="634" t="n"/>
      <c r="L887" s="635" t="n"/>
      <c r="M887" s="634" t="n"/>
      <c r="N887" s="631" t="n"/>
      <c r="O887" s="635" t="n"/>
      <c r="P887" s="635" t="n"/>
    </row>
    <row r="888" ht="15.75" customHeight="1">
      <c r="A888" s="628" t="n"/>
      <c r="B888" s="628" t="n"/>
      <c r="C888" s="628" t="n"/>
      <c r="D888" s="628" t="n"/>
      <c r="E888" s="627" t="n"/>
      <c r="F888" s="625" t="n"/>
      <c r="G888" s="625" t="n"/>
      <c r="H888" s="628" t="n"/>
      <c r="I888" s="688" t="n"/>
      <c r="J888" s="628" t="n"/>
      <c r="K888" s="627" t="n"/>
      <c r="L888" s="628" t="n"/>
      <c r="M888" s="627" t="n"/>
      <c r="N888" s="625" t="n"/>
      <c r="O888" s="628" t="n"/>
      <c r="P888" s="628" t="n"/>
    </row>
    <row r="889" ht="15.75" customHeight="1">
      <c r="A889" s="635" t="n"/>
      <c r="B889" s="635" t="n"/>
      <c r="C889" s="635" t="n"/>
      <c r="D889" s="635" t="n"/>
      <c r="E889" s="634" t="n"/>
      <c r="F889" s="631" t="n"/>
      <c r="G889" s="631" t="n"/>
      <c r="H889" s="635" t="n"/>
      <c r="I889" s="687" t="n"/>
      <c r="J889" s="635" t="n"/>
      <c r="K889" s="634" t="n"/>
      <c r="L889" s="635" t="n"/>
      <c r="M889" s="634" t="n"/>
      <c r="N889" s="631" t="n"/>
      <c r="O889" s="635" t="n"/>
      <c r="P889" s="635" t="n"/>
    </row>
    <row r="890" ht="15.75" customHeight="1">
      <c r="A890" s="628" t="n"/>
      <c r="B890" s="628" t="n"/>
      <c r="C890" s="628" t="n"/>
      <c r="D890" s="628" t="n"/>
      <c r="E890" s="627" t="n"/>
      <c r="F890" s="625" t="n"/>
      <c r="G890" s="625" t="n"/>
      <c r="H890" s="628" t="n"/>
      <c r="I890" s="688" t="n"/>
      <c r="J890" s="628" t="n"/>
      <c r="K890" s="627" t="n"/>
      <c r="L890" s="628" t="n"/>
      <c r="M890" s="627" t="n"/>
      <c r="N890" s="625" t="n"/>
      <c r="O890" s="628" t="n"/>
      <c r="P890" s="628" t="n"/>
    </row>
    <row r="891" ht="15.75" customHeight="1">
      <c r="A891" s="635" t="n"/>
      <c r="B891" s="635" t="n"/>
      <c r="C891" s="635" t="n"/>
      <c r="D891" s="635" t="n"/>
      <c r="E891" s="634" t="n"/>
      <c r="F891" s="631" t="n"/>
      <c r="G891" s="631" t="n"/>
      <c r="H891" s="635" t="n"/>
      <c r="I891" s="687" t="n"/>
      <c r="J891" s="635" t="n"/>
      <c r="K891" s="634" t="n"/>
      <c r="L891" s="635" t="n"/>
      <c r="M891" s="634" t="n"/>
      <c r="N891" s="631" t="n"/>
      <c r="O891" s="635" t="n"/>
      <c r="P891" s="635" t="n"/>
    </row>
    <row r="892" ht="15.75" customHeight="1">
      <c r="A892" s="628" t="n"/>
      <c r="B892" s="628" t="n"/>
      <c r="C892" s="628" t="n"/>
      <c r="D892" s="628" t="n"/>
      <c r="E892" s="627" t="n"/>
      <c r="F892" s="625" t="n"/>
      <c r="G892" s="625" t="n"/>
      <c r="H892" s="628" t="n"/>
      <c r="I892" s="688" t="n"/>
      <c r="J892" s="628" t="n"/>
      <c r="K892" s="627" t="n"/>
      <c r="L892" s="628" t="n"/>
      <c r="M892" s="627" t="n"/>
      <c r="N892" s="625" t="n"/>
      <c r="O892" s="628" t="n"/>
      <c r="P892" s="628" t="n"/>
    </row>
    <row r="893" ht="15.75" customHeight="1">
      <c r="A893" s="635" t="n"/>
      <c r="B893" s="635" t="n"/>
      <c r="C893" s="635" t="n"/>
      <c r="D893" s="635" t="n"/>
      <c r="E893" s="634" t="n"/>
      <c r="F893" s="631" t="n"/>
      <c r="G893" s="631" t="n"/>
      <c r="H893" s="635" t="n"/>
      <c r="I893" s="687" t="n"/>
      <c r="J893" s="635" t="n"/>
      <c r="K893" s="634" t="n"/>
      <c r="L893" s="635" t="n"/>
      <c r="M893" s="634" t="n"/>
      <c r="N893" s="631" t="n"/>
      <c r="O893" s="635" t="n"/>
      <c r="P893" s="635" t="n"/>
    </row>
    <row r="894" ht="15.75" customHeight="1">
      <c r="A894" s="628" t="n"/>
      <c r="B894" s="628" t="n"/>
      <c r="C894" s="628" t="n"/>
      <c r="D894" s="628" t="n"/>
      <c r="E894" s="627" t="n"/>
      <c r="F894" s="625" t="n"/>
      <c r="G894" s="625" t="n"/>
      <c r="H894" s="628" t="n"/>
      <c r="I894" s="688" t="n"/>
      <c r="J894" s="628" t="n"/>
      <c r="K894" s="627" t="n"/>
      <c r="L894" s="628" t="n"/>
      <c r="M894" s="627" t="n"/>
      <c r="N894" s="625" t="n"/>
      <c r="O894" s="628" t="n"/>
      <c r="P894" s="628" t="n"/>
    </row>
    <row r="895" ht="15.75" customHeight="1">
      <c r="A895" s="635" t="n"/>
      <c r="B895" s="635" t="n"/>
      <c r="C895" s="635" t="n"/>
      <c r="D895" s="635" t="n"/>
      <c r="E895" s="634" t="n"/>
      <c r="F895" s="631" t="n"/>
      <c r="G895" s="631" t="n"/>
      <c r="H895" s="635" t="n"/>
      <c r="I895" s="687" t="n"/>
      <c r="J895" s="635" t="n"/>
      <c r="K895" s="634" t="n"/>
      <c r="L895" s="635" t="n"/>
      <c r="M895" s="634" t="n"/>
      <c r="N895" s="631" t="n"/>
      <c r="O895" s="635" t="n"/>
      <c r="P895" s="635" t="n"/>
    </row>
    <row r="896" ht="15.75" customHeight="1">
      <c r="A896" s="628" t="n"/>
      <c r="B896" s="628" t="n"/>
      <c r="C896" s="628" t="n"/>
      <c r="D896" s="628" t="n"/>
      <c r="E896" s="627" t="n"/>
      <c r="F896" s="625" t="n"/>
      <c r="G896" s="625" t="n"/>
      <c r="H896" s="628" t="n"/>
      <c r="I896" s="688" t="n"/>
      <c r="J896" s="628" t="n"/>
      <c r="K896" s="627" t="n"/>
      <c r="L896" s="628" t="n"/>
      <c r="M896" s="627" t="n"/>
      <c r="N896" s="625" t="n"/>
      <c r="O896" s="628" t="n"/>
      <c r="P896" s="628" t="n"/>
    </row>
    <row r="897" ht="15.75" customHeight="1">
      <c r="A897" s="635" t="n"/>
      <c r="B897" s="635" t="n"/>
      <c r="C897" s="635" t="n"/>
      <c r="D897" s="635" t="n"/>
      <c r="E897" s="634" t="n"/>
      <c r="F897" s="631" t="n"/>
      <c r="G897" s="631" t="n"/>
      <c r="H897" s="635" t="n"/>
      <c r="I897" s="687" t="n"/>
      <c r="J897" s="635" t="n"/>
      <c r="K897" s="634" t="n"/>
      <c r="L897" s="635" t="n"/>
      <c r="M897" s="634" t="n"/>
      <c r="N897" s="631" t="n"/>
      <c r="O897" s="635" t="n"/>
      <c r="P897" s="635" t="n"/>
    </row>
    <row r="898" ht="15.75" customHeight="1">
      <c r="A898" s="628" t="n"/>
      <c r="B898" s="628" t="n"/>
      <c r="C898" s="628" t="n"/>
      <c r="D898" s="628" t="n"/>
      <c r="E898" s="627" t="n"/>
      <c r="F898" s="625" t="n"/>
      <c r="G898" s="625" t="n"/>
      <c r="H898" s="628" t="n"/>
      <c r="I898" s="688" t="n"/>
      <c r="J898" s="628" t="n"/>
      <c r="K898" s="627" t="n"/>
      <c r="L898" s="628" t="n"/>
      <c r="M898" s="627" t="n"/>
      <c r="N898" s="625" t="n"/>
      <c r="O898" s="628" t="n"/>
      <c r="P898" s="628" t="n"/>
    </row>
    <row r="899" ht="15.75" customHeight="1">
      <c r="A899" s="635" t="n"/>
      <c r="B899" s="635" t="n"/>
      <c r="C899" s="635" t="n"/>
      <c r="D899" s="635" t="n"/>
      <c r="E899" s="634" t="n"/>
      <c r="F899" s="631" t="n"/>
      <c r="G899" s="631" t="n"/>
      <c r="H899" s="635" t="n"/>
      <c r="I899" s="687" t="n"/>
      <c r="J899" s="635" t="n"/>
      <c r="K899" s="634" t="n"/>
      <c r="L899" s="635" t="n"/>
      <c r="M899" s="634" t="n"/>
      <c r="N899" s="631" t="n"/>
      <c r="O899" s="635" t="n"/>
      <c r="P899" s="635" t="n"/>
    </row>
    <row r="900" ht="15.75" customHeight="1">
      <c r="A900" s="628" t="n"/>
      <c r="B900" s="628" t="n"/>
      <c r="C900" s="628" t="n"/>
      <c r="D900" s="628" t="n"/>
      <c r="E900" s="627" t="n"/>
      <c r="F900" s="625" t="n"/>
      <c r="G900" s="625" t="n"/>
      <c r="H900" s="628" t="n"/>
      <c r="I900" s="688" t="n"/>
      <c r="J900" s="628" t="n"/>
      <c r="K900" s="627" t="n"/>
      <c r="L900" s="628" t="n"/>
      <c r="M900" s="627" t="n"/>
      <c r="N900" s="625" t="n"/>
      <c r="O900" s="628" t="n"/>
      <c r="P900" s="628" t="n"/>
    </row>
    <row r="901" ht="15.75" customHeight="1">
      <c r="A901" s="635" t="n"/>
      <c r="B901" s="635" t="n"/>
      <c r="C901" s="635" t="n"/>
      <c r="D901" s="635" t="n"/>
      <c r="E901" s="634" t="n"/>
      <c r="F901" s="631" t="n"/>
      <c r="G901" s="631" t="n"/>
      <c r="H901" s="635" t="n"/>
      <c r="I901" s="687" t="n"/>
      <c r="J901" s="635" t="n"/>
      <c r="K901" s="634" t="n"/>
      <c r="L901" s="635" t="n"/>
      <c r="M901" s="634" t="n"/>
      <c r="N901" s="631" t="n"/>
      <c r="O901" s="635" t="n"/>
      <c r="P901" s="635" t="n"/>
    </row>
    <row r="902" ht="15.75" customHeight="1">
      <c r="A902" s="628" t="n"/>
      <c r="B902" s="628" t="n"/>
      <c r="C902" s="628" t="n"/>
      <c r="D902" s="628" t="n"/>
      <c r="E902" s="627" t="n"/>
      <c r="F902" s="625" t="n"/>
      <c r="G902" s="625" t="n"/>
      <c r="H902" s="628" t="n"/>
      <c r="I902" s="688" t="n"/>
      <c r="J902" s="628" t="n"/>
      <c r="K902" s="627" t="n"/>
      <c r="L902" s="628" t="n"/>
      <c r="M902" s="627" t="n"/>
      <c r="N902" s="625" t="n"/>
      <c r="O902" s="628" t="n"/>
      <c r="P902" s="628" t="n"/>
    </row>
    <row r="903" ht="15.75" customHeight="1">
      <c r="A903" s="635" t="n"/>
      <c r="B903" s="635" t="n"/>
      <c r="C903" s="635" t="n"/>
      <c r="D903" s="635" t="n"/>
      <c r="E903" s="634" t="n"/>
      <c r="F903" s="631" t="n"/>
      <c r="G903" s="631" t="n"/>
      <c r="H903" s="635" t="n"/>
      <c r="I903" s="687" t="n"/>
      <c r="J903" s="635" t="n"/>
      <c r="K903" s="634" t="n"/>
      <c r="L903" s="635" t="n"/>
      <c r="M903" s="634" t="n"/>
      <c r="N903" s="631" t="n"/>
      <c r="O903" s="635" t="n"/>
      <c r="P903" s="635" t="n"/>
    </row>
    <row r="904" ht="15.75" customHeight="1">
      <c r="A904" s="628" t="n"/>
      <c r="B904" s="628" t="n"/>
      <c r="C904" s="628" t="n"/>
      <c r="D904" s="628" t="n"/>
      <c r="E904" s="627" t="n"/>
      <c r="F904" s="625" t="n"/>
      <c r="G904" s="625" t="n"/>
      <c r="H904" s="628" t="n"/>
      <c r="I904" s="688" t="n"/>
      <c r="J904" s="628" t="n"/>
      <c r="K904" s="627" t="n"/>
      <c r="L904" s="628" t="n"/>
      <c r="M904" s="627" t="n"/>
      <c r="N904" s="625" t="n"/>
      <c r="O904" s="628" t="n"/>
      <c r="P904" s="628" t="n"/>
    </row>
    <row r="905" ht="15.75" customHeight="1">
      <c r="A905" s="635" t="n"/>
      <c r="B905" s="635" t="n"/>
      <c r="C905" s="635" t="n"/>
      <c r="D905" s="635" t="n"/>
      <c r="E905" s="634" t="n"/>
      <c r="F905" s="631" t="n"/>
      <c r="G905" s="631" t="n"/>
      <c r="H905" s="635" t="n"/>
      <c r="I905" s="687" t="n"/>
      <c r="J905" s="635" t="n"/>
      <c r="K905" s="634" t="n"/>
      <c r="L905" s="635" t="n"/>
      <c r="M905" s="634" t="n"/>
      <c r="N905" s="631" t="n"/>
      <c r="O905" s="635" t="n"/>
      <c r="P905" s="635" t="n"/>
    </row>
    <row r="906" ht="15.75" customHeight="1">
      <c r="A906" s="628" t="n"/>
      <c r="B906" s="628" t="n"/>
      <c r="C906" s="628" t="n"/>
      <c r="D906" s="628" t="n"/>
      <c r="E906" s="627" t="n"/>
      <c r="F906" s="625" t="n"/>
      <c r="G906" s="625" t="n"/>
      <c r="H906" s="628" t="n"/>
      <c r="I906" s="688" t="n"/>
      <c r="J906" s="628" t="n"/>
      <c r="K906" s="627" t="n"/>
      <c r="L906" s="628" t="n"/>
      <c r="M906" s="627" t="n"/>
      <c r="N906" s="625" t="n"/>
      <c r="O906" s="628" t="n"/>
      <c r="P906" s="628" t="n"/>
    </row>
    <row r="907" ht="15.75" customHeight="1">
      <c r="A907" s="635" t="n"/>
      <c r="B907" s="635" t="n"/>
      <c r="C907" s="635" t="n"/>
      <c r="D907" s="635" t="n"/>
      <c r="E907" s="634" t="n"/>
      <c r="F907" s="631" t="n"/>
      <c r="G907" s="631" t="n"/>
      <c r="H907" s="635" t="n"/>
      <c r="I907" s="687" t="n"/>
      <c r="J907" s="635" t="n"/>
      <c r="K907" s="634" t="n"/>
      <c r="L907" s="635" t="n"/>
      <c r="M907" s="634" t="n"/>
      <c r="N907" s="631" t="n"/>
      <c r="O907" s="635" t="n"/>
      <c r="P907" s="635" t="n"/>
    </row>
    <row r="908" ht="15.75" customHeight="1">
      <c r="A908" s="628" t="n"/>
      <c r="B908" s="628" t="n"/>
      <c r="C908" s="628" t="n"/>
      <c r="D908" s="628" t="n"/>
      <c r="E908" s="627" t="n"/>
      <c r="F908" s="625" t="n"/>
      <c r="G908" s="625" t="n"/>
      <c r="H908" s="628" t="n"/>
      <c r="I908" s="688" t="n"/>
      <c r="J908" s="628" t="n"/>
      <c r="K908" s="627" t="n"/>
      <c r="L908" s="628" t="n"/>
      <c r="M908" s="627" t="n"/>
      <c r="N908" s="625" t="n"/>
      <c r="O908" s="628" t="n"/>
      <c r="P908" s="628" t="n"/>
    </row>
    <row r="909" ht="15.75" customHeight="1">
      <c r="A909" s="635" t="n"/>
      <c r="B909" s="635" t="n"/>
      <c r="C909" s="635" t="n"/>
      <c r="D909" s="635" t="n"/>
      <c r="E909" s="634" t="n"/>
      <c r="F909" s="631" t="n"/>
      <c r="G909" s="631" t="n"/>
      <c r="H909" s="635" t="n"/>
      <c r="I909" s="687" t="n"/>
      <c r="J909" s="635" t="n"/>
      <c r="K909" s="634" t="n"/>
      <c r="L909" s="635" t="n"/>
      <c r="M909" s="634" t="n"/>
      <c r="N909" s="631" t="n"/>
      <c r="O909" s="635" t="n"/>
      <c r="P909" s="635" t="n"/>
    </row>
    <row r="910" ht="15.75" customHeight="1">
      <c r="A910" s="628" t="n"/>
      <c r="B910" s="628" t="n"/>
      <c r="C910" s="628" t="n"/>
      <c r="D910" s="628" t="n"/>
      <c r="E910" s="627" t="n"/>
      <c r="F910" s="625" t="n"/>
      <c r="G910" s="625" t="n"/>
      <c r="H910" s="628" t="n"/>
      <c r="I910" s="688" t="n"/>
      <c r="J910" s="628" t="n"/>
      <c r="K910" s="627" t="n"/>
      <c r="L910" s="628" t="n"/>
      <c r="M910" s="627" t="n"/>
      <c r="N910" s="625" t="n"/>
      <c r="O910" s="628" t="n"/>
      <c r="P910" s="628" t="n"/>
    </row>
    <row r="911" ht="15.75" customHeight="1">
      <c r="A911" s="635" t="n"/>
      <c r="B911" s="635" t="n"/>
      <c r="C911" s="635" t="n"/>
      <c r="D911" s="635" t="n"/>
      <c r="E911" s="634" t="n"/>
      <c r="F911" s="631" t="n"/>
      <c r="G911" s="631" t="n"/>
      <c r="H911" s="635" t="n"/>
      <c r="I911" s="687" t="n"/>
      <c r="J911" s="635" t="n"/>
      <c r="K911" s="634" t="n"/>
      <c r="L911" s="635" t="n"/>
      <c r="M911" s="634" t="n"/>
      <c r="N911" s="631" t="n"/>
      <c r="O911" s="635" t="n"/>
      <c r="P911" s="635" t="n"/>
    </row>
    <row r="912" ht="15.75" customHeight="1">
      <c r="A912" s="628" t="n"/>
      <c r="B912" s="628" t="n"/>
      <c r="C912" s="628" t="n"/>
      <c r="D912" s="628" t="n"/>
      <c r="E912" s="627" t="n"/>
      <c r="F912" s="625" t="n"/>
      <c r="G912" s="625" t="n"/>
      <c r="H912" s="628" t="n"/>
      <c r="I912" s="688" t="n"/>
      <c r="J912" s="628" t="n"/>
      <c r="K912" s="627" t="n"/>
      <c r="L912" s="628" t="n"/>
      <c r="M912" s="627" t="n"/>
      <c r="N912" s="625" t="n"/>
      <c r="O912" s="628" t="n"/>
      <c r="P912" s="628" t="n"/>
    </row>
    <row r="913" ht="15.75" customHeight="1">
      <c r="A913" s="635" t="n"/>
      <c r="B913" s="635" t="n"/>
      <c r="C913" s="635" t="n"/>
      <c r="D913" s="635" t="n"/>
      <c r="E913" s="634" t="n"/>
      <c r="F913" s="631" t="n"/>
      <c r="G913" s="631" t="n"/>
      <c r="H913" s="635" t="n"/>
      <c r="I913" s="687" t="n"/>
      <c r="J913" s="635" t="n"/>
      <c r="K913" s="634" t="n"/>
      <c r="L913" s="635" t="n"/>
      <c r="M913" s="634" t="n"/>
      <c r="N913" s="631" t="n"/>
      <c r="O913" s="635" t="n"/>
      <c r="P913" s="635" t="n"/>
    </row>
    <row r="914" ht="15.75" customHeight="1">
      <c r="A914" s="628" t="n"/>
      <c r="B914" s="628" t="n"/>
      <c r="C914" s="628" t="n"/>
      <c r="D914" s="628" t="n"/>
      <c r="E914" s="627" t="n"/>
      <c r="F914" s="625" t="n"/>
      <c r="G914" s="625" t="n"/>
      <c r="H914" s="628" t="n"/>
      <c r="I914" s="688" t="n"/>
      <c r="J914" s="628" t="n"/>
      <c r="K914" s="627" t="n"/>
      <c r="L914" s="628" t="n"/>
      <c r="M914" s="627" t="n"/>
      <c r="N914" s="625" t="n"/>
      <c r="O914" s="628" t="n"/>
      <c r="P914" s="628" t="n"/>
    </row>
    <row r="915" ht="15.75" customHeight="1">
      <c r="A915" s="635" t="n"/>
      <c r="B915" s="635" t="n"/>
      <c r="C915" s="635" t="n"/>
      <c r="D915" s="635" t="n"/>
      <c r="E915" s="634" t="n"/>
      <c r="F915" s="631" t="n"/>
      <c r="G915" s="631" t="n"/>
      <c r="H915" s="635" t="n"/>
      <c r="I915" s="687" t="n"/>
      <c r="J915" s="635" t="n"/>
      <c r="K915" s="634" t="n"/>
      <c r="L915" s="635" t="n"/>
      <c r="M915" s="634" t="n"/>
      <c r="N915" s="631" t="n"/>
      <c r="O915" s="635" t="n"/>
      <c r="P915" s="635" t="n"/>
    </row>
    <row r="916" ht="15.75" customHeight="1">
      <c r="A916" s="628" t="n"/>
      <c r="B916" s="628" t="n"/>
      <c r="C916" s="628" t="n"/>
      <c r="D916" s="628" t="n"/>
      <c r="E916" s="627" t="n"/>
      <c r="F916" s="625" t="n"/>
      <c r="G916" s="625" t="n"/>
      <c r="H916" s="628" t="n"/>
      <c r="I916" s="688" t="n"/>
      <c r="J916" s="628" t="n"/>
      <c r="K916" s="627" t="n"/>
      <c r="L916" s="628" t="n"/>
      <c r="M916" s="627" t="n"/>
      <c r="N916" s="625" t="n"/>
      <c r="O916" s="628" t="n"/>
      <c r="P916" s="628" t="n"/>
    </row>
    <row r="917" ht="15.75" customHeight="1">
      <c r="A917" s="635" t="n"/>
      <c r="B917" s="635" t="n"/>
      <c r="C917" s="635" t="n"/>
      <c r="D917" s="635" t="n"/>
      <c r="E917" s="634" t="n"/>
      <c r="F917" s="631" t="n"/>
      <c r="G917" s="631" t="n"/>
      <c r="H917" s="635" t="n"/>
      <c r="I917" s="687" t="n"/>
      <c r="J917" s="635" t="n"/>
      <c r="K917" s="634" t="n"/>
      <c r="L917" s="635" t="n"/>
      <c r="M917" s="634" t="n"/>
      <c r="N917" s="631" t="n"/>
      <c r="O917" s="635" t="n"/>
      <c r="P917" s="635" t="n"/>
    </row>
    <row r="918" ht="15.75" customHeight="1">
      <c r="A918" s="628" t="n"/>
      <c r="B918" s="628" t="n"/>
      <c r="C918" s="628" t="n"/>
      <c r="D918" s="628" t="n"/>
      <c r="E918" s="627" t="n"/>
      <c r="F918" s="625" t="n"/>
      <c r="G918" s="625" t="n"/>
      <c r="H918" s="628" t="n"/>
      <c r="I918" s="688" t="n"/>
      <c r="J918" s="628" t="n"/>
      <c r="K918" s="627" t="n"/>
      <c r="L918" s="628" t="n"/>
      <c r="M918" s="627" t="n"/>
      <c r="N918" s="625" t="n"/>
      <c r="O918" s="628" t="n"/>
      <c r="P918" s="628" t="n"/>
    </row>
    <row r="919" ht="15.75" customHeight="1">
      <c r="A919" s="635" t="n"/>
      <c r="B919" s="635" t="n"/>
      <c r="C919" s="635" t="n"/>
      <c r="D919" s="635" t="n"/>
      <c r="E919" s="634" t="n"/>
      <c r="F919" s="631" t="n"/>
      <c r="G919" s="631" t="n"/>
      <c r="H919" s="635" t="n"/>
      <c r="I919" s="687" t="n"/>
      <c r="J919" s="635" t="n"/>
      <c r="K919" s="634" t="n"/>
      <c r="L919" s="635" t="n"/>
      <c r="M919" s="634" t="n"/>
      <c r="N919" s="631" t="n"/>
      <c r="O919" s="635" t="n"/>
      <c r="P919" s="635" t="n"/>
    </row>
    <row r="920" ht="15.75" customHeight="1">
      <c r="A920" s="628" t="n"/>
      <c r="B920" s="628" t="n"/>
      <c r="C920" s="628" t="n"/>
      <c r="D920" s="628" t="n"/>
      <c r="E920" s="627" t="n"/>
      <c r="F920" s="625" t="n"/>
      <c r="G920" s="625" t="n"/>
      <c r="H920" s="628" t="n"/>
      <c r="I920" s="688" t="n"/>
      <c r="J920" s="628" t="n"/>
      <c r="K920" s="627" t="n"/>
      <c r="L920" s="628" t="n"/>
      <c r="M920" s="627" t="n"/>
      <c r="N920" s="625" t="n"/>
      <c r="O920" s="628" t="n"/>
      <c r="P920" s="628" t="n"/>
    </row>
    <row r="921" ht="15.75" customHeight="1">
      <c r="A921" s="635" t="n"/>
      <c r="B921" s="635" t="n"/>
      <c r="C921" s="635" t="n"/>
      <c r="D921" s="635" t="n"/>
      <c r="E921" s="634" t="n"/>
      <c r="F921" s="631" t="n"/>
      <c r="G921" s="631" t="n"/>
      <c r="H921" s="635" t="n"/>
      <c r="I921" s="687" t="n"/>
      <c r="J921" s="635" t="n"/>
      <c r="K921" s="634" t="n"/>
      <c r="L921" s="635" t="n"/>
      <c r="M921" s="634" t="n"/>
      <c r="N921" s="631" t="n"/>
      <c r="O921" s="635" t="n"/>
      <c r="P921" s="635" t="n"/>
    </row>
    <row r="922" ht="15.75" customHeight="1">
      <c r="A922" s="628" t="n"/>
      <c r="B922" s="628" t="n"/>
      <c r="C922" s="628" t="n"/>
      <c r="D922" s="628" t="n"/>
      <c r="E922" s="627" t="n"/>
      <c r="F922" s="625" t="n"/>
      <c r="G922" s="625" t="n"/>
      <c r="H922" s="628" t="n"/>
      <c r="I922" s="688" t="n"/>
      <c r="J922" s="628" t="n"/>
      <c r="K922" s="627" t="n"/>
      <c r="L922" s="628" t="n"/>
      <c r="M922" s="627" t="n"/>
      <c r="N922" s="625" t="n"/>
      <c r="O922" s="628" t="n"/>
      <c r="P922" s="628" t="n"/>
    </row>
    <row r="923" ht="15.75" customHeight="1">
      <c r="A923" s="635" t="n"/>
      <c r="B923" s="635" t="n"/>
      <c r="C923" s="635" t="n"/>
      <c r="D923" s="635" t="n"/>
      <c r="E923" s="634" t="n"/>
      <c r="F923" s="631" t="n"/>
      <c r="G923" s="631" t="n"/>
      <c r="H923" s="635" t="n"/>
      <c r="I923" s="687" t="n"/>
      <c r="J923" s="635" t="n"/>
      <c r="K923" s="634" t="n"/>
      <c r="L923" s="635" t="n"/>
      <c r="M923" s="634" t="n"/>
      <c r="N923" s="631" t="n"/>
      <c r="O923" s="635" t="n"/>
      <c r="P923" s="635" t="n"/>
    </row>
    <row r="924" ht="15.75" customHeight="1">
      <c r="A924" s="628" t="n"/>
      <c r="B924" s="628" t="n"/>
      <c r="C924" s="628" t="n"/>
      <c r="D924" s="628" t="n"/>
      <c r="E924" s="627" t="n"/>
      <c r="F924" s="625" t="n"/>
      <c r="G924" s="625" t="n"/>
      <c r="H924" s="628" t="n"/>
      <c r="I924" s="688" t="n"/>
      <c r="J924" s="628" t="n"/>
      <c r="K924" s="627" t="n"/>
      <c r="L924" s="628" t="n"/>
      <c r="M924" s="627" t="n"/>
      <c r="N924" s="625" t="n"/>
      <c r="O924" s="628" t="n"/>
      <c r="P924" s="628" t="n"/>
    </row>
    <row r="925" ht="15.75" customHeight="1">
      <c r="A925" s="635" t="n"/>
      <c r="B925" s="635" t="n"/>
      <c r="C925" s="635" t="n"/>
      <c r="D925" s="635" t="n"/>
      <c r="E925" s="634" t="n"/>
      <c r="F925" s="631" t="n"/>
      <c r="G925" s="631" t="n"/>
      <c r="H925" s="635" t="n"/>
      <c r="I925" s="687" t="n"/>
      <c r="J925" s="635" t="n"/>
      <c r="K925" s="634" t="n"/>
      <c r="L925" s="635" t="n"/>
      <c r="M925" s="634" t="n"/>
      <c r="N925" s="631" t="n"/>
      <c r="O925" s="635" t="n"/>
      <c r="P925" s="635" t="n"/>
    </row>
    <row r="926" ht="15.75" customHeight="1">
      <c r="A926" s="628" t="n"/>
      <c r="B926" s="628" t="n"/>
      <c r="C926" s="628" t="n"/>
      <c r="D926" s="628" t="n"/>
      <c r="E926" s="627" t="n"/>
      <c r="F926" s="625" t="n"/>
      <c r="G926" s="625" t="n"/>
      <c r="H926" s="628" t="n"/>
      <c r="I926" s="688" t="n"/>
      <c r="J926" s="628" t="n"/>
      <c r="K926" s="627" t="n"/>
      <c r="L926" s="628" t="n"/>
      <c r="M926" s="627" t="n"/>
      <c r="N926" s="625" t="n"/>
      <c r="O926" s="628" t="n"/>
      <c r="P926" s="628" t="n"/>
    </row>
    <row r="927" ht="15.75" customHeight="1">
      <c r="A927" s="635" t="n"/>
      <c r="B927" s="635" t="n"/>
      <c r="C927" s="635" t="n"/>
      <c r="D927" s="635" t="n"/>
      <c r="E927" s="634" t="n"/>
      <c r="F927" s="631" t="n"/>
      <c r="G927" s="631" t="n"/>
      <c r="H927" s="635" t="n"/>
      <c r="I927" s="687" t="n"/>
      <c r="J927" s="635" t="n"/>
      <c r="K927" s="634" t="n"/>
      <c r="L927" s="635" t="n"/>
      <c r="M927" s="634" t="n"/>
      <c r="N927" s="631" t="n"/>
      <c r="O927" s="635" t="n"/>
      <c r="P927" s="635" t="n"/>
    </row>
    <row r="928" ht="15.75" customHeight="1">
      <c r="A928" s="628" t="n"/>
      <c r="B928" s="628" t="n"/>
      <c r="C928" s="628" t="n"/>
      <c r="D928" s="628" t="n"/>
      <c r="E928" s="627" t="n"/>
      <c r="F928" s="625" t="n"/>
      <c r="G928" s="625" t="n"/>
      <c r="H928" s="628" t="n"/>
      <c r="I928" s="688" t="n"/>
      <c r="J928" s="628" t="n"/>
      <c r="K928" s="627" t="n"/>
      <c r="L928" s="628" t="n"/>
      <c r="M928" s="627" t="n"/>
      <c r="N928" s="625" t="n"/>
      <c r="O928" s="628" t="n"/>
      <c r="P928" s="628" t="n"/>
    </row>
    <row r="929" ht="15.75" customHeight="1">
      <c r="A929" s="635" t="n"/>
      <c r="B929" s="635" t="n"/>
      <c r="C929" s="635" t="n"/>
      <c r="D929" s="635" t="n"/>
      <c r="E929" s="634" t="n"/>
      <c r="F929" s="631" t="n"/>
      <c r="G929" s="631" t="n"/>
      <c r="H929" s="635" t="n"/>
      <c r="I929" s="687" t="n"/>
      <c r="J929" s="635" t="n"/>
      <c r="K929" s="634" t="n"/>
      <c r="L929" s="635" t="n"/>
      <c r="M929" s="634" t="n"/>
      <c r="N929" s="631" t="n"/>
      <c r="O929" s="635" t="n"/>
      <c r="P929" s="635" t="n"/>
    </row>
    <row r="930" ht="15.75" customHeight="1">
      <c r="A930" s="628" t="n"/>
      <c r="B930" s="628" t="n"/>
      <c r="C930" s="628" t="n"/>
      <c r="D930" s="628" t="n"/>
      <c r="E930" s="627" t="n"/>
      <c r="F930" s="625" t="n"/>
      <c r="G930" s="625" t="n"/>
      <c r="H930" s="628" t="n"/>
      <c r="I930" s="688" t="n"/>
      <c r="J930" s="628" t="n"/>
      <c r="K930" s="627" t="n"/>
      <c r="L930" s="628" t="n"/>
      <c r="M930" s="627" t="n"/>
      <c r="N930" s="625" t="n"/>
      <c r="O930" s="628" t="n"/>
      <c r="P930" s="628" t="n"/>
    </row>
    <row r="931" ht="15.75" customHeight="1">
      <c r="A931" s="635" t="n"/>
      <c r="B931" s="635" t="n"/>
      <c r="C931" s="635" t="n"/>
      <c r="D931" s="635" t="n"/>
      <c r="E931" s="634" t="n"/>
      <c r="F931" s="631" t="n"/>
      <c r="G931" s="631" t="n"/>
      <c r="H931" s="635" t="n"/>
      <c r="I931" s="687" t="n"/>
      <c r="J931" s="635" t="n"/>
      <c r="K931" s="634" t="n"/>
      <c r="L931" s="635" t="n"/>
      <c r="M931" s="634" t="n"/>
      <c r="N931" s="631" t="n"/>
      <c r="O931" s="635" t="n"/>
      <c r="P931" s="635" t="n"/>
    </row>
    <row r="932" ht="15.75" customHeight="1">
      <c r="A932" s="628" t="n"/>
      <c r="B932" s="628" t="n"/>
      <c r="C932" s="628" t="n"/>
      <c r="D932" s="628" t="n"/>
      <c r="E932" s="627" t="n"/>
      <c r="F932" s="625" t="n"/>
      <c r="G932" s="625" t="n"/>
      <c r="H932" s="628" t="n"/>
      <c r="I932" s="688" t="n"/>
      <c r="J932" s="628" t="n"/>
      <c r="K932" s="627" t="n"/>
      <c r="L932" s="628" t="n"/>
      <c r="M932" s="627" t="n"/>
      <c r="N932" s="625" t="n"/>
      <c r="O932" s="628" t="n"/>
      <c r="P932" s="628" t="n"/>
    </row>
    <row r="933" ht="15.75" customHeight="1">
      <c r="A933" s="635" t="n"/>
      <c r="B933" s="635" t="n"/>
      <c r="C933" s="635" t="n"/>
      <c r="D933" s="635" t="n"/>
      <c r="E933" s="634" t="n"/>
      <c r="F933" s="631" t="n"/>
      <c r="G933" s="631" t="n"/>
      <c r="H933" s="635" t="n"/>
      <c r="I933" s="687" t="n"/>
      <c r="J933" s="635" t="n"/>
      <c r="K933" s="634" t="n"/>
      <c r="L933" s="635" t="n"/>
      <c r="M933" s="634" t="n"/>
      <c r="N933" s="631" t="n"/>
      <c r="O933" s="635" t="n"/>
      <c r="P933" s="635" t="n"/>
    </row>
    <row r="934" ht="15.75" customHeight="1">
      <c r="A934" s="628" t="n"/>
      <c r="B934" s="628" t="n"/>
      <c r="C934" s="628" t="n"/>
      <c r="D934" s="628" t="n"/>
      <c r="E934" s="627" t="n"/>
      <c r="F934" s="625" t="n"/>
      <c r="G934" s="625" t="n"/>
      <c r="H934" s="628" t="n"/>
      <c r="I934" s="688" t="n"/>
      <c r="J934" s="628" t="n"/>
      <c r="K934" s="627" t="n"/>
      <c r="L934" s="628" t="n"/>
      <c r="M934" s="627" t="n"/>
      <c r="N934" s="625" t="n"/>
      <c r="O934" s="628" t="n"/>
      <c r="P934" s="628" t="n"/>
    </row>
    <row r="935" ht="15.75" customHeight="1">
      <c r="A935" s="635" t="n"/>
      <c r="B935" s="635" t="n"/>
      <c r="C935" s="635" t="n"/>
      <c r="D935" s="635" t="n"/>
      <c r="E935" s="634" t="n"/>
      <c r="F935" s="631" t="n"/>
      <c r="G935" s="631" t="n"/>
      <c r="H935" s="635" t="n"/>
      <c r="I935" s="687" t="n"/>
      <c r="J935" s="635" t="n"/>
      <c r="K935" s="634" t="n"/>
      <c r="L935" s="635" t="n"/>
      <c r="M935" s="634" t="n"/>
      <c r="N935" s="631" t="n"/>
      <c r="O935" s="635" t="n"/>
      <c r="P935" s="635" t="n"/>
    </row>
    <row r="936" ht="15.75" customHeight="1">
      <c r="A936" s="628" t="n"/>
      <c r="B936" s="628" t="n"/>
      <c r="C936" s="628" t="n"/>
      <c r="D936" s="628" t="n"/>
      <c r="E936" s="627" t="n"/>
      <c r="F936" s="625" t="n"/>
      <c r="G936" s="625" t="n"/>
      <c r="H936" s="628" t="n"/>
      <c r="I936" s="688" t="n"/>
      <c r="J936" s="628" t="n"/>
      <c r="K936" s="627" t="n"/>
      <c r="L936" s="628" t="n"/>
      <c r="M936" s="627" t="n"/>
      <c r="N936" s="625" t="n"/>
      <c r="O936" s="628" t="n"/>
      <c r="P936" s="628" t="n"/>
    </row>
    <row r="937" ht="15.75" customHeight="1">
      <c r="A937" s="635" t="n"/>
      <c r="B937" s="635" t="n"/>
      <c r="C937" s="635" t="n"/>
      <c r="D937" s="635" t="n"/>
      <c r="E937" s="634" t="n"/>
      <c r="F937" s="631" t="n"/>
      <c r="G937" s="631" t="n"/>
      <c r="H937" s="635" t="n"/>
      <c r="I937" s="687" t="n"/>
      <c r="J937" s="635" t="n"/>
      <c r="K937" s="634" t="n"/>
      <c r="L937" s="635" t="n"/>
      <c r="M937" s="634" t="n"/>
      <c r="N937" s="631" t="n"/>
      <c r="O937" s="635" t="n"/>
      <c r="P937" s="635" t="n"/>
    </row>
    <row r="938" ht="15.75" customHeight="1">
      <c r="A938" s="628" t="n"/>
      <c r="B938" s="628" t="n"/>
      <c r="C938" s="628" t="n"/>
      <c r="D938" s="628" t="n"/>
      <c r="E938" s="627" t="n"/>
      <c r="F938" s="625" t="n"/>
      <c r="G938" s="625" t="n"/>
      <c r="H938" s="628" t="n"/>
      <c r="I938" s="688" t="n"/>
      <c r="J938" s="628" t="n"/>
      <c r="K938" s="627" t="n"/>
      <c r="L938" s="628" t="n"/>
      <c r="M938" s="627" t="n"/>
      <c r="N938" s="625" t="n"/>
      <c r="O938" s="628" t="n"/>
      <c r="P938" s="628" t="n"/>
    </row>
    <row r="939" ht="15.75" customHeight="1">
      <c r="A939" s="635" t="n"/>
      <c r="B939" s="635" t="n"/>
      <c r="C939" s="635" t="n"/>
      <c r="D939" s="635" t="n"/>
      <c r="E939" s="634" t="n"/>
      <c r="F939" s="631" t="n"/>
      <c r="G939" s="631" t="n"/>
      <c r="H939" s="635" t="n"/>
      <c r="I939" s="687" t="n"/>
      <c r="J939" s="635" t="n"/>
      <c r="K939" s="634" t="n"/>
      <c r="L939" s="635" t="n"/>
      <c r="M939" s="634" t="n"/>
      <c r="N939" s="631" t="n"/>
      <c r="O939" s="635" t="n"/>
      <c r="P939" s="635" t="n"/>
    </row>
    <row r="940" ht="15.75" customHeight="1">
      <c r="A940" s="628" t="n"/>
      <c r="B940" s="628" t="n"/>
      <c r="C940" s="628" t="n"/>
      <c r="D940" s="628" t="n"/>
      <c r="E940" s="627" t="n"/>
      <c r="F940" s="625" t="n"/>
      <c r="G940" s="625" t="n"/>
      <c r="H940" s="628" t="n"/>
      <c r="I940" s="688" t="n"/>
      <c r="J940" s="628" t="n"/>
      <c r="K940" s="627" t="n"/>
      <c r="L940" s="628" t="n"/>
      <c r="M940" s="627" t="n"/>
      <c r="N940" s="625" t="n"/>
      <c r="O940" s="628" t="n"/>
      <c r="P940" s="628" t="n"/>
    </row>
    <row r="941" ht="15.75" customHeight="1">
      <c r="A941" s="635" t="n"/>
      <c r="B941" s="635" t="n"/>
      <c r="C941" s="635" t="n"/>
      <c r="D941" s="635" t="n"/>
      <c r="E941" s="634" t="n"/>
      <c r="F941" s="631" t="n"/>
      <c r="G941" s="631" t="n"/>
      <c r="H941" s="635" t="n"/>
      <c r="I941" s="687" t="n"/>
      <c r="J941" s="635" t="n"/>
      <c r="K941" s="634" t="n"/>
      <c r="L941" s="635" t="n"/>
      <c r="M941" s="634" t="n"/>
      <c r="N941" s="631" t="n"/>
      <c r="O941" s="635" t="n"/>
      <c r="P941" s="635" t="n"/>
    </row>
    <row r="942" ht="15.75" customHeight="1">
      <c r="A942" s="628" t="n"/>
      <c r="B942" s="628" t="n"/>
      <c r="C942" s="628" t="n"/>
      <c r="D942" s="628" t="n"/>
      <c r="E942" s="627" t="n"/>
      <c r="F942" s="625" t="n"/>
      <c r="G942" s="625" t="n"/>
      <c r="H942" s="628" t="n"/>
      <c r="I942" s="688" t="n"/>
      <c r="J942" s="628" t="n"/>
      <c r="K942" s="627" t="n"/>
      <c r="L942" s="628" t="n"/>
      <c r="M942" s="627" t="n"/>
      <c r="N942" s="625" t="n"/>
      <c r="O942" s="628" t="n"/>
      <c r="P942" s="628" t="n"/>
    </row>
    <row r="943" ht="15.75" customHeight="1">
      <c r="A943" s="635" t="n"/>
      <c r="B943" s="635" t="n"/>
      <c r="C943" s="635" t="n"/>
      <c r="D943" s="635" t="n"/>
      <c r="E943" s="634" t="n"/>
      <c r="F943" s="631" t="n"/>
      <c r="G943" s="631" t="n"/>
      <c r="H943" s="635" t="n"/>
      <c r="I943" s="687" t="n"/>
      <c r="J943" s="635" t="n"/>
      <c r="K943" s="634" t="n"/>
      <c r="L943" s="635" t="n"/>
      <c r="M943" s="634" t="n"/>
      <c r="N943" s="631" t="n"/>
      <c r="O943" s="635" t="n"/>
      <c r="P943" s="635" t="n"/>
    </row>
    <row r="944" ht="15.75" customHeight="1">
      <c r="A944" s="628" t="n"/>
      <c r="B944" s="628" t="n"/>
      <c r="C944" s="628" t="n"/>
      <c r="D944" s="628" t="n"/>
      <c r="E944" s="627" t="n"/>
      <c r="F944" s="625" t="n"/>
      <c r="G944" s="625" t="n"/>
      <c r="H944" s="628" t="n"/>
      <c r="I944" s="688" t="n"/>
      <c r="J944" s="628" t="n"/>
      <c r="K944" s="627" t="n"/>
      <c r="L944" s="628" t="n"/>
      <c r="M944" s="627" t="n"/>
      <c r="N944" s="625" t="n"/>
      <c r="O944" s="628" t="n"/>
      <c r="P944" s="628" t="n"/>
    </row>
    <row r="945" ht="15.75" customHeight="1">
      <c r="A945" s="635" t="n"/>
      <c r="B945" s="635" t="n"/>
      <c r="C945" s="635" t="n"/>
      <c r="D945" s="635" t="n"/>
      <c r="E945" s="634" t="n"/>
      <c r="F945" s="631" t="n"/>
      <c r="G945" s="631" t="n"/>
      <c r="H945" s="635" t="n"/>
      <c r="I945" s="687" t="n"/>
      <c r="J945" s="635" t="n"/>
      <c r="K945" s="634" t="n"/>
      <c r="L945" s="635" t="n"/>
      <c r="M945" s="634" t="n"/>
      <c r="N945" s="631" t="n"/>
      <c r="O945" s="635" t="n"/>
      <c r="P945" s="635" t="n"/>
    </row>
    <row r="946" ht="15.75" customHeight="1">
      <c r="A946" s="628" t="n"/>
      <c r="B946" s="628" t="n"/>
      <c r="C946" s="628" t="n"/>
      <c r="D946" s="628" t="n"/>
      <c r="E946" s="627" t="n"/>
      <c r="F946" s="625" t="n"/>
      <c r="G946" s="625" t="n"/>
      <c r="H946" s="628" t="n"/>
      <c r="I946" s="688" t="n"/>
      <c r="J946" s="628" t="n"/>
      <c r="K946" s="627" t="n"/>
      <c r="L946" s="628" t="n"/>
      <c r="M946" s="627" t="n"/>
      <c r="N946" s="625" t="n"/>
      <c r="O946" s="628" t="n"/>
      <c r="P946" s="628" t="n"/>
    </row>
    <row r="947" ht="15.75" customHeight="1">
      <c r="A947" s="635" t="n"/>
      <c r="B947" s="635" t="n"/>
      <c r="C947" s="635" t="n"/>
      <c r="D947" s="635" t="n"/>
      <c r="E947" s="634" t="n"/>
      <c r="F947" s="631" t="n"/>
      <c r="G947" s="631" t="n"/>
      <c r="H947" s="635" t="n"/>
      <c r="I947" s="687" t="n"/>
      <c r="J947" s="635" t="n"/>
      <c r="K947" s="634" t="n"/>
      <c r="L947" s="635" t="n"/>
      <c r="M947" s="634" t="n"/>
      <c r="N947" s="631" t="n"/>
      <c r="O947" s="635" t="n"/>
      <c r="P947" s="635" t="n"/>
    </row>
    <row r="948" ht="15.75" customHeight="1">
      <c r="A948" s="628" t="n"/>
      <c r="B948" s="628" t="n"/>
      <c r="C948" s="628" t="n"/>
      <c r="D948" s="628" t="n"/>
      <c r="E948" s="627" t="n"/>
      <c r="F948" s="625" t="n"/>
      <c r="G948" s="625" t="n"/>
      <c r="H948" s="628" t="n"/>
      <c r="I948" s="688" t="n"/>
      <c r="J948" s="628" t="n"/>
      <c r="K948" s="627" t="n"/>
      <c r="L948" s="628" t="n"/>
      <c r="M948" s="627" t="n"/>
      <c r="N948" s="625" t="n"/>
      <c r="O948" s="628" t="n"/>
      <c r="P948" s="628" t="n"/>
    </row>
    <row r="949" ht="15.75" customHeight="1">
      <c r="A949" s="635" t="n"/>
      <c r="B949" s="635" t="n"/>
      <c r="C949" s="635" t="n"/>
      <c r="D949" s="635" t="n"/>
      <c r="E949" s="634" t="n"/>
      <c r="F949" s="631" t="n"/>
      <c r="G949" s="631" t="n"/>
      <c r="H949" s="635" t="n"/>
      <c r="I949" s="687" t="n"/>
      <c r="J949" s="635" t="n"/>
      <c r="K949" s="634" t="n"/>
      <c r="L949" s="635" t="n"/>
      <c r="M949" s="634" t="n"/>
      <c r="N949" s="631" t="n"/>
      <c r="O949" s="635" t="n"/>
      <c r="P949" s="635" t="n"/>
    </row>
    <row r="950" ht="15.75" customHeight="1">
      <c r="A950" s="628" t="n"/>
      <c r="B950" s="628" t="n"/>
      <c r="C950" s="628" t="n"/>
      <c r="D950" s="628" t="n"/>
      <c r="E950" s="627" t="n"/>
      <c r="F950" s="625" t="n"/>
      <c r="G950" s="625" t="n"/>
      <c r="H950" s="628" t="n"/>
      <c r="I950" s="688" t="n"/>
      <c r="J950" s="628" t="n"/>
      <c r="K950" s="627" t="n"/>
      <c r="L950" s="628" t="n"/>
      <c r="M950" s="627" t="n"/>
      <c r="N950" s="625" t="n"/>
      <c r="O950" s="628" t="n"/>
      <c r="P950" s="628" t="n"/>
    </row>
    <row r="951" ht="15.75" customHeight="1">
      <c r="A951" s="635" t="n"/>
      <c r="B951" s="635" t="n"/>
      <c r="C951" s="635" t="n"/>
      <c r="D951" s="635" t="n"/>
      <c r="E951" s="634" t="n"/>
      <c r="F951" s="631" t="n"/>
      <c r="G951" s="631" t="n"/>
      <c r="H951" s="635" t="n"/>
      <c r="I951" s="687" t="n"/>
      <c r="J951" s="635" t="n"/>
      <c r="K951" s="634" t="n"/>
      <c r="L951" s="635" t="n"/>
      <c r="M951" s="634" t="n"/>
      <c r="N951" s="631" t="n"/>
      <c r="O951" s="635" t="n"/>
      <c r="P951" s="635" t="n"/>
    </row>
    <row r="952" ht="15.75" customHeight="1">
      <c r="A952" s="628" t="n"/>
      <c r="B952" s="628" t="n"/>
      <c r="C952" s="628" t="n"/>
      <c r="D952" s="628" t="n"/>
      <c r="E952" s="627" t="n"/>
      <c r="F952" s="625" t="n"/>
      <c r="G952" s="625" t="n"/>
      <c r="H952" s="628" t="n"/>
      <c r="I952" s="688" t="n"/>
      <c r="J952" s="628" t="n"/>
      <c r="K952" s="627" t="n"/>
      <c r="L952" s="628" t="n"/>
      <c r="M952" s="627" t="n"/>
      <c r="N952" s="625" t="n"/>
      <c r="O952" s="628" t="n"/>
      <c r="P952" s="628" t="n"/>
    </row>
    <row r="953" ht="15.75" customHeight="1">
      <c r="A953" s="635" t="n"/>
      <c r="B953" s="635" t="n"/>
      <c r="C953" s="635" t="n"/>
      <c r="D953" s="635" t="n"/>
      <c r="E953" s="634" t="n"/>
      <c r="F953" s="631" t="n"/>
      <c r="G953" s="631" t="n"/>
      <c r="H953" s="635" t="n"/>
      <c r="I953" s="687" t="n"/>
      <c r="J953" s="635" t="n"/>
      <c r="K953" s="634" t="n"/>
      <c r="L953" s="635" t="n"/>
      <c r="M953" s="634" t="n"/>
      <c r="N953" s="631" t="n"/>
      <c r="O953" s="635" t="n"/>
      <c r="P953" s="635" t="n"/>
    </row>
    <row r="954" ht="15.75" customHeight="1">
      <c r="A954" s="628" t="n"/>
      <c r="B954" s="628" t="n"/>
      <c r="C954" s="628" t="n"/>
      <c r="D954" s="628" t="n"/>
      <c r="E954" s="627" t="n"/>
      <c r="F954" s="625" t="n"/>
      <c r="G954" s="625" t="n"/>
      <c r="H954" s="628" t="n"/>
      <c r="I954" s="688" t="n"/>
      <c r="J954" s="628" t="n"/>
      <c r="K954" s="627" t="n"/>
      <c r="L954" s="628" t="n"/>
      <c r="M954" s="627" t="n"/>
      <c r="N954" s="625" t="n"/>
      <c r="O954" s="628" t="n"/>
      <c r="P954" s="628" t="n"/>
    </row>
    <row r="955" ht="15.75" customHeight="1">
      <c r="A955" s="635" t="n"/>
      <c r="B955" s="635" t="n"/>
      <c r="C955" s="635" t="n"/>
      <c r="D955" s="635" t="n"/>
      <c r="E955" s="634" t="n"/>
      <c r="F955" s="631" t="n"/>
      <c r="G955" s="631" t="n"/>
      <c r="H955" s="635" t="n"/>
      <c r="I955" s="687" t="n"/>
      <c r="J955" s="635" t="n"/>
      <c r="K955" s="634" t="n"/>
      <c r="L955" s="635" t="n"/>
      <c r="M955" s="634" t="n"/>
      <c r="N955" s="631" t="n"/>
      <c r="O955" s="635" t="n"/>
      <c r="P955" s="635" t="n"/>
    </row>
    <row r="956" ht="15.75" customHeight="1">
      <c r="A956" s="628" t="n"/>
      <c r="B956" s="628" t="n"/>
      <c r="C956" s="628" t="n"/>
      <c r="D956" s="628" t="n"/>
      <c r="E956" s="627" t="n"/>
      <c r="F956" s="625" t="n"/>
      <c r="G956" s="625" t="n"/>
      <c r="H956" s="628" t="n"/>
      <c r="I956" s="688" t="n"/>
      <c r="J956" s="628" t="n"/>
      <c r="K956" s="627" t="n"/>
      <c r="L956" s="628" t="n"/>
      <c r="M956" s="627" t="n"/>
      <c r="N956" s="625" t="n"/>
      <c r="O956" s="628" t="n"/>
      <c r="P956" s="628" t="n"/>
    </row>
    <row r="957" ht="15.75" customHeight="1">
      <c r="A957" s="635" t="n"/>
      <c r="B957" s="635" t="n"/>
      <c r="C957" s="635" t="n"/>
      <c r="D957" s="635" t="n"/>
      <c r="E957" s="634" t="n"/>
      <c r="F957" s="631" t="n"/>
      <c r="G957" s="631" t="n"/>
      <c r="H957" s="635" t="n"/>
      <c r="I957" s="687" t="n"/>
      <c r="J957" s="635" t="n"/>
      <c r="K957" s="634" t="n"/>
      <c r="L957" s="635" t="n"/>
      <c r="M957" s="634" t="n"/>
      <c r="N957" s="631" t="n"/>
      <c r="O957" s="635" t="n"/>
      <c r="P957" s="635" t="n"/>
    </row>
    <row r="958" ht="15.75" customHeight="1">
      <c r="A958" s="628" t="n"/>
      <c r="B958" s="628" t="n"/>
      <c r="C958" s="628" t="n"/>
      <c r="D958" s="628" t="n"/>
      <c r="E958" s="627" t="n"/>
      <c r="F958" s="625" t="n"/>
      <c r="G958" s="625" t="n"/>
      <c r="H958" s="628" t="n"/>
      <c r="I958" s="688" t="n"/>
      <c r="J958" s="628" t="n"/>
      <c r="K958" s="627" t="n"/>
      <c r="L958" s="628" t="n"/>
      <c r="M958" s="627" t="n"/>
      <c r="N958" s="625" t="n"/>
      <c r="O958" s="628" t="n"/>
      <c r="P958" s="628" t="n"/>
    </row>
    <row r="959" ht="15.75" customHeight="1">
      <c r="A959" s="635" t="n"/>
      <c r="B959" s="635" t="n"/>
      <c r="C959" s="635" t="n"/>
      <c r="D959" s="635" t="n"/>
      <c r="E959" s="634" t="n"/>
      <c r="F959" s="631" t="n"/>
      <c r="G959" s="631" t="n"/>
      <c r="H959" s="635" t="n"/>
      <c r="I959" s="687" t="n"/>
      <c r="J959" s="635" t="n"/>
      <c r="K959" s="634" t="n"/>
      <c r="L959" s="635" t="n"/>
      <c r="M959" s="634" t="n"/>
      <c r="N959" s="631" t="n"/>
      <c r="O959" s="635" t="n"/>
      <c r="P959" s="635" t="n"/>
    </row>
    <row r="960" ht="15.75" customHeight="1">
      <c r="A960" s="628" t="n"/>
      <c r="B960" s="628" t="n"/>
      <c r="C960" s="628" t="n"/>
      <c r="D960" s="628" t="n"/>
      <c r="E960" s="627" t="n"/>
      <c r="F960" s="625" t="n"/>
      <c r="G960" s="625" t="n"/>
      <c r="H960" s="628" t="n"/>
      <c r="I960" s="688" t="n"/>
      <c r="J960" s="628" t="n"/>
      <c r="K960" s="627" t="n"/>
      <c r="L960" s="628" t="n"/>
      <c r="M960" s="627" t="n"/>
      <c r="N960" s="625" t="n"/>
      <c r="O960" s="628" t="n"/>
      <c r="P960" s="628" t="n"/>
    </row>
    <row r="961" ht="15.75" customHeight="1">
      <c r="A961" s="635" t="n"/>
      <c r="B961" s="635" t="n"/>
      <c r="C961" s="635" t="n"/>
      <c r="D961" s="635" t="n"/>
      <c r="E961" s="634" t="n"/>
      <c r="F961" s="631" t="n"/>
      <c r="G961" s="631" t="n"/>
      <c r="H961" s="635" t="n"/>
      <c r="I961" s="687" t="n"/>
      <c r="J961" s="635" t="n"/>
      <c r="K961" s="634" t="n"/>
      <c r="L961" s="635" t="n"/>
      <c r="M961" s="634" t="n"/>
      <c r="N961" s="631" t="n"/>
      <c r="O961" s="635" t="n"/>
      <c r="P961" s="635" t="n"/>
    </row>
    <row r="962" ht="15.75" customHeight="1">
      <c r="A962" s="628" t="n"/>
      <c r="B962" s="628" t="n"/>
      <c r="C962" s="628" t="n"/>
      <c r="D962" s="628" t="n"/>
      <c r="E962" s="627" t="n"/>
      <c r="F962" s="625" t="n"/>
      <c r="G962" s="625" t="n"/>
      <c r="H962" s="628" t="n"/>
      <c r="I962" s="688" t="n"/>
      <c r="J962" s="628" t="n"/>
      <c r="K962" s="627" t="n"/>
      <c r="L962" s="628" t="n"/>
      <c r="M962" s="627" t="n"/>
      <c r="N962" s="625" t="n"/>
      <c r="O962" s="628" t="n"/>
      <c r="P962" s="628" t="n"/>
    </row>
    <row r="963" ht="15.75" customHeight="1">
      <c r="A963" s="635" t="n"/>
      <c r="B963" s="635" t="n"/>
      <c r="C963" s="635" t="n"/>
      <c r="D963" s="635" t="n"/>
      <c r="E963" s="634" t="n"/>
      <c r="F963" s="631" t="n"/>
      <c r="G963" s="631" t="n"/>
      <c r="H963" s="635" t="n"/>
      <c r="I963" s="687" t="n"/>
      <c r="J963" s="635" t="n"/>
      <c r="K963" s="634" t="n"/>
      <c r="L963" s="635" t="n"/>
      <c r="M963" s="634" t="n"/>
      <c r="N963" s="631" t="n"/>
      <c r="O963" s="635" t="n"/>
      <c r="P963" s="635" t="n"/>
    </row>
    <row r="964" ht="15.75" customHeight="1">
      <c r="A964" s="628" t="n"/>
      <c r="B964" s="628" t="n"/>
      <c r="C964" s="628" t="n"/>
      <c r="D964" s="628" t="n"/>
      <c r="E964" s="627" t="n"/>
      <c r="F964" s="625" t="n"/>
      <c r="G964" s="625" t="n"/>
      <c r="H964" s="628" t="n"/>
      <c r="I964" s="688" t="n"/>
      <c r="J964" s="628" t="n"/>
      <c r="K964" s="627" t="n"/>
      <c r="L964" s="628" t="n"/>
      <c r="M964" s="627" t="n"/>
      <c r="N964" s="625" t="n"/>
      <c r="O964" s="628" t="n"/>
      <c r="P964" s="628" t="n"/>
    </row>
    <row r="965" ht="15.75" customHeight="1">
      <c r="A965" s="635" t="n"/>
      <c r="B965" s="635" t="n"/>
      <c r="C965" s="635" t="n"/>
      <c r="D965" s="635" t="n"/>
      <c r="E965" s="634" t="n"/>
      <c r="F965" s="631" t="n"/>
      <c r="G965" s="631" t="n"/>
      <c r="H965" s="635" t="n"/>
      <c r="I965" s="687" t="n"/>
      <c r="J965" s="635" t="n"/>
      <c r="K965" s="634" t="n"/>
      <c r="L965" s="635" t="n"/>
      <c r="M965" s="634" t="n"/>
      <c r="N965" s="631" t="n"/>
      <c r="O965" s="635" t="n"/>
      <c r="P965" s="635" t="n"/>
    </row>
    <row r="966" ht="15.75" customHeight="1">
      <c r="A966" s="628" t="n"/>
      <c r="B966" s="628" t="n"/>
      <c r="C966" s="628" t="n"/>
      <c r="D966" s="628" t="n"/>
      <c r="E966" s="627" t="n"/>
      <c r="F966" s="625" t="n"/>
      <c r="G966" s="625" t="n"/>
      <c r="H966" s="628" t="n"/>
      <c r="I966" s="688" t="n"/>
      <c r="J966" s="628" t="n"/>
      <c r="K966" s="627" t="n"/>
      <c r="L966" s="628" t="n"/>
      <c r="M966" s="627" t="n"/>
      <c r="N966" s="625" t="n"/>
      <c r="O966" s="628" t="n"/>
      <c r="P966" s="628" t="n"/>
    </row>
    <row r="967" ht="15.75" customHeight="1">
      <c r="A967" s="635" t="n"/>
      <c r="B967" s="635" t="n"/>
      <c r="C967" s="635" t="n"/>
      <c r="D967" s="635" t="n"/>
      <c r="E967" s="634" t="n"/>
      <c r="F967" s="631" t="n"/>
      <c r="G967" s="631" t="n"/>
      <c r="H967" s="635" t="n"/>
      <c r="I967" s="687" t="n"/>
      <c r="J967" s="635" t="n"/>
      <c r="K967" s="634" t="n"/>
      <c r="L967" s="635" t="n"/>
      <c r="M967" s="634" t="n"/>
      <c r="N967" s="631" t="n"/>
      <c r="O967" s="635" t="n"/>
      <c r="P967" s="635" t="n"/>
    </row>
    <row r="968" ht="15.75" customHeight="1">
      <c r="A968" s="628" t="n"/>
      <c r="B968" s="628" t="n"/>
      <c r="C968" s="628" t="n"/>
      <c r="D968" s="628" t="n"/>
      <c r="E968" s="627" t="n"/>
      <c r="F968" s="625" t="n"/>
      <c r="G968" s="625" t="n"/>
      <c r="H968" s="628" t="n"/>
      <c r="I968" s="688" t="n"/>
      <c r="J968" s="628" t="n"/>
      <c r="K968" s="627" t="n"/>
      <c r="L968" s="628" t="n"/>
      <c r="M968" s="627" t="n"/>
      <c r="N968" s="625" t="n"/>
      <c r="O968" s="628" t="n"/>
      <c r="P968" s="628" t="n"/>
    </row>
    <row r="969" ht="15.75" customHeight="1">
      <c r="A969" s="635" t="n"/>
      <c r="B969" s="635" t="n"/>
      <c r="C969" s="635" t="n"/>
      <c r="D969" s="635" t="n"/>
      <c r="E969" s="634" t="n"/>
      <c r="F969" s="631" t="n"/>
      <c r="G969" s="631" t="n"/>
      <c r="H969" s="635" t="n"/>
      <c r="I969" s="687" t="n"/>
      <c r="J969" s="635" t="n"/>
      <c r="K969" s="634" t="n"/>
      <c r="L969" s="635" t="n"/>
      <c r="M969" s="634" t="n"/>
      <c r="N969" s="631" t="n"/>
      <c r="O969" s="635" t="n"/>
      <c r="P969" s="635" t="n"/>
    </row>
    <row r="970" ht="15.75" customHeight="1">
      <c r="A970" s="628" t="n"/>
      <c r="B970" s="628" t="n"/>
      <c r="C970" s="628" t="n"/>
      <c r="D970" s="628" t="n"/>
      <c r="E970" s="627" t="n"/>
      <c r="F970" s="625" t="n"/>
      <c r="G970" s="625" t="n"/>
      <c r="H970" s="628" t="n"/>
      <c r="I970" s="688" t="n"/>
      <c r="J970" s="628" t="n"/>
      <c r="K970" s="627" t="n"/>
      <c r="L970" s="628" t="n"/>
      <c r="M970" s="627" t="n"/>
      <c r="N970" s="625" t="n"/>
      <c r="O970" s="628" t="n"/>
      <c r="P970" s="628" t="n"/>
    </row>
    <row r="971" ht="15.75" customHeight="1">
      <c r="A971" s="635" t="n"/>
      <c r="B971" s="635" t="n"/>
      <c r="C971" s="635" t="n"/>
      <c r="D971" s="635" t="n"/>
      <c r="E971" s="634" t="n"/>
      <c r="F971" s="631" t="n"/>
      <c r="G971" s="631" t="n"/>
      <c r="H971" s="635" t="n"/>
      <c r="I971" s="687" t="n"/>
      <c r="J971" s="635" t="n"/>
      <c r="K971" s="634" t="n"/>
      <c r="L971" s="635" t="n"/>
      <c r="M971" s="634" t="n"/>
      <c r="N971" s="631" t="n"/>
      <c r="O971" s="635" t="n"/>
      <c r="P971" s="635" t="n"/>
    </row>
    <row r="972" ht="15.75" customHeight="1">
      <c r="A972" s="628" t="n"/>
      <c r="B972" s="628" t="n"/>
      <c r="C972" s="628" t="n"/>
      <c r="D972" s="628" t="n"/>
      <c r="E972" s="627" t="n"/>
      <c r="F972" s="625" t="n"/>
      <c r="G972" s="625" t="n"/>
      <c r="H972" s="628" t="n"/>
      <c r="I972" s="688" t="n"/>
      <c r="J972" s="628" t="n"/>
      <c r="K972" s="627" t="n"/>
      <c r="L972" s="628" t="n"/>
      <c r="M972" s="627" t="n"/>
      <c r="N972" s="625" t="n"/>
      <c r="O972" s="628" t="n"/>
      <c r="P972" s="628" t="n"/>
    </row>
    <row r="973" ht="15.75" customHeight="1">
      <c r="A973" s="635" t="n"/>
      <c r="B973" s="635" t="n"/>
      <c r="C973" s="635" t="n"/>
      <c r="D973" s="635" t="n"/>
      <c r="E973" s="634" t="n"/>
      <c r="F973" s="631" t="n"/>
      <c r="G973" s="631" t="n"/>
      <c r="H973" s="635" t="n"/>
      <c r="I973" s="687" t="n"/>
      <c r="J973" s="635" t="n"/>
      <c r="K973" s="634" t="n"/>
      <c r="L973" s="635" t="n"/>
      <c r="M973" s="634" t="n"/>
      <c r="N973" s="631" t="n"/>
      <c r="O973" s="635" t="n"/>
      <c r="P973" s="635" t="n"/>
    </row>
    <row r="974" ht="15.75" customHeight="1">
      <c r="A974" s="628" t="n"/>
      <c r="B974" s="628" t="n"/>
      <c r="C974" s="628" t="n"/>
      <c r="D974" s="628" t="n"/>
      <c r="E974" s="627" t="n"/>
      <c r="F974" s="625" t="n"/>
      <c r="G974" s="625" t="n"/>
      <c r="H974" s="628" t="n"/>
      <c r="I974" s="688" t="n"/>
      <c r="J974" s="628" t="n"/>
      <c r="K974" s="627" t="n"/>
      <c r="L974" s="628" t="n"/>
      <c r="M974" s="627" t="n"/>
      <c r="N974" s="625" t="n"/>
      <c r="O974" s="628" t="n"/>
      <c r="P974" s="628" t="n"/>
    </row>
    <row r="975" ht="15.75" customHeight="1">
      <c r="A975" s="635" t="n"/>
      <c r="B975" s="635" t="n"/>
      <c r="C975" s="635" t="n"/>
      <c r="D975" s="635" t="n"/>
      <c r="E975" s="634" t="n"/>
      <c r="F975" s="631" t="n"/>
      <c r="G975" s="631" t="n"/>
      <c r="H975" s="635" t="n"/>
      <c r="I975" s="687" t="n"/>
      <c r="J975" s="635" t="n"/>
      <c r="K975" s="634" t="n"/>
      <c r="L975" s="635" t="n"/>
      <c r="M975" s="634" t="n"/>
      <c r="N975" s="631" t="n"/>
      <c r="O975" s="635" t="n"/>
      <c r="P975" s="635" t="n"/>
    </row>
    <row r="976" ht="15.75" customHeight="1">
      <c r="A976" s="628" t="n"/>
      <c r="B976" s="628" t="n"/>
      <c r="C976" s="628" t="n"/>
      <c r="D976" s="628" t="n"/>
      <c r="E976" s="627" t="n"/>
      <c r="F976" s="625" t="n"/>
      <c r="G976" s="625" t="n"/>
      <c r="H976" s="628" t="n"/>
      <c r="I976" s="688" t="n"/>
      <c r="J976" s="628" t="n"/>
      <c r="K976" s="627" t="n"/>
      <c r="L976" s="628" t="n"/>
      <c r="M976" s="627" t="n"/>
      <c r="N976" s="625" t="n"/>
      <c r="O976" s="628" t="n"/>
      <c r="P976" s="628" t="n"/>
    </row>
    <row r="977" ht="15.75" customHeight="1">
      <c r="A977" s="635" t="n"/>
      <c r="B977" s="635" t="n"/>
      <c r="C977" s="635" t="n"/>
      <c r="D977" s="635" t="n"/>
      <c r="E977" s="634" t="n"/>
      <c r="F977" s="631" t="n"/>
      <c r="G977" s="631" t="n"/>
      <c r="H977" s="635" t="n"/>
      <c r="I977" s="687" t="n"/>
      <c r="J977" s="635" t="n"/>
      <c r="K977" s="634" t="n"/>
      <c r="L977" s="635" t="n"/>
      <c r="M977" s="634" t="n"/>
      <c r="N977" s="631" t="n"/>
      <c r="O977" s="635" t="n"/>
      <c r="P977" s="635" t="n"/>
    </row>
    <row r="978" ht="15.75" customHeight="1">
      <c r="A978" s="628" t="n"/>
      <c r="B978" s="628" t="n"/>
      <c r="C978" s="628" t="n"/>
      <c r="D978" s="628" t="n"/>
      <c r="E978" s="627" t="n"/>
      <c r="F978" s="625" t="n"/>
      <c r="G978" s="625" t="n"/>
      <c r="H978" s="628" t="n"/>
      <c r="I978" s="688" t="n"/>
      <c r="J978" s="628" t="n"/>
      <c r="K978" s="627" t="n"/>
      <c r="L978" s="628" t="n"/>
      <c r="M978" s="627" t="n"/>
      <c r="N978" s="625" t="n"/>
      <c r="O978" s="628" t="n"/>
      <c r="P978" s="628" t="n"/>
    </row>
    <row r="979" ht="15.75" customHeight="1">
      <c r="A979" s="635" t="n"/>
      <c r="B979" s="635" t="n"/>
      <c r="C979" s="635" t="n"/>
      <c r="D979" s="635" t="n"/>
      <c r="E979" s="634" t="n"/>
      <c r="F979" s="631" t="n"/>
      <c r="G979" s="631" t="n"/>
      <c r="H979" s="635" t="n"/>
      <c r="I979" s="687" t="n"/>
      <c r="J979" s="635" t="n"/>
      <c r="K979" s="634" t="n"/>
      <c r="L979" s="635" t="n"/>
      <c r="M979" s="634" t="n"/>
      <c r="N979" s="631" t="n"/>
      <c r="O979" s="635" t="n"/>
      <c r="P979" s="635" t="n"/>
    </row>
    <row r="980" ht="15.75" customHeight="1">
      <c r="A980" s="628" t="n"/>
      <c r="B980" s="628" t="n"/>
      <c r="C980" s="628" t="n"/>
      <c r="D980" s="628" t="n"/>
      <c r="E980" s="627" t="n"/>
      <c r="F980" s="625" t="n"/>
      <c r="G980" s="625" t="n"/>
      <c r="H980" s="628" t="n"/>
      <c r="I980" s="688" t="n"/>
      <c r="J980" s="628" t="n"/>
      <c r="K980" s="627" t="n"/>
      <c r="L980" s="628" t="n"/>
      <c r="M980" s="627" t="n"/>
      <c r="N980" s="625" t="n"/>
      <c r="O980" s="628" t="n"/>
      <c r="P980" s="628" t="n"/>
    </row>
    <row r="981" ht="15.75" customHeight="1">
      <c r="A981" s="635" t="n"/>
      <c r="B981" s="635" t="n"/>
      <c r="C981" s="635" t="n"/>
      <c r="D981" s="635" t="n"/>
      <c r="E981" s="634" t="n"/>
      <c r="F981" s="631" t="n"/>
      <c r="G981" s="631" t="n"/>
      <c r="H981" s="635" t="n"/>
      <c r="I981" s="687" t="n"/>
      <c r="J981" s="635" t="n"/>
      <c r="K981" s="634" t="n"/>
      <c r="L981" s="635" t="n"/>
      <c r="M981" s="634" t="n"/>
      <c r="N981" s="631" t="n"/>
      <c r="O981" s="635" t="n"/>
      <c r="P981" s="635" t="n"/>
    </row>
    <row r="982" ht="15.75" customHeight="1">
      <c r="A982" s="628" t="n"/>
      <c r="B982" s="628" t="n"/>
      <c r="C982" s="628" t="n"/>
      <c r="D982" s="628" t="n"/>
      <c r="E982" s="627" t="n"/>
      <c r="F982" s="625" t="n"/>
      <c r="G982" s="625" t="n"/>
      <c r="H982" s="628" t="n"/>
      <c r="I982" s="688" t="n"/>
      <c r="J982" s="628" t="n"/>
      <c r="K982" s="627" t="n"/>
      <c r="L982" s="628" t="n"/>
      <c r="M982" s="627" t="n"/>
      <c r="N982" s="625" t="n"/>
      <c r="O982" s="628" t="n"/>
      <c r="P982" s="628" t="n"/>
    </row>
    <row r="983" ht="15.75" customHeight="1">
      <c r="A983" s="635" t="n"/>
      <c r="B983" s="635" t="n"/>
      <c r="C983" s="635" t="n"/>
      <c r="D983" s="635" t="n"/>
      <c r="E983" s="634" t="n"/>
      <c r="F983" s="631" t="n"/>
      <c r="G983" s="631" t="n"/>
      <c r="H983" s="635" t="n"/>
      <c r="I983" s="687" t="n"/>
      <c r="J983" s="635" t="n"/>
      <c r="K983" s="634" t="n"/>
      <c r="L983" s="635" t="n"/>
      <c r="M983" s="634" t="n"/>
      <c r="N983" s="631" t="n"/>
      <c r="O983" s="635" t="n"/>
      <c r="P983" s="635" t="n"/>
    </row>
    <row r="984" ht="15.75" customHeight="1">
      <c r="A984" s="628" t="n"/>
      <c r="B984" s="628" t="n"/>
      <c r="C984" s="628" t="n"/>
      <c r="D984" s="628" t="n"/>
      <c r="E984" s="627" t="n"/>
      <c r="F984" s="625" t="n"/>
      <c r="G984" s="625" t="n"/>
      <c r="H984" s="628" t="n"/>
      <c r="I984" s="688" t="n"/>
      <c r="J984" s="628" t="n"/>
      <c r="K984" s="627" t="n"/>
      <c r="L984" s="628" t="n"/>
      <c r="M984" s="627" t="n"/>
      <c r="N984" s="625" t="n"/>
      <c r="O984" s="628" t="n"/>
      <c r="P984" s="628" t="n"/>
    </row>
    <row r="985" ht="15.75" customHeight="1">
      <c r="A985" s="635" t="n"/>
      <c r="B985" s="635" t="n"/>
      <c r="C985" s="635" t="n"/>
      <c r="D985" s="635" t="n"/>
      <c r="E985" s="634" t="n"/>
      <c r="F985" s="631" t="n"/>
      <c r="G985" s="631" t="n"/>
      <c r="H985" s="635" t="n"/>
      <c r="I985" s="687" t="n"/>
      <c r="J985" s="635" t="n"/>
      <c r="K985" s="634" t="n"/>
      <c r="L985" s="635" t="n"/>
      <c r="M985" s="634" t="n"/>
      <c r="N985" s="631" t="n"/>
      <c r="O985" s="635" t="n"/>
      <c r="P985" s="635" t="n"/>
    </row>
    <row r="986" ht="15.75" customHeight="1">
      <c r="A986" s="628" t="n"/>
      <c r="B986" s="628" t="n"/>
      <c r="C986" s="628" t="n"/>
      <c r="D986" s="628" t="n"/>
      <c r="E986" s="627" t="n"/>
      <c r="F986" s="625" t="n"/>
      <c r="G986" s="625" t="n"/>
      <c r="H986" s="628" t="n"/>
      <c r="I986" s="688" t="n"/>
      <c r="J986" s="628" t="n"/>
      <c r="K986" s="627" t="n"/>
      <c r="L986" s="628" t="n"/>
      <c r="M986" s="627" t="n"/>
      <c r="N986" s="625" t="n"/>
      <c r="O986" s="628" t="n"/>
      <c r="P986" s="628" t="n"/>
    </row>
    <row r="987" ht="15.75" customHeight="1">
      <c r="A987" s="635" t="n"/>
      <c r="B987" s="635" t="n"/>
      <c r="C987" s="635" t="n"/>
      <c r="D987" s="635" t="n"/>
      <c r="E987" s="634" t="n"/>
      <c r="F987" s="631" t="n"/>
      <c r="G987" s="631" t="n"/>
      <c r="H987" s="635" t="n"/>
      <c r="I987" s="687" t="n"/>
      <c r="J987" s="635" t="n"/>
      <c r="K987" s="634" t="n"/>
      <c r="L987" s="635" t="n"/>
      <c r="M987" s="634" t="n"/>
      <c r="N987" s="631" t="n"/>
      <c r="O987" s="635" t="n"/>
      <c r="P987" s="635" t="n"/>
    </row>
    <row r="988" ht="15.75" customHeight="1">
      <c r="A988" s="628" t="n"/>
      <c r="B988" s="628" t="n"/>
      <c r="C988" s="628" t="n"/>
      <c r="D988" s="628" t="n"/>
      <c r="E988" s="627" t="n"/>
      <c r="F988" s="625" t="n"/>
      <c r="G988" s="625" t="n"/>
      <c r="H988" s="628" t="n"/>
      <c r="I988" s="688" t="n"/>
      <c r="J988" s="628" t="n"/>
      <c r="K988" s="627" t="n"/>
      <c r="L988" s="628" t="n"/>
      <c r="M988" s="627" t="n"/>
      <c r="N988" s="625" t="n"/>
      <c r="O988" s="628" t="n"/>
      <c r="P988" s="628" t="n"/>
    </row>
    <row r="989" ht="15.75" customHeight="1">
      <c r="A989" s="635" t="n"/>
      <c r="B989" s="635" t="n"/>
      <c r="C989" s="635" t="n"/>
      <c r="D989" s="635" t="n"/>
      <c r="E989" s="634" t="n"/>
      <c r="F989" s="631" t="n"/>
      <c r="G989" s="631" t="n"/>
      <c r="H989" s="635" t="n"/>
      <c r="I989" s="687" t="n"/>
      <c r="J989" s="635" t="n"/>
      <c r="K989" s="634" t="n"/>
      <c r="L989" s="635" t="n"/>
      <c r="M989" s="634" t="n"/>
      <c r="N989" s="631" t="n"/>
      <c r="O989" s="635" t="n"/>
      <c r="P989" s="635" t="n"/>
    </row>
    <row r="990" ht="15.75" customHeight="1">
      <c r="A990" s="628" t="n"/>
      <c r="B990" s="628" t="n"/>
      <c r="C990" s="628" t="n"/>
      <c r="D990" s="628" t="n"/>
      <c r="E990" s="627" t="n"/>
      <c r="F990" s="625" t="n"/>
      <c r="G990" s="625" t="n"/>
      <c r="H990" s="628" t="n"/>
      <c r="I990" s="688" t="n"/>
      <c r="J990" s="628" t="n"/>
      <c r="K990" s="627" t="n"/>
      <c r="L990" s="628" t="n"/>
      <c r="M990" s="627" t="n"/>
      <c r="N990" s="625" t="n"/>
      <c r="O990" s="628" t="n"/>
      <c r="P990" s="628" t="n"/>
    </row>
    <row r="991" ht="15.75" customHeight="1">
      <c r="A991" s="635" t="n"/>
      <c r="B991" s="635" t="n"/>
      <c r="C991" s="635" t="n"/>
      <c r="D991" s="635" t="n"/>
      <c r="E991" s="634" t="n"/>
      <c r="F991" s="631" t="n"/>
      <c r="G991" s="631" t="n"/>
      <c r="H991" s="635" t="n"/>
      <c r="I991" s="687" t="n"/>
      <c r="J991" s="635" t="n"/>
      <c r="K991" s="634" t="n"/>
      <c r="L991" s="635" t="n"/>
      <c r="M991" s="634" t="n"/>
      <c r="N991" s="631" t="n"/>
      <c r="O991" s="635" t="n"/>
      <c r="P991" s="635" t="n"/>
    </row>
    <row r="992" ht="15.75" customHeight="1">
      <c r="A992" s="628" t="n"/>
      <c r="B992" s="628" t="n"/>
      <c r="C992" s="628" t="n"/>
      <c r="D992" s="628" t="n"/>
      <c r="E992" s="627" t="n"/>
      <c r="F992" s="625" t="n"/>
      <c r="G992" s="625" t="n"/>
      <c r="H992" s="628" t="n"/>
      <c r="I992" s="688" t="n"/>
      <c r="J992" s="628" t="n"/>
      <c r="K992" s="627" t="n"/>
      <c r="L992" s="628" t="n"/>
      <c r="M992" s="627" t="n"/>
      <c r="N992" s="625" t="n"/>
      <c r="O992" s="628" t="n"/>
      <c r="P992" s="628" t="n"/>
    </row>
    <row r="993" ht="15.75" customHeight="1">
      <c r="A993" s="635" t="n"/>
      <c r="B993" s="635" t="n"/>
      <c r="C993" s="635" t="n"/>
      <c r="D993" s="635" t="n"/>
      <c r="E993" s="634" t="n"/>
      <c r="F993" s="631" t="n"/>
      <c r="G993" s="631" t="n"/>
      <c r="H993" s="635" t="n"/>
      <c r="I993" s="687" t="n"/>
      <c r="J993" s="635" t="n"/>
      <c r="K993" s="634" t="n"/>
      <c r="L993" s="635" t="n"/>
      <c r="M993" s="634" t="n"/>
      <c r="N993" s="631" t="n"/>
      <c r="O993" s="635" t="n"/>
      <c r="P993" s="635" t="n"/>
    </row>
    <row r="994" ht="15.75" customHeight="1">
      <c r="A994" s="628" t="n"/>
      <c r="B994" s="628" t="n"/>
      <c r="C994" s="628" t="n"/>
      <c r="D994" s="628" t="n"/>
      <c r="E994" s="627" t="n"/>
      <c r="F994" s="625" t="n"/>
      <c r="G994" s="625" t="n"/>
      <c r="H994" s="628" t="n"/>
      <c r="I994" s="688" t="n"/>
      <c r="J994" s="628" t="n"/>
      <c r="K994" s="627" t="n"/>
      <c r="L994" s="628" t="n"/>
      <c r="M994" s="627" t="n"/>
      <c r="N994" s="625" t="n"/>
      <c r="O994" s="628" t="n"/>
      <c r="P994" s="628" t="n"/>
    </row>
    <row r="995" ht="15.75" customHeight="1">
      <c r="A995" s="635" t="n"/>
      <c r="B995" s="635" t="n"/>
      <c r="C995" s="635" t="n"/>
      <c r="D995" s="635" t="n"/>
      <c r="E995" s="634" t="n"/>
      <c r="F995" s="631" t="n"/>
      <c r="G995" s="631" t="n"/>
      <c r="H995" s="635" t="n"/>
      <c r="I995" s="687" t="n"/>
      <c r="J995" s="635" t="n"/>
      <c r="K995" s="634" t="n"/>
      <c r="L995" s="635" t="n"/>
      <c r="M995" s="634" t="n"/>
      <c r="N995" s="631" t="n"/>
      <c r="O995" s="635" t="n"/>
      <c r="P995" s="635" t="n"/>
    </row>
    <row r="996" ht="15.75" customHeight="1">
      <c r="A996" s="628" t="n"/>
      <c r="B996" s="628" t="n"/>
      <c r="C996" s="628" t="n"/>
      <c r="D996" s="628" t="n"/>
      <c r="E996" s="627" t="n"/>
      <c r="F996" s="625" t="n"/>
      <c r="G996" s="625" t="n"/>
      <c r="H996" s="628" t="n"/>
      <c r="I996" s="688" t="n"/>
      <c r="J996" s="628" t="n"/>
      <c r="K996" s="627" t="n"/>
      <c r="L996" s="628" t="n"/>
      <c r="M996" s="627" t="n"/>
      <c r="N996" s="625" t="n"/>
      <c r="O996" s="628" t="n"/>
      <c r="P996" s="628" t="n"/>
    </row>
    <row r="997" ht="15.75" customHeight="1">
      <c r="A997" s="635" t="n"/>
      <c r="B997" s="635" t="n"/>
      <c r="C997" s="635" t="n"/>
      <c r="D997" s="635" t="n"/>
      <c r="E997" s="634" t="n"/>
      <c r="F997" s="631" t="n"/>
      <c r="G997" s="631" t="n"/>
      <c r="H997" s="635" t="n"/>
      <c r="I997" s="687" t="n"/>
      <c r="J997" s="635" t="n"/>
      <c r="K997" s="634" t="n"/>
      <c r="L997" s="635" t="n"/>
      <c r="M997" s="634" t="n"/>
      <c r="N997" s="631" t="n"/>
      <c r="O997" s="635" t="n"/>
      <c r="P997" s="635" t="n"/>
    </row>
    <row r="998" ht="15.75" customHeight="1">
      <c r="A998" s="628" t="n"/>
      <c r="B998" s="628" t="n"/>
      <c r="C998" s="628" t="n"/>
      <c r="D998" s="628" t="n"/>
      <c r="E998" s="627" t="n"/>
      <c r="F998" s="625" t="n"/>
      <c r="G998" s="625" t="n"/>
      <c r="H998" s="628" t="n"/>
      <c r="I998" s="688" t="n"/>
      <c r="J998" s="628" t="n"/>
      <c r="K998" s="627" t="n"/>
      <c r="L998" s="628" t="n"/>
      <c r="M998" s="627" t="n"/>
      <c r="N998" s="625" t="n"/>
      <c r="O998" s="628" t="n"/>
      <c r="P998" s="628" t="n"/>
    </row>
    <row r="999" ht="15.75" customHeight="1">
      <c r="A999" s="635" t="n"/>
      <c r="B999" s="635" t="n"/>
      <c r="C999" s="635" t="n"/>
      <c r="D999" s="635" t="n"/>
      <c r="E999" s="634" t="n"/>
      <c r="F999" s="631" t="n"/>
      <c r="G999" s="631" t="n"/>
      <c r="H999" s="635" t="n"/>
      <c r="I999" s="687" t="n"/>
      <c r="J999" s="635" t="n"/>
      <c r="K999" s="634" t="n"/>
      <c r="L999" s="635" t="n"/>
      <c r="M999" s="634" t="n"/>
      <c r="N999" s="631" t="n"/>
      <c r="O999" s="635" t="n"/>
      <c r="P999" s="635" t="n"/>
    </row>
    <row r="1000" ht="15.75" customHeight="1">
      <c r="A1000" s="628" t="n"/>
      <c r="B1000" s="628" t="n"/>
      <c r="C1000" s="628" t="n"/>
      <c r="D1000" s="628" t="n"/>
      <c r="E1000" s="627" t="n"/>
      <c r="F1000" s="625" t="n"/>
      <c r="G1000" s="625" t="n"/>
      <c r="H1000" s="628" t="n"/>
      <c r="I1000" s="688" t="n"/>
      <c r="J1000" s="628" t="n"/>
      <c r="K1000" s="627" t="n"/>
      <c r="L1000" s="628" t="n"/>
      <c r="M1000" s="627" t="n"/>
      <c r="N1000" s="625" t="n"/>
      <c r="O1000" s="628" t="n"/>
      <c r="P1000" s="628" t="n"/>
    </row>
    <row r="1001" ht="15.75" customHeight="1">
      <c r="A1001" s="635" t="n"/>
      <c r="B1001" s="635" t="n"/>
      <c r="C1001" s="635" t="n"/>
      <c r="D1001" s="635" t="n"/>
      <c r="E1001" s="634" t="n"/>
      <c r="F1001" s="631" t="n"/>
      <c r="G1001" s="631" t="n"/>
      <c r="H1001" s="635" t="n"/>
      <c r="I1001" s="687" t="n"/>
      <c r="J1001" s="635" t="n"/>
      <c r="K1001" s="634" t="n"/>
      <c r="L1001" s="635" t="n"/>
      <c r="M1001" s="634" t="n"/>
      <c r="N1001" s="631" t="n"/>
      <c r="O1001" s="635" t="n"/>
      <c r="P1001" s="635" t="n"/>
    </row>
  </sheetData>
  <mergeCells count="1">
    <mergeCell ref="A3:M3"/>
  </mergeCells>
  <conditionalFormatting sqref="A1:A2">
    <cfRule type="expression" priority="9" dxfId="0">
      <formula>COUNTIF($A:$A,#REF!)&gt;1</formula>
    </cfRule>
  </conditionalFormatting>
  <conditionalFormatting sqref="A4:A229 A348:A424 A499:A650 A703:A1001">
    <cfRule type="expression" priority="8" dxfId="0">
      <formula>COUNTIF($A:$A,A6)&gt;1</formula>
    </cfRule>
  </conditionalFormatting>
  <conditionalFormatting sqref="A230:A347">
    <cfRule type="expression" priority="6" dxfId="0">
      <formula>COUNTIF($A:$A,#REF!)&gt;1</formula>
    </cfRule>
  </conditionalFormatting>
  <conditionalFormatting sqref="A425:A498 A651:A702">
    <cfRule type="expression" priority="7" dxfId="0">
      <formula>COUNTIF($A:$A,#REF!)&gt;1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ItemLabel</t>
        </is>
      </c>
      <c r="C1" t="inlineStr">
        <is>
          <t>FuelType</t>
        </is>
      </c>
      <c r="D1" t="inlineStr">
        <is>
          <t>Evidence</t>
        </is>
      </c>
      <c r="E1" t="inlineStr">
        <is>
          <t>Unit</t>
        </is>
      </c>
      <c r="F1" t="inlineStr">
        <is>
          <t>M1</t>
        </is>
      </c>
      <c r="G1" t="inlineStr">
        <is>
          <t>M2</t>
        </is>
      </c>
      <c r="H1" t="inlineStr">
        <is>
          <t>M3</t>
        </is>
      </c>
      <c r="I1" t="inlineStr">
        <is>
          <t>M4</t>
        </is>
      </c>
      <c r="J1" t="inlineStr">
        <is>
          <t>M5</t>
        </is>
      </c>
      <c r="K1" t="inlineStr">
        <is>
          <t>M6</t>
        </is>
      </c>
      <c r="L1" t="inlineStr">
        <is>
          <t>M7</t>
        </is>
      </c>
      <c r="M1" t="inlineStr">
        <is>
          <t>M8</t>
        </is>
      </c>
      <c r="N1" t="inlineStr">
        <is>
          <t>M9</t>
        </is>
      </c>
      <c r="O1" t="inlineStr">
        <is>
          <t>M10</t>
        </is>
      </c>
      <c r="P1" t="inlineStr">
        <is>
          <t>M11</t>
        </is>
      </c>
      <c r="Q1" t="inlineStr">
        <is>
          <t>M12</t>
        </is>
      </c>
      <c r="R1" t="inlineStr">
        <is>
          <t>OtherDieselPct</t>
        </is>
      </c>
      <c r="S1" t="inlineStr">
        <is>
          <t>OtherBiodieselPct</t>
        </is>
      </c>
      <c r="T1" t="inlineStr">
        <is>
          <t>OtherGasolinePct</t>
        </is>
      </c>
      <c r="U1" t="inlineStr">
        <is>
          <t>OtherEthanolPct</t>
        </is>
      </c>
      <c r="V1" t="inlineStr">
        <is>
          <t>OtherBiodieselDensityKgPerL</t>
        </is>
      </c>
      <c r="W1" t="inlineStr">
        <is>
          <t>OtherEthanolDensityKgPerL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FuelType</t>
        </is>
      </c>
      <c r="B1" t="inlineStr">
        <is>
          <t>DieselPct</t>
        </is>
      </c>
      <c r="C1" t="inlineStr">
        <is>
          <t>BiodieselPct</t>
        </is>
      </c>
      <c r="D1" t="inlineStr">
        <is>
          <t>GasolinePct</t>
        </is>
      </c>
      <c r="E1" t="inlineStr">
        <is>
          <t>EthanolPct</t>
        </is>
      </c>
      <c r="F1" t="inlineStr">
        <is>
          <t>BiodieselDensityKgPerL</t>
        </is>
      </c>
      <c r="G1" t="inlineStr">
        <is>
          <t>EthanolDensityKgPerL</t>
        </is>
      </c>
    </row>
    <row r="2">
      <c r="A2" t="inlineStr">
        <is>
          <t>B7</t>
        </is>
      </c>
      <c r="B2" t="n">
        <v>93</v>
      </c>
      <c r="C2" t="n">
        <v>7</v>
      </c>
      <c r="D2" t="n">
        <v>0</v>
      </c>
      <c r="E2" t="n">
        <v>0</v>
      </c>
      <c r="F2" t="n">
        <v>0.87</v>
      </c>
      <c r="G2" t="n">
        <v>0.79</v>
      </c>
    </row>
    <row r="3">
      <c r="A3" t="inlineStr">
        <is>
          <t>B10</t>
        </is>
      </c>
      <c r="B3" t="n">
        <v>90</v>
      </c>
      <c r="C3" t="n">
        <v>10</v>
      </c>
      <c r="D3" t="n">
        <v>0</v>
      </c>
      <c r="E3" t="n">
        <v>0</v>
      </c>
      <c r="F3" t="n">
        <v>0.87</v>
      </c>
      <c r="G3" t="n">
        <v>0.79</v>
      </c>
    </row>
    <row r="4">
      <c r="A4" t="inlineStr">
        <is>
          <t>91/95</t>
        </is>
      </c>
      <c r="B4" t="n">
        <v>0</v>
      </c>
      <c r="C4" t="n">
        <v>0</v>
      </c>
      <c r="D4" t="n">
        <v>90</v>
      </c>
      <c r="E4" t="n">
        <v>10</v>
      </c>
      <c r="F4" t="n">
        <v>0.87</v>
      </c>
      <c r="G4" t="n">
        <v>0.79</v>
      </c>
    </row>
    <row r="5">
      <c r="A5" t="inlineStr">
        <is>
          <t>E20</t>
        </is>
      </c>
      <c r="B5" t="n">
        <v>0</v>
      </c>
      <c r="C5" t="n">
        <v>0</v>
      </c>
      <c r="D5" t="n">
        <v>80</v>
      </c>
      <c r="E5" t="n">
        <v>20</v>
      </c>
      <c r="F5" t="n">
        <v>0.87</v>
      </c>
      <c r="G5" t="n">
        <v>0.79</v>
      </c>
    </row>
    <row r="6">
      <c r="A6" t="inlineStr">
        <is>
          <t>LPG</t>
        </is>
      </c>
      <c r="B6" t="n">
        <v>0</v>
      </c>
      <c r="C6" t="n">
        <v>0</v>
      </c>
      <c r="D6" t="n">
        <v>0</v>
      </c>
      <c r="E6" t="n">
        <v>0</v>
      </c>
      <c r="F6" t="n">
        <v>0.87</v>
      </c>
      <c r="G6" t="n">
        <v>0.79</v>
      </c>
    </row>
    <row r="7">
      <c r="A7" t="inlineStr">
        <is>
          <t>?????????</t>
        </is>
      </c>
      <c r="B7" t="n">
        <v>100</v>
      </c>
      <c r="C7" t="n">
        <v>0</v>
      </c>
      <c r="D7" t="n">
        <v>0</v>
      </c>
      <c r="E7" t="n">
        <v>0</v>
      </c>
      <c r="F7" t="n">
        <v>0.87</v>
      </c>
      <c r="G7" t="n">
        <v>0.79</v>
      </c>
    </row>
    <row r="8">
      <c r="A8" t="inlineStr">
        <is>
          <t>OTHER</t>
        </is>
      </c>
      <c r="B8" t="n">
        <v>100</v>
      </c>
      <c r="C8" t="n">
        <v>0</v>
      </c>
      <c r="D8" t="n">
        <v>0</v>
      </c>
      <c r="E8" t="n">
        <v>0</v>
      </c>
      <c r="F8" t="n">
        <v>0.87</v>
      </c>
      <c r="G8" t="n">
        <v>0.79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Natanee Vorayos</dc:creator>
  <dcterms:created xsi:type="dcterms:W3CDTF">2016-07-25T18:04:14Z</dcterms:created>
  <dcterms:modified xsi:type="dcterms:W3CDTF">2026-01-05T04:08:08Z</dcterms:modified>
  <cp:lastModifiedBy>Toranong Kiriwong</cp:lastModifiedBy>
  <cp:lastPrinted>2024-08-19T10:21:05Z</cp:lastPrinted>
</cp:coreProperties>
</file>